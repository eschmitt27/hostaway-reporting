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RAW" sheetId="1" state="visible" r:id="rId1"/>
    <sheet name="PARAM_TAUX_INTERVENANTS" sheetId="2" state="visible" r:id="rId2"/>
    <sheet name="PARAMETRES_M04" sheetId="3" state="visible" r:id="rId3"/>
    <sheet name="MASTER" sheetId="4" state="visible" r:id="rId4"/>
    <sheet name="VUE_ACTIVE" sheetId="5" state="visible" r:id="rId5"/>
    <sheet name="VUE_ECART_HOSTAWAY" sheetId="6" state="visible" r:id="rId6"/>
    <sheet name="POWER_QUERY_CODE" sheetId="7" state="visible" r:id="rId7"/>
    <sheet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C00000"/>
      <sz val="9"/>
    </font>
    <font>
      <name val="Calibri"/>
      <b val="1"/>
      <sz val="9"/>
    </font>
    <font>
      <name val="Courier New"/>
      <sz val="8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1F4E79"/>
      </patternFill>
    </fill>
    <fill>
      <patternFill patternType="solid">
        <fgColor rgb="007F6000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7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1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bl_SOURCE_RAW" displayName="tbl_SOURCE_RAW" ref="A1:G2" headerRowCount="1">
  <autoFilter ref="A1:G2"/>
  <tableColumns count="7">
    <tableColumn id="1" name="mois_saisie"/>
    <tableColumn id="2" name="appartement"/>
    <tableColumn id="3" name="intervenant"/>
    <tableColumn id="4" name="type_menage"/>
    <tableColumn id="5" name="nb_menages"/>
    <tableColumn id="6" name="nb_heures"/>
    <tableColumn id="7" name="commentair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PARAM_TAUX_INTERVENANTS" displayName="tbl_PARAM_TAUX_INTERVENANTS" ref="A1:H6" headerRowCount="1">
  <autoFilter ref="A1:H6"/>
  <tableColumns count="8">
    <tableColumn id="1" name="intervenant_id"/>
    <tableColumn id="2" name="nom_intervenant"/>
    <tableColumn id="3" name="type_intervenant"/>
    <tableColumn id="4" name="taux_horaire"/>
    <tableColumn id="5" name="date_debut_validite"/>
    <tableColumn id="6" name="date_fin_validite"/>
    <tableColumn id="7" name="actif"/>
    <tableColumn id="8" name="commentair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_PARAMETRES_M04" displayName="tbl_PARAMETRES_M04" ref="A1:F2" headerRowCount="1">
  <autoFilter ref="A1:F2"/>
  <tableColumns count="6">
    <tableColumn id="1" name="parametre"/>
    <tableColumn id="2" name="valeur"/>
    <tableColumn id="3" name="date_debut_validite"/>
    <tableColumn id="4" name="date_fin_validite"/>
    <tableColumn id="5" name="actif"/>
    <tableColumn id="6" name="commentair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2" customWidth="1" min="5" max="5"/>
    <col width="11" customWidth="1" min="6" max="6"/>
    <col width="13" customWidth="1" min="7" max="7"/>
  </cols>
  <sheetData>
    <row r="1" ht="28" customHeight="1">
      <c r="A1" s="1" t="inlineStr">
        <is>
          <t>mois_saisie</t>
        </is>
      </c>
      <c r="B1" s="1" t="inlineStr">
        <is>
          <t>appartement</t>
        </is>
      </c>
      <c r="C1" s="1" t="inlineStr">
        <is>
          <t>intervenant</t>
        </is>
      </c>
      <c r="D1" s="2" t="inlineStr">
        <is>
          <t>type_menage</t>
        </is>
      </c>
      <c r="E1" s="2" t="inlineStr">
        <is>
          <t>nb_menages</t>
        </is>
      </c>
      <c r="F1" s="2" t="inlineStr">
        <is>
          <t>nb_heures</t>
        </is>
      </c>
      <c r="G1" s="1" t="inlineStr">
        <is>
          <t>commentaire</t>
        </is>
      </c>
    </row>
    <row r="2">
      <c r="A2" s="3" t="inlineStr">
        <is>
          <t>← Coller ici les données du Google Sheet 'Suivi ménage'. Vérifier que les noms de colonnes correspondent exactement.</t>
        </is>
      </c>
    </row>
  </sheetData>
  <dataValidations count="1">
    <dataValidation sqref="C2:C501" showDropDown="0" showInputMessage="1" showErrorMessage="1" allowBlank="1" errorTitle="Valeur hors liste" error="Valeur non listee. Verifier l'orthographe ou completer le referentiel." promptTitle="Liste" prompt="Intervenant (PARAM_TAUX_INTERVENANTS)" type="list" errorStyle="warning">
      <formula1>=PARAM_TAUX_INTERVENANTS!$B$2:$B$6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4" customWidth="1" min="4" max="4"/>
    <col width="21" customWidth="1" min="5" max="5"/>
    <col width="19" customWidth="1" min="6" max="6"/>
    <col width="8" customWidth="1" min="7" max="7"/>
    <col width="35" customWidth="1" min="8" max="8"/>
  </cols>
  <sheetData>
    <row r="1" ht="28" customHeight="1">
      <c r="A1" s="4" t="inlineStr">
        <is>
          <t>intervenant_id</t>
        </is>
      </c>
      <c r="B1" s="5" t="inlineStr">
        <is>
          <t>nom_intervenant</t>
        </is>
      </c>
      <c r="C1" s="5" t="inlineStr">
        <is>
          <t>type_intervenant</t>
        </is>
      </c>
      <c r="D1" s="6" t="inlineStr">
        <is>
          <t>taux_horaire</t>
        </is>
      </c>
      <c r="E1" s="6" t="inlineStr">
        <is>
          <t>date_debut_validite</t>
        </is>
      </c>
      <c r="F1" s="6" t="inlineStr">
        <is>
          <t>date_fin_validite</t>
        </is>
      </c>
      <c r="G1" s="6" t="inlineStr">
        <is>
          <t>actif</t>
        </is>
      </c>
      <c r="H1" s="6" t="inlineStr">
        <is>
          <t>commentaire</t>
        </is>
      </c>
    </row>
    <row r="2">
      <c r="A2" t="inlineStr">
        <is>
          <t>INT_0001</t>
        </is>
      </c>
      <c r="B2" t="inlineStr">
        <is>
          <t>Imène</t>
        </is>
      </c>
      <c r="C2" t="inlineStr">
        <is>
          <t>INTERNE</t>
        </is>
      </c>
      <c r="D2" t="n">
        <v>10</v>
      </c>
      <c r="E2" t="inlineStr">
        <is>
          <t>2026-01-01</t>
        </is>
      </c>
      <c r="G2" t="inlineStr">
        <is>
          <t>OUI</t>
        </is>
      </c>
      <c r="H2" t="inlineStr">
        <is>
          <t>Taux initial validé</t>
        </is>
      </c>
    </row>
    <row r="3">
      <c r="A3" t="inlineStr">
        <is>
          <t>INT_0002</t>
        </is>
      </c>
      <c r="B3" t="inlineStr">
        <is>
          <t>Kheira</t>
        </is>
      </c>
      <c r="C3" t="inlineStr">
        <is>
          <t>INTERNE</t>
        </is>
      </c>
      <c r="D3" t="n">
        <v>10</v>
      </c>
      <c r="E3" t="inlineStr">
        <is>
          <t>2026-01-01</t>
        </is>
      </c>
      <c r="G3" t="inlineStr">
        <is>
          <t>OUI</t>
        </is>
      </c>
      <c r="H3" t="inlineStr">
        <is>
          <t>Taux initial validé</t>
        </is>
      </c>
    </row>
    <row r="4">
      <c r="A4" t="inlineStr">
        <is>
          <t>INT_0003</t>
        </is>
      </c>
      <c r="B4" t="inlineStr">
        <is>
          <t>Mounir</t>
        </is>
      </c>
      <c r="C4" t="inlineStr">
        <is>
          <t>EXTERNE</t>
        </is>
      </c>
      <c r="E4" t="inlineStr">
        <is>
          <t>2026-01-01</t>
        </is>
      </c>
      <c r="G4" t="inlineStr">
        <is>
          <t>OUI</t>
        </is>
      </c>
      <c r="H4" t="inlineStr">
        <is>
          <t>EXTERNE — taux non requis dans M04</t>
        </is>
      </c>
    </row>
    <row r="5">
      <c r="A5" t="inlineStr">
        <is>
          <t>INT_0004</t>
        </is>
      </c>
      <c r="B5" t="inlineStr">
        <is>
          <t>Aissata</t>
        </is>
      </c>
      <c r="C5" t="inlineStr">
        <is>
          <t>EXTERNE</t>
        </is>
      </c>
      <c r="E5" t="inlineStr">
        <is>
          <t>2026-01-01</t>
        </is>
      </c>
      <c r="G5" t="inlineStr">
        <is>
          <t>OUI</t>
        </is>
      </c>
      <c r="H5" t="inlineStr">
        <is>
          <t>EXTERNE — taux non requis dans M04</t>
        </is>
      </c>
    </row>
    <row r="6">
      <c r="A6" t="inlineStr">
        <is>
          <t>INT_0005</t>
        </is>
      </c>
      <c r="B6" t="inlineStr">
        <is>
          <t>Imrane</t>
        </is>
      </c>
      <c r="C6" t="inlineStr">
        <is>
          <t>EXTERNE</t>
        </is>
      </c>
      <c r="E6" t="inlineStr">
        <is>
          <t>2026-01-01</t>
        </is>
      </c>
      <c r="G6" t="inlineStr">
        <is>
          <t>OUI</t>
        </is>
      </c>
      <c r="H6" t="inlineStr">
        <is>
          <t>EXTERNE — taux non requis dans M04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21" customWidth="1" min="3" max="3"/>
    <col width="19" customWidth="1" min="4" max="4"/>
    <col width="8" customWidth="1" min="5" max="5"/>
    <col width="35" customWidth="1" min="6" max="6"/>
  </cols>
  <sheetData>
    <row r="1" ht="28" customHeight="1">
      <c r="A1" s="6" t="inlineStr">
        <is>
          <t>parametre</t>
        </is>
      </c>
      <c r="B1" s="6" t="inlineStr">
        <is>
          <t>valeur</t>
        </is>
      </c>
      <c r="C1" s="6" t="inlineStr">
        <is>
          <t>date_debut_validite</t>
        </is>
      </c>
      <c r="D1" s="6" t="inlineStr">
        <is>
          <t>date_fin_validite</t>
        </is>
      </c>
      <c r="E1" s="6" t="inlineStr">
        <is>
          <t>actif</t>
        </is>
      </c>
      <c r="F1" s="6" t="inlineStr">
        <is>
          <t>commentaire</t>
        </is>
      </c>
    </row>
    <row r="2">
      <c r="A2" t="inlineStr">
        <is>
          <t>SEUIL_ECART_STANDARD_MENAGE</t>
        </is>
      </c>
      <c r="B2" t="inlineStr">
        <is>
          <t>10</t>
        </is>
      </c>
      <c r="C2" t="inlineStr">
        <is>
          <t>2026-01-01</t>
        </is>
      </c>
      <c r="E2" t="inlineStr">
        <is>
          <t>OUI</t>
        </is>
      </c>
      <c r="F2" t="inlineStr">
        <is>
          <t>Seuil paramétrable pour contrôle MENAGE_ECART_NEGATIF_IMPORTANT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8" customWidth="1" min="4" max="4"/>
    <col width="10" customWidth="1" min="5" max="5"/>
    <col width="13" customWidth="1" min="6" max="6"/>
    <col width="17" customWidth="1" min="7" max="7"/>
    <col width="21" customWidth="1" min="8" max="8"/>
    <col width="20" customWidth="1" min="9" max="9"/>
    <col width="16" customWidth="1" min="10" max="10"/>
    <col width="17" customWidth="1" min="11" max="11"/>
    <col width="18" customWidth="1" min="12" max="12"/>
    <col width="13" customWidth="1" min="13" max="13"/>
    <col width="12" customWidth="1" min="14" max="14"/>
    <col width="11" customWidth="1" min="15" max="15"/>
    <col width="26" customWidth="1" min="16" max="16"/>
    <col width="22" customWidth="1" min="17" max="17"/>
    <col width="25" customWidth="1" min="18" max="18"/>
    <col width="15" customWidth="1" min="19" max="19"/>
    <col width="27" customWidth="1" min="20" max="20"/>
    <col width="31" customWidth="1" min="21" max="21"/>
    <col width="17" customWidth="1" min="22" max="22"/>
    <col width="14" customWidth="1" min="23" max="23"/>
    <col width="8" customWidth="1" min="24" max="24"/>
    <col width="13" customWidth="1" min="25" max="25"/>
    <col width="22" customWidth="1" min="26" max="26"/>
    <col width="27" customWidth="1" min="27" max="27"/>
    <col width="17" customWidth="1" min="28" max="28"/>
    <col width="17" customWidth="1" min="29" max="29"/>
    <col width="15" customWidth="1" min="30" max="30"/>
    <col width="15" customWidth="1" min="31" max="31"/>
    <col width="14" customWidth="1" min="32" max="32"/>
    <col width="11" customWidth="1" min="33" max="33"/>
    <col width="18" customWidth="1" min="34" max="34"/>
  </cols>
  <sheetData>
    <row r="1" ht="28" customHeight="1">
      <c r="A1" s="7" t="inlineStr">
        <is>
          <t>menage_calc_id</t>
        </is>
      </c>
      <c r="B1" s="7" t="inlineStr">
        <is>
          <t>ROW_HASH</t>
        </is>
      </c>
      <c r="C1" s="4" t="inlineStr">
        <is>
          <t>mois</t>
        </is>
      </c>
      <c r="D1" s="4" t="inlineStr">
        <is>
          <t>annee</t>
        </is>
      </c>
      <c r="E1" s="4" t="inlineStr">
        <is>
          <t>mois_num</t>
        </is>
      </c>
      <c r="F1" s="4" t="inlineStr">
        <is>
          <t>logement_id</t>
        </is>
      </c>
      <c r="G1" s="4" t="inlineStr">
        <is>
          <t>proprietaire_id</t>
        </is>
      </c>
      <c r="H1" s="4" t="inlineStr">
        <is>
          <t>hostaway_listing_id</t>
        </is>
      </c>
      <c r="I1" s="4" t="inlineStr">
        <is>
          <t>appartement_source</t>
        </is>
      </c>
      <c r="J1" s="4" t="inlineStr">
        <is>
          <t>intervenant_id</t>
        </is>
      </c>
      <c r="K1" s="5" t="inlineStr">
        <is>
          <t>nom_intervenant</t>
        </is>
      </c>
      <c r="L1" s="5" t="inlineStr">
        <is>
          <t>type_intervenant</t>
        </is>
      </c>
      <c r="M1" s="2" t="inlineStr">
        <is>
          <t>type_menage</t>
        </is>
      </c>
      <c r="N1" s="2" t="inlineStr">
        <is>
          <t>nb_menages</t>
        </is>
      </c>
      <c r="O1" s="2" t="inlineStr">
        <is>
          <t>nb_heures</t>
        </is>
      </c>
      <c r="P1" s="2" t="inlineStr">
        <is>
          <t>taux_horaire_intervenant</t>
        </is>
      </c>
      <c r="Q1" s="2" t="inlineStr">
        <is>
          <t>cout_execution_total</t>
        </is>
      </c>
      <c r="R1" s="2" t="inlineStr">
        <is>
          <t>cout_execution_unitaire</t>
        </is>
      </c>
      <c r="S1" s="2" t="inlineStr">
        <is>
          <t>cout_standard</t>
        </is>
      </c>
      <c r="T1" s="2" t="inlineStr">
        <is>
          <t>cout_standard_total_ligne</t>
        </is>
      </c>
      <c r="U1" s="2" t="inlineStr">
        <is>
          <t>ecart_main_oeuvre_vs_standard</t>
        </is>
      </c>
      <c r="V1" s="2" t="inlineStr">
        <is>
          <t>total_execution</t>
        </is>
      </c>
      <c r="W1" s="8" t="inlineStr">
        <is>
          <t>type_flux_id</t>
        </is>
      </c>
      <c r="X1" s="8" t="inlineStr">
        <is>
          <t>sens</t>
        </is>
      </c>
      <c r="Y1" s="8" t="inlineStr">
        <is>
          <t>code_impact</t>
        </is>
      </c>
      <c r="Z1" s="8" t="inlineStr">
        <is>
          <t>impact_resultat_reel</t>
        </is>
      </c>
      <c r="AA1" s="8" t="inlineStr">
        <is>
          <t>impact_resultat_comptable</t>
        </is>
      </c>
      <c r="AB1" s="9" t="inlineStr">
        <is>
          <t>statut_controle</t>
        </is>
      </c>
      <c r="AC1" s="9" t="inlineStr">
        <is>
          <t>niveau_anomalie</t>
        </is>
      </c>
      <c r="AD1" s="9" t="inlineStr">
        <is>
          <t>code_anomalie</t>
        </is>
      </c>
      <c r="AE1" s="1" t="inlineStr">
        <is>
          <t>source_module</t>
        </is>
      </c>
      <c r="AF1" s="1" t="inlineStr">
        <is>
          <t>source_table</t>
        </is>
      </c>
      <c r="AG1" s="1" t="inlineStr">
        <is>
          <t>source_pk</t>
        </is>
      </c>
      <c r="AH1" s="1" t="inlineStr">
        <is>
          <t>date_integration</t>
        </is>
      </c>
    </row>
    <row r="2">
      <c r="A2" s="3" t="inlineStr">
        <is>
          <t>← Alimenté par Power Query (Q7_MASTER) après collage des données dans SOURCE_RAW.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8" customWidth="1" min="4" max="4"/>
    <col width="10" customWidth="1" min="5" max="5"/>
    <col width="13" customWidth="1" min="6" max="6"/>
    <col width="17" customWidth="1" min="7" max="7"/>
    <col width="21" customWidth="1" min="8" max="8"/>
    <col width="20" customWidth="1" min="9" max="9"/>
    <col width="16" customWidth="1" min="10" max="10"/>
    <col width="17" customWidth="1" min="11" max="11"/>
    <col width="18" customWidth="1" min="12" max="12"/>
    <col width="13" customWidth="1" min="13" max="13"/>
    <col width="12" customWidth="1" min="14" max="14"/>
    <col width="11" customWidth="1" min="15" max="15"/>
    <col width="26" customWidth="1" min="16" max="16"/>
    <col width="22" customWidth="1" min="17" max="17"/>
    <col width="25" customWidth="1" min="18" max="18"/>
    <col width="15" customWidth="1" min="19" max="19"/>
    <col width="27" customWidth="1" min="20" max="20"/>
    <col width="31" customWidth="1" min="21" max="21"/>
    <col width="17" customWidth="1" min="22" max="22"/>
    <col width="14" customWidth="1" min="23" max="23"/>
    <col width="8" customWidth="1" min="24" max="24"/>
    <col width="13" customWidth="1" min="25" max="25"/>
    <col width="22" customWidth="1" min="26" max="26"/>
    <col width="27" customWidth="1" min="27" max="27"/>
    <col width="17" customWidth="1" min="28" max="28"/>
    <col width="17" customWidth="1" min="29" max="29"/>
    <col width="15" customWidth="1" min="30" max="30"/>
    <col width="15" customWidth="1" min="31" max="31"/>
    <col width="14" customWidth="1" min="32" max="32"/>
    <col width="11" customWidth="1" min="33" max="33"/>
    <col width="18" customWidth="1" min="34" max="34"/>
  </cols>
  <sheetData>
    <row r="1" ht="28" customHeight="1">
      <c r="A1" s="7" t="inlineStr">
        <is>
          <t>menage_calc_id</t>
        </is>
      </c>
      <c r="B1" s="7" t="inlineStr">
        <is>
          <t>ROW_HASH</t>
        </is>
      </c>
      <c r="C1" s="4" t="inlineStr">
        <is>
          <t>mois</t>
        </is>
      </c>
      <c r="D1" s="4" t="inlineStr">
        <is>
          <t>annee</t>
        </is>
      </c>
      <c r="E1" s="4" t="inlineStr">
        <is>
          <t>mois_num</t>
        </is>
      </c>
      <c r="F1" s="4" t="inlineStr">
        <is>
          <t>logement_id</t>
        </is>
      </c>
      <c r="G1" s="4" t="inlineStr">
        <is>
          <t>proprietaire_id</t>
        </is>
      </c>
      <c r="H1" s="4" t="inlineStr">
        <is>
          <t>hostaway_listing_id</t>
        </is>
      </c>
      <c r="I1" s="4" t="inlineStr">
        <is>
          <t>appartement_source</t>
        </is>
      </c>
      <c r="J1" s="4" t="inlineStr">
        <is>
          <t>intervenant_id</t>
        </is>
      </c>
      <c r="K1" s="5" t="inlineStr">
        <is>
          <t>nom_intervenant</t>
        </is>
      </c>
      <c r="L1" s="5" t="inlineStr">
        <is>
          <t>type_intervenant</t>
        </is>
      </c>
      <c r="M1" s="2" t="inlineStr">
        <is>
          <t>type_menage</t>
        </is>
      </c>
      <c r="N1" s="2" t="inlineStr">
        <is>
          <t>nb_menages</t>
        </is>
      </c>
      <c r="O1" s="2" t="inlineStr">
        <is>
          <t>nb_heures</t>
        </is>
      </c>
      <c r="P1" s="2" t="inlineStr">
        <is>
          <t>taux_horaire_intervenant</t>
        </is>
      </c>
      <c r="Q1" s="2" t="inlineStr">
        <is>
          <t>cout_execution_total</t>
        </is>
      </c>
      <c r="R1" s="2" t="inlineStr">
        <is>
          <t>cout_execution_unitaire</t>
        </is>
      </c>
      <c r="S1" s="2" t="inlineStr">
        <is>
          <t>cout_standard</t>
        </is>
      </c>
      <c r="T1" s="2" t="inlineStr">
        <is>
          <t>cout_standard_total_ligne</t>
        </is>
      </c>
      <c r="U1" s="2" t="inlineStr">
        <is>
          <t>ecart_main_oeuvre_vs_standard</t>
        </is>
      </c>
      <c r="V1" s="2" t="inlineStr">
        <is>
          <t>total_execution</t>
        </is>
      </c>
      <c r="W1" s="8" t="inlineStr">
        <is>
          <t>type_flux_id</t>
        </is>
      </c>
      <c r="X1" s="8" t="inlineStr">
        <is>
          <t>sens</t>
        </is>
      </c>
      <c r="Y1" s="8" t="inlineStr">
        <is>
          <t>code_impact</t>
        </is>
      </c>
      <c r="Z1" s="8" t="inlineStr">
        <is>
          <t>impact_resultat_reel</t>
        </is>
      </c>
      <c r="AA1" s="8" t="inlineStr">
        <is>
          <t>impact_resultat_comptable</t>
        </is>
      </c>
      <c r="AB1" s="9" t="inlineStr">
        <is>
          <t>statut_controle</t>
        </is>
      </c>
      <c r="AC1" s="9" t="inlineStr">
        <is>
          <t>niveau_anomalie</t>
        </is>
      </c>
      <c r="AD1" s="9" t="inlineStr">
        <is>
          <t>code_anomalie</t>
        </is>
      </c>
      <c r="AE1" s="1" t="inlineStr">
        <is>
          <t>source_module</t>
        </is>
      </c>
      <c r="AF1" s="1" t="inlineStr">
        <is>
          <t>source_table</t>
        </is>
      </c>
      <c r="AG1" s="1" t="inlineStr">
        <is>
          <t>source_pk</t>
        </is>
      </c>
      <c r="AH1" s="1" t="inlineStr">
        <is>
          <t>date_integration</t>
        </is>
      </c>
    </row>
    <row r="2">
      <c r="A2" s="3" t="inlineStr">
        <is>
          <t>← PQ Q8 : MASTER filtré statut_controle=VALIDE ET type_intervenant=INTERNE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20" customWidth="1" min="3" max="3"/>
    <col width="16" customWidth="1" min="4" max="4"/>
    <col width="30" customWidth="1" min="5" max="5"/>
    <col width="8" customWidth="1" min="6" max="6"/>
    <col width="17" customWidth="1" min="7" max="7"/>
    <col width="15" customWidth="1" min="8" max="8"/>
  </cols>
  <sheetData>
    <row r="1" ht="28" customHeight="1">
      <c r="A1" s="4" t="inlineStr">
        <is>
          <t>mois</t>
        </is>
      </c>
      <c r="B1" s="4" t="inlineStr">
        <is>
          <t>logement_id</t>
        </is>
      </c>
      <c r="C1" s="4" t="inlineStr">
        <is>
          <t>appartement_source</t>
        </is>
      </c>
      <c r="D1" s="8" t="inlineStr">
        <is>
          <t>nb_menages_m04</t>
        </is>
      </c>
      <c r="E1" s="8" t="inlineStr">
        <is>
          <t>nb_menages_hostaway_realises</t>
        </is>
      </c>
      <c r="F1" s="8" t="inlineStr">
        <is>
          <t>ecart</t>
        </is>
      </c>
      <c r="G1" s="9" t="inlineStr">
        <is>
          <t>statut_controle</t>
        </is>
      </c>
      <c r="H1" s="9" t="inlineStr">
        <is>
          <t>code_anomalie</t>
        </is>
      </c>
    </row>
    <row r="2">
      <c r="A2" s="3" t="inlineStr">
        <is>
          <t>← PQ Q9 : comparaison nb_menages M04 vs nb_menages_realises Lot 6a. Contrôle MENAGE_ECART_HOSTAWAY_M04.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20" customHeight="1">
      <c r="A1" s="10" t="inlineStr">
        <is>
          <t>REQUÊTE</t>
        </is>
      </c>
      <c r="B1" s="10" t="inlineStr">
        <is>
          <t>M-CODE (à coller dans l'éditeur Power Query)</t>
        </is>
      </c>
    </row>
    <row r="2" ht="100" customHeight="1">
      <c r="A2" s="11" t="inlineStr">
        <is>
          <t>Q1_SOURCE_RAW</t>
        </is>
      </c>
      <c r="B2" s="12" t="inlineStr">
        <is>
          <t>// Q1_SOURCE_RAW — Charge les données depuis l'onglet SOURCE_RAW de ce classeur
let
    Source       = Excel.CurrentWorkbook(){[Name="tbl_SOURCE_RAW"]}[Content],
    TypedTable   = Table.TransformColumnTypes(Source, {
                       {"mois_saisie",  type text},
                       {"appartement",  type text},
                       {"intervenant",  type text},
                       {"type_menage",  type text},
                       {"nb_menages",   Int64.Type},
                       {"nb_heures",    type number},
                       {"commentaire",  type text}
                   }),
    NoEmpty      = Table.SelectRows(TypedTable, each [appartement] &lt;&gt; null and [appartement] &lt;&gt; "")
in NoEmpty</t>
        </is>
      </c>
    </row>
    <row r="3" ht="100" customHeight="1">
      <c r="A3" s="11" t="inlineStr">
        <is>
          <t>Q2_PARAM_TAUX</t>
        </is>
      </c>
      <c r="B3" s="12" t="inlineStr">
        <is>
          <t>// Q2_PARAM_TAUX — Taux horaires par intervenant (depuis ce classeur)
let
    Source = Excel.CurrentWorkbook(){[Name="tbl_PARAM_TAUX_INTERVENANTS"]}[Content],
    Active = Table.SelectRows(Source, each [actif] = "OUI")
in Active</t>
        </is>
      </c>
    </row>
    <row r="4" ht="100" customHeight="1">
      <c r="A4" s="11" t="inlineStr">
        <is>
          <t>Q3_PARAMETRES_M04</t>
        </is>
      </c>
      <c r="B4" s="12" t="inlineStr">
        <is>
          <t>// Q3_PARAMETRES_M04 — Paramètres M04 (depuis ce classeur)
let
    Source = Excel.CurrentWorkbook(){[Name="tbl_PARAMETRES_M04"]}[Content],
    Active = Table.SelectRows(Source, each [actif] = "OUI")
in Active</t>
        </is>
      </c>
    </row>
    <row r="5" ht="100" customHeight="1">
      <c r="A5" s="11" t="inlineStr">
        <is>
          <t>Q4_REF_MAPPING</t>
        </is>
      </c>
      <c r="B5" s="12" t="inlineStr">
        <is>
          <t>// Q4_REF_MAPPING — Référentiel mapping logements
// ADAPTER : remplacer le chemin ci-dessous par le chemin absolu local vers REF_Setup.xlsm
let
    WB      = Excel.Workbook(File.Contents("C:\CHEMIN_A_ADAPTER\REF_Setup.xlsm"), null, true),
    Sheet   = WB{[Item="REF_Mapping_Logements", Kind="Sheet"]}[Data],
    Headers = Table.PromoteHeaders(Sheet, [PromoteAllScalars=true]),
    Active  = Table.SelectRows(Headers, each [actif] = "OUI")
in Active</t>
        </is>
      </c>
    </row>
    <row r="6" ht="100" customHeight="1">
      <c r="A6" s="11" t="inlineStr">
        <is>
          <t>Q5_REF_LOGEMENTS</t>
        </is>
      </c>
      <c r="B6" s="12" t="inlineStr">
        <is>
          <t>// Q5_REF_LOGEMENTS — Référentiel logements
// ADAPTER : chemin absolu vers REF_Setup.xlsm
let
    WB      = Excel.Workbook(File.Contents("C:\CHEMIN_A_ADAPTER\REF_Setup.xlsm"), null, true),
    Sheet   = WB{[Item="REF_Logements", Kind="Sheet"]}[Data],
    Headers = Table.PromoteHeaders(Sheet, [PromoteAllScalars=true])
in Headers</t>
        </is>
      </c>
    </row>
    <row r="7" ht="100" customHeight="1">
      <c r="A7" s="11" t="inlineStr">
        <is>
          <t>Q6_REF_COUTS_STANDARDS</t>
        </is>
      </c>
      <c r="B7" s="12" t="inlineStr">
        <is>
          <t>// Q6_REF_COUTS_STANDARDS — Coûts standards ménage par type logement
// ADAPTER : chemin absolu vers REF_Setup.xlsm
let
    WB      = Excel.Workbook(File.Contents("C:\CHEMIN_A_ADAPTER\REF_Setup.xlsm"), null, true),
    Sheet   = WB{[Item="REF_Couts_Standards_Menage", Kind="Sheet"]}[Data],
    Headers = Table.PromoteHeaders(Sheet, [PromoteAllScalars=true]),
    Active  = Table.SelectRows(Headers, each [actif] = "OUI")
in Active</t>
        </is>
      </c>
    </row>
    <row r="8" ht="100" customHeight="1">
      <c r="A8" s="11" t="inlineStr">
        <is>
          <t>Q6B_REF_INTERVENANTS</t>
        </is>
      </c>
      <c r="B8" s="12" t="inlineStr">
        <is>
          <t>// Q6B_REF_INTERVENANTS — Référentiel intervenants
// ADAPTER : chemin absolu vers REF_Setup.xlsm
let
    WB      = Excel.Workbook(File.Contents("C:\CHEMIN_A_ADAPTER\REF_Setup.xlsm"), null, true),
    Sheet   = WB{[Item="REF_Intervenants", Kind="Sheet"]}[Data],
    Headers = Table.PromoteHeaders(Sheet, [PromoteAllScalars=true]),
    Active  = Table.SelectRows(Headers, each [actif] = "OUI"),
    WithNorm = Table.AddColumn(Active, "_nom_upper", each Text.Upper(Text.Trim([nom_normalise])))
in Active</t>
        </is>
      </c>
    </row>
    <row r="9" ht="100" customHeight="1">
      <c r="A9" s="11" t="inlineStr">
        <is>
          <t>Q7_MASTER</t>
        </is>
      </c>
      <c r="B9" s="12" t="inlineStr">
        <is>
          <t>// Q7_MASTER — Transformation SOURCE_RAW → tbl_MASTER_FACT_MEN_Menages (34 colonnes)
// Dépendances : Q1..Q6B, Q3 (seuil écart)
let
    SrcRaw    = Q1_SOURCE_RAW,
    ParamTaux = Q2_PARAM_TAUX,
    Params    = Q3_PARAMETRES_M04,
    RefMap    = Q4_REF_MAPPING,
    RefLog    = Q5_REF_LOGEMENTS,
    RefCouts  = Q6_REF_COUTS_STANDARDS,
    RefInt    = Q6B_REF_INTERVENANTS,
    // Seuil écart depuis PARAMETRES_M04
    SeuilRow  = Table.SelectRows(Params, each [parametre] = "SEUIL_ECART_STANDARD_MENAGE"),
    SeuilEcart = if Table.RowCount(SeuilRow) &gt; 0
                 then try Number.FromText(SeuilRow{0}[valeur]) otherwise 10
                 else 10,
    // ── Étape 1 : mapping appartement → logement_id ─────────────────────────
    // REF_Mapping sources utiles pour le GSheet Suivi ménage : "Nom court interne"
    RefMapMenage = Table.SelectRows(RefMap,
        each [source] = "Nom court interne" or [source] = "Suivi ménage"),
    MergeMap  = Table.NestedJoin(SrcRaw, {"appartement"}, RefMapMenage, {"valeur_source"},
                    "MappedLog", JoinKind.LeftOuter),
    ExpandMap = Table.ExpandTableColumn(MergeMap, "MappedLog",
                    {"logement_id"}, {"logement_id"}),
    // ── Étape 2 : infos logement ─────────────────────────────────────────────
    MergeLog  = Table.NestedJoin(ExpandMap, {"logement_id"}, RefLog, {"logement_id"},
                    "LogInfo", JoinKind.LeftOuter),
    ExpandLog = Table.ExpandTableColumn(MergeLog, "LogInfo",
                    {"proprietaire_id", "hostaway_listing_id", "type_logement_id"},
                    {"proprietaire_id", "hostaway_listing_id", "type_logement_id"}),
    // ── Étape 3 : coût standard ──────────────────────────────────────────────
    MergeCout  = Table.NestedJoin(ExpandLog, {"type_logement_id"}, RefCouts, {"type_logement_id"},
                     "CoutInfo", JoinKind.LeftOuter),
    ExpandCout = Table.ExpandTableColumn(MergeCout, "CoutInfo",
                     {"cout_standard_menage"}, {"cout_standard"}),
    // ── Étape 4 : mapping intervenant → intervenant_id ────────────────────────
    WithIntNorm = Table.AddColumn(ExpandCout, "_int_norm",
                      each Text.Upper(Text.Trim([intervenant]))),
    RefIntU     = Table.AddColumn(RefInt, "_nom_upper",
                      each Text.Upper(Text.Trim([nom_normalise]))),
    MergeInt    = Table.NestedJoin(WithIntNorm, {"_int_norm"}, RefIntU, {"_nom_upper"},
                      "IntInfo", JoinKind.LeftOuter),
    ExpandInt   = Table.ExpandTableColumn(MergeInt, "IntInfo",
                      {"intervenant_id", "nom_intervenant", "type_intervenant"},
                      {"intervenant_id", "nom_intervenant", "type_intervenant"}),
    // ── Étape 5 : taux horaire depuis PARAM_TAUX ─────────────────────────────
    // Taux actif pour intervenant_id à la période mois_saisie
    WithTaux = Table.AddColumn(ExpandInt, "taux_horaire_intervenant", each
        let
            iid     = [intervenant_id],
            m       = [mois_saisie],
            Match   = Table.SelectRows(ParamTaux, each
                          [intervenant_id] = iid and
                          [actif] = "OUI" and
                          [date_debut_validite] &lt;= m and
                          ([date_fin_validite] = null or [date_fin_validite] &gt;= m)),
            NMatch  = Table.RowCount(Match)
        in
            if NMatch = 1 then Match{0}[taux_horaire]
            else null),
    WithTauxN = Table.AddColumn(WithTaux, "_taux_n", each
        Table.RowCount(Table.SelectRows(ParamTaux, each
            [intervenant_id] = [intervenant_id] and
            [actif] = "OUI" and
            [date_debut_validite] &lt;= [mois_saisie] and
            ([date_fin_validite] = null or [date_fin_validite] &gt;= [mois_saisie])))),
    // ── Étape 6 : calculs ─────────────────────────────────────────────────────
    WithExec   = Table.AddColumn(WithTauxN, "cout_execution_total", each
                     if [nb_heures] &lt;&gt; null and [taux_horaire_intervenant] &lt;&gt; null
                     then [nb_heures] * [taux_horaire_intervenant] else null),
    WithUnit   = Table.AddColumn(WithExec, "cout_execution_unitaire", each
                     if [cout_execution_total] &lt;&gt; null and [nb_menages] &lt;&gt; null and [nb_menages] &gt; 0
                     then [cout_execution_total] / [nb_menages] else null),
    WithStdT   = Table.AddColumn(WithUnit, "cout_standard_total_ligne", each
                     if [cout_standard] &lt;&gt; null and [nb_menages] &lt;&gt; null
                     then [cout_standard] * [nb_menages] else null),
    WithEcart  = Table.AddColumn(WithStdT, "ecart_main_oeuvre_vs_standard", each
                     if [cout_standard] &lt;&gt; null and [cout_execution_unitaire] &lt;&gt; null
                     then [cout_standard] - [cout_execution_unitaire] else null),
    // ── Étape 7 : colonnes flux / impact ─────────────────────────────────────
    // Valeurs fixes : HC toujours (D027), TYPE_FLUX_013
    WithFlux  = Table.AddColumn(WithEcart,  "type_flux_id",            each "TYPE_FLUX_013"),
    WithSens  = Table.AddColumn(WithFlux,   "sens",                    each "CHARGE"),
    WithCI    = Table.AddColumn(WithSens,   "code_impact",             each
                    if [type_intervenant] = "INTERNE" then "HC" else null),
    WithIRR   = Table.AddColumn(WithCI,     "impact_resultat_reel",    each
                    if [code_impact] = "HC" then "OUI" else null),
    WithIRC   = Table.AddColumn(WithIRR,    "impact_resultat_comptable", each
                    if [code_impact] = "HC" then "NON" else null),
    // ── Étape 8 : contrôles ──────────────────────────────────────────────────
    WithCtrl  = Table.AddColumn(WithIRC, "_codes", each
        let Codes = List.Select({
            if [logement_id] = null           then "MENAGE_SANS_LOGEMENT_ID"         else null,
            if [type_intervenant] = null      then "TYPE_INTERVENANT_ABSENT"          else null,
            if [type_intervenant] = "EXTERNE" then "MENAGE_EXTERNE_DANS_M04"         else null,
            if [type_intervenant] = "INTERNE" and [taux_horaire_intervenant] = null
               and [_taux_n] = 0              then "TAUX_ABSENT_INTERVENANT_INTERNE" else null,
            if [type_intervenant] = "INTERNE" and [_taux_n] &gt; 1
                                              then "TAUX_MULTIPLE_INTERVENANT"        else null,
            if [type_menage] = "RANGEMENT"    then "MENAGE_RANGEMENT_A_CONTROLER"    else null,
            if [type_intervenant] = "INTERNE" and
               [ecart_main_oeuvre_vs_standard] &lt;&gt; null and
               [ecart_main_oeuvre_vs_standard] &lt; -SeuilEcart
                                              then "MENAGE_ECART_NEGATIF_IMPORTANT"  else null
        }, each _ &lt;&gt; null)
        in Codes),
    WithStatut = Table.AddColumn(WithCtrl, "statut_controle", each
                     if List.Contains([_codes], "MENAGE_SANS_LOGEMENT_ID")
                     then "EXCLU_RESULTAT"
                     else if List.Count([_codes]) &gt; 0 then "A_CONTROLER"
                     else "VALIDE"),
    WithNiv    = Table.AddColumn(WithStatut, "niveau_anomalie", each
                     if List.Contains([_codes], "MENAGE_SANS_LOGEMENT_ID") then "BLOQUANT"
                     else if List.Count([_codes]) &gt; 0                      then "A_CONTROLER"
                     else null),
    WithCode   = Table.AddColumn(WithNiv, "code_anomalie", each
                     Text.Combine([_codes], " | ")),
    // ── Étape 9 : PK + colonnes système ──────────────────────────────────────
    WithIdx    = Table.AddIndexColumn(WithCode, "_idx", 1, 1),
    WithPK     = Table.AddColumn(WithIdx, "menage_calc_id", each
                     "MEN-" &amp; Text.From([mois_saisie]) &amp; "-"
                     &amp; (if [logement_id] &lt;&gt; null then Text.From([logement_id]) else "INCONNU")
                     &amp; "-"
                     &amp; (if [intervenant_id] &lt;&gt; null then Text.From([intervenant_id]) else "INCONNU")
                     &amp; "-" &amp; Text.PadStart(Text.From([_idx]), 3, "0")),
    WithHash   = Table.AddColumn(WithPK, "ROW_HASH", each
                     // Checksum simple : somme des codes ASCII du PK
                     Text.PadStart(Text.From(
                         List.Sum(List.Transform(Text.ToList([menage_calc_id]),
                             each Character.ToNumber(_)))), 8, "0")),
    WithSys    = Table.AddColumn(WithHash, "source_module",    each "M04"),
    WithST     = Table.AddColumn(WithSys,  "source_table",     each "SOURCE_RAW"),
    WithSPK    = Table.AddColumn(WithST,   "source_pk",        each [menage_calc_id]),
    WithDI     = Table.AddColumn(WithSPK,  "date_integration", each DateTime.LocalNow()),
    // ── Étape 10 : mois / annee / mois_num depuis mois_saisie ────────────────
    WithAnnee    = Table.AddColumn(WithDI,    "annee",    each
                       try Number.FromText(Text.Start([mois_saisie], 4)) otherwise null),
    WithMoisNum  = Table.AddColumn(WithAnnee, "mois_num", each
                       try Number.FromText(Text.End([mois_saisie], 2)) otherwise null),
    // ── Étape 10bis : total_execution = cout_execution_total (colonne distincte) ────
    // total_execution est l'alias MASTER_CALC_Flux de la MO réelle ; jamais dupliqué dans SelectColumns.
    WithTotalExec = Table.AddColumn(WithMoisNum, "total_execution", each [cout_execution_total]),
    // ── Étape 11 : sélection et renommage colonnes finales (34 cols) ─────────
    Selected = Table.SelectColumns(WithTotalExec, {
        "menage_calc_id", "ROW_HASH",
        "mois_saisie", "annee", "mois_num",
        "logement_id", "proprietaire_id", "hostaway_listing_id",
        "appartement", "intervenant_id",
        "nom_intervenant", "type_intervenant",
        "type_menage", "nb_menages", "nb_heures", "taux_horaire_intervenant",
        "cout_execution_total", "cout_execution_unitaire",
        "cout_standard", "cout_standard_total_ligne",
        "ecart_main_oeuvre_vs_standard", "total_execution",
        "type_flux_id", "sens", "code_impact",
        "impact_resultat_reel", "impact_resultat_comptable",
        "statut_controle", "niveau_anomalie", "code_anomalie",
        "source_module", "source_table", "source_pk", "date_integration"
    }),
    Renamed = Table.RenameColumns(Selected, {
        {"mois_saisie", "mois"},
        {"appartement", "appartement_source"}
    })
in Renamed</t>
        </is>
      </c>
    </row>
    <row r="10" ht="100" customHeight="1">
      <c r="A10" s="11" t="inlineStr">
        <is>
          <t>Q8_VUE_ACTIVE</t>
        </is>
      </c>
      <c r="B10" s="12" t="inlineStr">
        <is>
          <t>// Q8_VUE_ACTIVE — MASTER filtré statut_controle=VALIDE ET type_intervenant=INTERNE
let
    Master    = Q7_MASTER,
    VueActive = Table.SelectRows(Master, each
                    [statut_controle] = "VALIDE" and
                    [type_intervenant] = "INTERNE")
in VueActive</t>
        </is>
      </c>
    </row>
    <row r="11" ht="100" customHeight="1">
      <c r="A11" s="11" t="inlineStr">
        <is>
          <t>Q9_VUE_ECART_HOSTAWAY</t>
        </is>
      </c>
      <c r="B11" s="12" t="inlineStr">
        <is>
          <t>// Q9_VUE_ECART_HOSTAWAY — Comparaison nb_menages M04 vs nb_menages_realises Lot 6a
// Contrôle MENAGE_ECART_HOSTAWAY_M04
// ADAPTER : chemin absolu vers MASTER_FACT_HA_CleaningTasks_Discovery.xlsx
let
    Master    = Q7_MASTER,
    // Agrégation M04 par mois × logement_id (VALIDE + INTERNE uniquement)
    M04Agg    = Table.Group(
                    Table.SelectRows(Master, each
                        [statut_controle] = "VALIDE" and [type_intervenant] = "INTERNE"),
                    {"mois", "logement_id", "appartement_source"},
                    {{"nb_menages_m04", each List.Sum([nb_menages]), type number}}),
    // Lot 6a VUE_COMPTAGE
    WB6a      = Excel.Workbook(File.Contents("C:\CHEMIN_A_ADAPTER\MASTER_FACT_HA_CleaningTasks_Discovery.xlsx"), null, true),
    VueCpt    = WB6a{[Item="VUE_COMPTAGE", Kind="Sheet"]}[Data],
    VueCptH   = Table.PromoteHeaders(VueCpt, [PromoteAllScalars=true]),
    HACols    = Table.SelectColumns(VueCptH, {"mois", "logement_id", "nb_menages_realises"}),
    HARename  = Table.RenameColumns(HACols, {{"nb_menages_realises", "nb_menages_hostaway_realises"}}),
    // Full outer join mois × logement_id
    Merged    = Table.NestedJoin(M04Agg, {"mois", "logement_id"},
                    HARename, {"mois", "logement_id"}, "HA", JoinKind.FullOuter),
    Expand    = Table.ExpandTableColumn(Merged, "HA",
                    {"nb_menages_hostaway_realises"}, {"nb_menages_hostaway_realises"}),
    WithEcart = Table.AddColumn(Expand, "ecart", each
                    if [nb_menages_m04] &lt;&gt; null and [nb_menages_hostaway_realises] &lt;&gt; null
                    then [nb_menages_m04] - [nb_menages_hostaway_realises] else null),
    WithStat  = Table.AddColumn(WithEcart, "statut_controle", each
                    if [ecart] = 0 then "VALIDE" else "A_CONTROLER"),
    WithCode  = Table.AddColumn(WithStat, "code_anomalie", each
                    if [statut_controle] = "A_CONTROLER"
                    then "MENAGE_ECART_HOSTAWAY_M04" else null),
    FinalCols = Table.SelectColumns(WithCode, {
                    "mois", "logement_id", "appartement_source",
                    "nb_menages_m04", "nb_menages_hostaway_realises",
                    "ecart", "statut_controle", "code_anomalie"})
in FinalCols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2" customWidth="1" min="1" max="1"/>
    <col width="85" customWidth="1" min="2" max="2"/>
  </cols>
  <sheetData>
    <row r="1">
      <c r="A1" s="13" t="inlineStr">
        <is>
          <t>══ M04 — MÉNAGES INTERNES ══</t>
        </is>
      </c>
      <c r="B1" s="14" t="inlineStr"/>
    </row>
    <row r="2">
      <c r="A2" s="11" t="inlineStr">
        <is>
          <t>Fichier</t>
        </is>
      </c>
      <c r="B2" s="15" t="inlineStr">
        <is>
          <t>M04_MENAGES_PowerQuery.xlsx</t>
        </is>
      </c>
    </row>
    <row r="3">
      <c r="A3" s="11" t="inlineStr">
        <is>
          <t>Lot</t>
        </is>
      </c>
      <c r="B3" s="15" t="inlineStr">
        <is>
          <t>Lot 6b</t>
        </is>
      </c>
    </row>
    <row r="4">
      <c r="A4" s="11" t="inlineStr">
        <is>
          <t>Date création</t>
        </is>
      </c>
      <c r="B4" s="15" t="inlineStr">
        <is>
          <t>2026-06-09</t>
        </is>
      </c>
    </row>
    <row r="5">
      <c r="A5" s="11" t="inlineStr">
        <is>
          <t>Script source</t>
        </is>
      </c>
      <c r="B5" s="15" t="inlineStr">
        <is>
          <t>02_TRAVAIL/lot6b_m04_menages_internes.py</t>
        </is>
      </c>
    </row>
    <row r="6">
      <c r="A6" s="15" t="inlineStr"/>
      <c r="B6" s="15" t="inlineStr"/>
    </row>
    <row r="7">
      <c r="A7" s="16" t="inlineStr">
        <is>
          <t>── PÉRIMÈTRE ──</t>
        </is>
      </c>
      <c r="B7" s="17" t="inlineStr"/>
    </row>
    <row r="8">
      <c r="A8" s="11" t="inlineStr">
        <is>
          <t>M04 calcule</t>
        </is>
      </c>
      <c r="B8" s="15" t="inlineStr">
        <is>
          <t>Main-d'œuvre interne réelle | Coût unitaire MO | Coût standard unitaire | Base pondération</t>
        </is>
      </c>
    </row>
    <row r="9">
      <c r="A9" s="11" t="inlineStr">
        <is>
          <t>M04 NE calcule PAS</t>
        </is>
      </c>
      <c r="B9" s="15" t="inlineStr">
        <is>
          <t>Consommables / Produits / Linge / Achats / Fournitures / Location cave / Charges récurrentes / Coût complet ménage</t>
        </is>
      </c>
    </row>
    <row r="10">
      <c r="A10" s="11" t="inlineStr">
        <is>
          <t>D027 irrévocable</t>
        </is>
      </c>
      <c r="B10" s="15" t="inlineStr">
        <is>
          <t>M04 = MO interne uniquement, HC, sans Courses ni lavage ni achats</t>
        </is>
      </c>
    </row>
    <row r="11">
      <c r="A11" s="15" t="inlineStr"/>
      <c r="B11" s="15" t="inlineStr"/>
    </row>
    <row r="12">
      <c r="A12" s="16" t="inlineStr">
        <is>
          <t>── FLUX / IMPACT ──</t>
        </is>
      </c>
      <c r="B12" s="17" t="inlineStr"/>
    </row>
    <row r="13">
      <c r="A13" s="11" t="inlineStr">
        <is>
          <t>TYPE_FLUX_013</t>
        </is>
      </c>
      <c r="B13" s="15" t="inlineStr">
        <is>
          <t>COUT_MO_INTERNE_MENAGE</t>
        </is>
      </c>
    </row>
    <row r="14">
      <c r="A14" s="11" t="inlineStr">
        <is>
          <t>code_impact</t>
        </is>
      </c>
      <c r="B14" s="15" t="inlineStr">
        <is>
          <t>HC — fixe (D027)</t>
        </is>
      </c>
    </row>
    <row r="15">
      <c r="A15" s="11" t="inlineStr">
        <is>
          <t>impact_resultat_reel</t>
        </is>
      </c>
      <c r="B15" s="15" t="inlineStr">
        <is>
          <t>OUI</t>
        </is>
      </c>
    </row>
    <row r="16">
      <c r="A16" s="11" t="inlineStr">
        <is>
          <t>impact_resultat_comptable</t>
        </is>
      </c>
      <c r="B16" s="15" t="inlineStr">
        <is>
          <t>NON</t>
        </is>
      </c>
    </row>
    <row r="17">
      <c r="A17" s="15" t="inlineStr"/>
      <c r="B17" s="15" t="inlineStr"/>
    </row>
    <row r="18">
      <c r="A18" s="16" t="inlineStr">
        <is>
          <t>── SOURCE DONNÉES ──</t>
        </is>
      </c>
      <c r="B18" s="17" t="inlineStr"/>
    </row>
    <row r="19">
      <c r="A19" s="11" t="inlineStr">
        <is>
          <t>Source</t>
        </is>
      </c>
      <c r="B19" s="15" t="inlineStr">
        <is>
          <t>Google Sheet 'Suivi ménage' — coller dans onglet SOURCE_RAW</t>
        </is>
      </c>
    </row>
    <row r="20">
      <c r="A20" s="11" t="inlineStr">
        <is>
          <t>Colonnes attendues</t>
        </is>
      </c>
      <c r="B20" s="15" t="inlineStr">
        <is>
          <t>mois_saisie | appartement | intervenant | type_menage | nb_menages | nb_heures</t>
        </is>
      </c>
    </row>
    <row r="21">
      <c r="A21" s="11" t="inlineStr">
        <is>
          <t>Attention</t>
        </is>
      </c>
      <c r="B21" s="15" t="inlineStr">
        <is>
          <t>Les noms de colonnes SOURCE_RAW doivent correspondre exactement aux headers du GSheet réel. Adapter si nécessaire.</t>
        </is>
      </c>
    </row>
    <row r="22">
      <c r="A22" s="15" t="inlineStr"/>
      <c r="B22" s="15" t="inlineStr"/>
    </row>
    <row r="23">
      <c r="A23" s="16" t="inlineStr">
        <is>
          <t>── CALCULS CLÉS ──</t>
        </is>
      </c>
      <c r="B23" s="17" t="inlineStr"/>
    </row>
    <row r="24">
      <c r="A24" s="11" t="inlineStr">
        <is>
          <t>cout_execution_total</t>
        </is>
      </c>
      <c r="B24" s="15">
        <f> nb_heures × taux_horaire_intervenant</f>
        <v/>
      </c>
    </row>
    <row r="25">
      <c r="A25" s="11" t="inlineStr">
        <is>
          <t>cout_standard_total_ligne</t>
        </is>
      </c>
      <c r="B25" s="15">
        <f> nb_menages × cout_standard  [BASE PONDÉRATION — non comptable]</f>
        <v/>
      </c>
    </row>
    <row r="26">
      <c r="A26" s="11" t="inlineStr">
        <is>
          <t>ecart_main_oeuvre_vs_standard</t>
        </is>
      </c>
      <c r="B26" s="15">
        <f> cout_standard − cout_execution_unitaire  (positif = favorable)</f>
        <v/>
      </c>
    </row>
    <row r="27">
      <c r="A27" s="11" t="inlineStr">
        <is>
          <t>Clé répartition future</t>
        </is>
      </c>
      <c r="B27" s="15" t="inlineStr">
        <is>
          <t>COUT_STANDARD_MENAGES_MOIS (non NOMBRE_MENAGES)</t>
        </is>
      </c>
    </row>
    <row r="28">
      <c r="A28" s="15" t="inlineStr"/>
      <c r="B28" s="15" t="inlineStr"/>
    </row>
    <row r="29">
      <c r="A29" s="16" t="inlineStr">
        <is>
          <t>── CONTRÔLES ──</t>
        </is>
      </c>
      <c r="B29" s="17" t="inlineStr"/>
    </row>
    <row r="30">
      <c r="A30" s="11" t="inlineStr">
        <is>
          <t>BLOQUANTS</t>
        </is>
      </c>
      <c r="B30" s="15" t="inlineStr">
        <is>
          <t>MENAGE_SANS_LOGEMENT_ID | M04_SCHEMA_SOURCE_INVALIDE | MENAGE_INTERNE_CODE_IMPACT_NON_HC</t>
        </is>
      </c>
    </row>
    <row r="31">
      <c r="A31" s="11" t="inlineStr">
        <is>
          <t>A_CONTROLER</t>
        </is>
      </c>
      <c r="B31" s="15" t="inlineStr">
        <is>
          <t>MENAGE_EXTERNE_DANS_M04 | TYPE_INTERVENANT_ABSENT | TAUX_ABSENT_INTERVENANT_INTERNE</t>
        </is>
      </c>
    </row>
    <row r="32">
      <c r="A32" s="15" t="inlineStr"/>
      <c r="B32" s="15" t="inlineStr">
        <is>
          <t>TAUX_MULTIPLE_INTERVENANT | MENAGE_RANGEMENT_A_CONTROLER | MENAGE_DOUBLON_POTENTIEL</t>
        </is>
      </c>
    </row>
    <row r="33">
      <c r="A33" s="15" t="inlineStr"/>
      <c r="B33" s="15" t="inlineStr">
        <is>
          <t>MENAGE_ECART_NEGATIF_IMPORTANT (seuil = SEUIL_ECART_STANDARD_MENAGE dans PARAMETRES_M04)</t>
        </is>
      </c>
    </row>
    <row r="34">
      <c r="A34" s="15" t="inlineStr"/>
      <c r="B34" s="15" t="inlineStr">
        <is>
          <t>MENAGE_ECART_HOSTAWAY_M04 (VUE_ECART_HOSTAWAY — comparaison Lot 6a)</t>
        </is>
      </c>
    </row>
    <row r="35">
      <c r="A35" s="15" t="inlineStr"/>
      <c r="B35" s="15" t="inlineStr"/>
    </row>
    <row r="36">
      <c r="A36" s="16" t="inlineStr">
        <is>
          <t>── POWER QUERY ──</t>
        </is>
      </c>
      <c r="B36" s="17" t="inlineStr"/>
    </row>
    <row r="37">
      <c r="A37" s="11" t="inlineStr">
        <is>
          <t>Adaptation requise</t>
        </is>
      </c>
      <c r="B37" s="15" t="inlineStr">
        <is>
          <t>Remplacer tous les chemins C:\CHEMIN_A_ADAPTER\ par les chemins absolus locaux</t>
        </is>
      </c>
    </row>
    <row r="38">
      <c r="A38" s="11" t="inlineStr">
        <is>
          <t>REF_Setup</t>
        </is>
      </c>
      <c r="B38" s="15" t="inlineStr">
        <is>
          <t>Q4/Q5/Q6/Q6B — chemin absolu vers 01_SOURCES_BRUTES/REF_Setup/REF_Setup.xlsm</t>
        </is>
      </c>
    </row>
    <row r="39">
      <c r="A39" s="11" t="inlineStr">
        <is>
          <t>Lot 6a</t>
        </is>
      </c>
      <c r="B39" s="15" t="inlineStr">
        <is>
          <t>Q9 — chemin absolu vers 02_TRAVAIL/Lot1_Hostaway/MASTER_FACT_HA_CleaningTasks_Discovery.xlsx</t>
        </is>
      </c>
    </row>
    <row r="40">
      <c r="A40" s="11" t="inlineStr">
        <is>
          <t>Q7_MASTER</t>
        </is>
      </c>
      <c r="B40" s="15" t="inlineStr">
        <is>
          <t>total_execution = cout_execution_total (colonne distincte, étape 10bis). Aucun doublon.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2026-06-09T13:38:48Z</dcterms:created>
  <dcterms:modified xsi:type="dcterms:W3CDTF">2026-06-15T09:42:15Z</dcterms:modified>
</cp:coreProperties>
</file>
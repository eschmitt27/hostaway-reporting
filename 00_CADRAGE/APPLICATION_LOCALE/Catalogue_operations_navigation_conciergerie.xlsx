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9c699ee7c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3fa71ced6e584868"/>
    <x:sheet xmlns:r="http://schemas.openxmlformats.org/officeDocument/2006/relationships" name="OPERATIONS" sheetId="2" r:id="Re0b6a8ca6e1e44f8"/>
    <x:sheet xmlns:r="http://schemas.openxmlformats.org/officeDocument/2006/relationships" name="REGLES" sheetId="3" r:id="Rf73d8a4b0f994a66"/>
    <x:sheet xmlns:r="http://schemas.openxmlformats.org/officeDocument/2006/relationships" name="CARTE_MENU" sheetId="4" r:id="R2973528a0c2444e6"/>
    <x:sheet xmlns:r="http://schemas.openxmlformats.org/officeDocument/2006/relationships" name="MENU_APP" sheetId="5" r:id="R6277bab99ff947e6"/>
    <x:sheet xmlns:r="http://schemas.openxmlformats.org/officeDocument/2006/relationships" name="PARCOURS" sheetId="6" r:id="Re6f05fd654784e2b"/>
    <x:sheet xmlns:r="http://schemas.openxmlformats.org/officeDocument/2006/relationships" name="DISPOSITION" sheetId="7" r:id="Rd0671179de47467b"/>
    <x:sheet xmlns:r="http://schemas.openxmlformats.org/officeDocument/2006/relationships" name="ACCESSIBILITE" sheetId="8" r:id="Rf03bce4d9fe648dc"/>
  </x:sheets>
</x:workbook>
</file>

<file path=xl/sharedStrings.xml><?xml version="1.0" encoding="utf-8"?>
<x:sst xmlns:x="http://schemas.openxmlformats.org/spreadsheetml/2006/main">
  <x:si>
    <x:t xml:space="preserve">Révision du périmètre fonctionnel — Application Conciergerie</x:t>
  </x:si>
  <x:si>
    <x:t xml:space="preserve">Renseigne « X » dans OPERATIONS &gt; Retirer ? (X) pour sortir une opération du périmètre. Les compteurs ci-dessous se mettront à jour dans Excel.</x:t>
  </x:si>
  <x:si>
    <x:t xml:space="preserve">Opérations recensées</x:t>
  </x:si>
  <x:si>
    <x:t xml:space="preserve">À conserver</x:t>
  </x:si>
  <x:si>
    <x:t xml:space="preserve">À retirer</x:t>
  </x:si>
  <x:si>
    <x:t xml:space="preserve">MVP conservées</x:t>
  </x:si>
  <x:si>
    <x:t xml:space="preserve">Suivi par module</x:t>
  </x:si>
  <x:si>
    <x:t xml:space="preserve">Module</x:t>
  </x:si>
  <x:si>
    <x:t xml:space="preserve">Total</x:t>
  </x:si>
  <x:si>
    <x:t xml:space="preserve">Rappel</x:t>
  </x:si>
  <x:si>
    <x:t xml:space="preserve">Référentiels</x:t>
  </x:si>
  <x:si>
    <x:t xml:space="preserve">• X dans « Retirer ? » = opération exclue.
• Les opérations MVP sont celles à construire en priorité.
• V2 = utile, mais non indispensable au premier fonctionnement.
• Les opérations de gestion d’accès sont volontairement exclues : application utilisée par une seule personne.</x:t>
  </x:si>
  <x:si>
    <x:t xml:space="preserve">Données sources</x:t>
  </x:si>
  <x:si>
    <x:t xml:space="preserve">Réservations</x:t>
  </x:si>
  <x:si>
    <x:t xml:space="preserve">Facturation</x:t>
  </x:si>
  <x:si>
    <x:t xml:space="preserve">Fournisseurs et charges</x:t>
  </x:si>
  <x:si>
    <x:t xml:space="preserve">Ménages</x:t>
  </x:si>
  <x:si>
    <x:t xml:space="preserve">Banque et caisse</x:t>
  </x:si>
  <x:si>
    <x:t xml:space="preserve">Trésorerie</x:t>
  </x:si>
  <x:si>
    <x:t xml:space="preserve">Associés, avances et avantages</x:t>
  </x:si>
  <x:si>
    <x:t xml:space="preserve">Suivi comptable</x:t>
  </x:si>
  <x:si>
    <x:t xml:space="preserve">Clôture</x:t>
  </x:si>
  <x:si>
    <x:t xml:space="preserve">Sauvegardes et archivage</x:t>
  </x:si>
  <x:si>
    <x:t xml:space="preserve">Navigation et suivi</x:t>
  </x:si>
  <x:si>
    <x:t xml:space="preserve">Catalogue des opérations à prévoir dans l’application de conciergerie</x:t>
  </x:si>
  <x:si>
    <x:t xml:space="preserve">Périmètre fonctionnel unique utilisateur. Mets X dans la colonne « Retirer ? (X) » pour exclure une opération de la future application.</x:t>
  </x:si>
  <x:si>
    <x:t xml:space="preserve">Les colonnes « Décision » et la synthèse se mettent à jour automatiquement. Utilise « Commentaire / modification demandée » pour préciser ce qui doit changer au lieu de retirer totalement une ligne.</x:t>
  </x:si>
  <x:si>
    <x:t xml:space="preserve">ID</x:t>
  </x:si>
  <x:si>
    <x:t xml:space="preserve">Sous-module</x:t>
  </x:si>
  <x:si>
    <x:t xml:space="preserve">Opération faisable</x:t>
  </x:si>
  <x:si>
    <x:t xml:space="preserve">Ce que l’application doit permettre</x:t>
  </x:si>
  <x:si>
    <x:t xml:space="preserve">Prérequis / garde-fou</x:t>
  </x:si>
  <x:si>
    <x:t xml:space="preserve">Retirer ? (X)</x:t>
  </x:si>
  <x:si>
    <x:t xml:space="preserve">Décision</x:t>
  </x:si>
  <x:si>
    <x:t xml:space="preserve">Phase proposée</x:t>
  </x:si>
  <x:si>
    <x:t xml:space="preserve">Commentaire / modification demandée</x:t>
  </x:si>
  <x:si>
    <x:t xml:space="preserve">REF-CLI-001</x:t>
  </x:si>
  <x:si>
    <x:t xml:space="preserve">Propriétaires / clients</x:t>
  </x:si>
  <x:si>
    <x:t xml:space="preserve">Créer un propriétaire ou client</x:t>
  </x:si>
  <x:si>
    <x:t xml:space="preserve">Créer une fiche même sans logement rattaché.</x:t>
  </x:si>
  <x:si>
    <x:t xml:space="preserve">Nom ou raison sociale ; coordonnées ; type ; date de début ; statut.</x:t>
  </x:si>
  <x:si>
    <x:t xml:space="preserve">MVP</x:t>
  </x:si>
  <x:si>
    <x:t xml:space="preserve">REF-CLI-002</x:t>
  </x:si>
  <x:si>
    <x:t xml:space="preserve">Modifier une fiche propriétaire ou client</x:t>
  </x:si>
  <x:si>
    <x:t xml:space="preserve">Mettre à jour les coordonnées, informations de facturation et notes.</x:t>
  </x:si>
  <x:si>
    <x:t xml:space="preserve">Fiche acteur existante.</x:t>
  </x:si>
  <x:si>
    <x:t xml:space="preserve">REF-CLI-003</x:t>
  </x:si>
  <x:si>
    <x:t xml:space="preserve">Archiver ou réactiver un propriétaire ou client</x:t>
  </x:si>
  <x:si>
    <x:t xml:space="preserve">Ne pas supprimer l’historique ; empêcher de nouveaux flux si archivé.</x:t>
  </x:si>
  <x:si>
    <x:t xml:space="preserve">Fiche existante ; motif si arrêt de gestion.</x:t>
  </x:si>
  <x:si>
    <x:t xml:space="preserve">REF-CLI-004</x:t>
  </x:si>
  <x:si>
    <x:t xml:space="preserve">Gérer les coordonnées de paiement</x:t>
  </x:si>
  <x:si>
    <x:t xml:space="preserve">Ajouter, corriger ou remplacer IBAN, BIC et titulaire du compte.</x:t>
  </x:si>
  <x:si>
    <x:t xml:space="preserve">RIB/IBAN ; contrôle de cohérence avant reversement.</x:t>
  </x:si>
  <x:si>
    <x:t xml:space="preserve">REF-CLI-005</x:t>
  </x:si>
  <x:si>
    <x:t xml:space="preserve">Gérer l’adresse de facturation</x:t>
  </x:si>
  <x:si>
    <x:t xml:space="preserve">Enregistrer et modifier les coordonnées de facturation.</x:t>
  </x:si>
  <x:si>
    <x:t xml:space="preserve">Adresse, e-mail de facturation.</x:t>
  </x:si>
  <x:si>
    <x:t xml:space="preserve">REF-CLI-006</x:t>
  </x:si>
  <x:si>
    <x:t xml:space="preserve">Rattacher des logements à un propriétaire</x:t>
  </x:si>
  <x:si>
    <x:t xml:space="preserve">Afficher les logements rattachés et les dates de rattachement.</x:t>
  </x:si>
  <x:si>
    <x:t xml:space="preserve">Propriétaire + logement ; date début/fin.</x:t>
  </x:si>
  <x:si>
    <x:t xml:space="preserve">REF-CLI-007</x:t>
  </x:si>
  <x:si>
    <x:t xml:space="preserve">Historiser les taux de commission</x:t>
  </x:si>
  <x:si>
    <x:t xml:space="preserve">Définir un taux par période, éventuellement par logement.</x:t>
  </x:si>
  <x:si>
    <x:t xml:space="preserve">Taux ; date de début ; date de fin ; logement éventuel.</x:t>
  </x:si>
  <x:si>
    <x:t xml:space="preserve">REF-CLI-008</x:t>
  </x:si>
  <x:si>
    <x:t xml:space="preserve">Gérer les conditions spécifiques du propriétaire</x:t>
  </x:si>
  <x:si>
    <x:t xml:space="preserve">Paramétrer forfait logiciel, consommables, suppléments et exceptions contractuelles.</x:t>
  </x:si>
  <x:si>
    <x:t xml:space="preserve">Période de validité ; logement si nécessaire.</x:t>
  </x:si>
  <x:si>
    <x:t xml:space="preserve">REF-CLI-009</x:t>
  </x:si>
  <x:si>
    <x:t xml:space="preserve">Ajouter documents et notes</x:t>
  </x:si>
  <x:si>
    <x:t xml:space="preserve">Attacher mandat, contrat, RIB, notes internes ou justificatifs.</x:t>
  </x:si>
  <x:si>
    <x:t xml:space="preserve">Fiche existante.</x:t>
  </x:si>
  <x:si>
    <x:t xml:space="preserve">V2</x:t>
  </x:si>
  <x:si>
    <x:t xml:space="preserve">REF-CLI-010</x:t>
  </x:si>
  <x:si>
    <x:t xml:space="preserve">Consulter l’historique financier du propriétaire</x:t>
  </x:si>
  <x:si>
    <x:t xml:space="preserve">Voir factures, reversements, réservations, incidents et soldes liés.</x:t>
  </x:si>
  <x:si>
    <x:t xml:space="preserve">Données opérationnelles rattachées.</x:t>
  </x:si>
  <x:si>
    <x:t xml:space="preserve">REF-INT-001</x:t>
  </x:si>
  <x:si>
    <x:t xml:space="preserve">Personnel de ménage interne</x:t>
  </x:si>
  <x:si>
    <x:t xml:space="preserve">Créer un intervenant interne</x:t>
  </x:si>
  <x:si>
    <x:t xml:space="preserve">Créer une fiche de personnel interne.</x:t>
  </x:si>
  <x:si>
    <x:t xml:space="preserve">Nom ; téléphone ; e-mail ; statut ; date de début.</x:t>
  </x:si>
  <x:si>
    <x:t xml:space="preserve">REF-INT-002</x:t>
  </x:si>
  <x:si>
    <x:t xml:space="preserve">Modifier les coordonnées d’un intervenant interne</x:t>
  </x:si>
  <x:si>
    <x:t xml:space="preserve">Mettre à jour téléphone, e-mail, notes et statut.</x:t>
  </x:si>
  <x:si>
    <x:t xml:space="preserve">Fiche intervenant existante.</x:t>
  </x:si>
  <x:si>
    <x:t xml:space="preserve">REF-INT-003</x:t>
  </x:si>
  <x:si>
    <x:t xml:space="preserve">Archiver ou réactiver un intervenant interne</x:t>
  </x:si>
  <x:si>
    <x:t xml:space="preserve">Conserver l’historique des déclarations et empêcher les nouveaux choix si archivé.</x:t>
  </x:si>
  <x:si>
    <x:t xml:space="preserve">REF-INT-004</x:t>
  </x:si>
  <x:si>
    <x:t xml:space="preserve">Historiser le taux horaire</x:t>
  </x:si>
  <x:si>
    <x:t xml:space="preserve">Ajouter un taux horaire applicable sur une période donnée.</x:t>
  </x:si>
  <x:si>
    <x:t xml:space="preserve">Taux ; date de début ; date de fin.</x:t>
  </x:si>
  <x:si>
    <x:t xml:space="preserve">REF-INT-005</x:t>
  </x:si>
  <x:si>
    <x:t xml:space="preserve">Définir les logements ou zones habituels</x:t>
  </x:si>
  <x:si>
    <x:t xml:space="preserve">Faciliter le préremplissage sans empêcher une affectation exceptionnelle.</x:t>
  </x:si>
  <x:si>
    <x:t xml:space="preserve">Intervenant + logement/zone.</x:t>
  </x:si>
  <x:si>
    <x:t xml:space="preserve">X</x:t>
  </x:si>
  <x:si>
    <x:t xml:space="preserve">REF-INT-006</x:t>
  </x:si>
  <x:si>
    <x:t xml:space="preserve">Déclarer les coordonnées de paiement</x:t>
  </x:si>
  <x:si>
    <x:t xml:space="preserve">Enregistrer les informations utiles au paiement interne si elles sont suivies dans l’outil.</x:t>
  </x:si>
  <x:si>
    <x:t xml:space="preserve">IBAN facultatif ; statut de validation.</x:t>
  </x:si>
  <x:si>
    <x:t xml:space="preserve">REF-INT-007</x:t>
  </x:si>
  <x:si>
    <x:t xml:space="preserve">Consulter les déclarations et écarts de l’intervenant</x:t>
  </x:si>
  <x:si>
    <x:t xml:space="preserve">Voir ménages déclarés, attendus, validés et écarts ouverts.</x:t>
  </x:si>
  <x:si>
    <x:t xml:space="preserve">Déclarations ménage + matching.</x:t>
  </x:si>
  <x:si>
    <x:t xml:space="preserve">REF-EXT-001</x:t>
  </x:si>
  <x:si>
    <x:t xml:space="preserve">Prestataires externes</x:t>
  </x:si>
  <x:si>
    <x:t xml:space="preserve">Créer un prestataire externe</x:t>
  </x:si>
  <x:si>
    <x:t xml:space="preserve">Créer une fiche fournisseur de ménage ou autre prestataire.</x:t>
  </x:si>
  <x:si>
    <x:t xml:space="preserve">Raison sociale ; contact ; coordonnées ; statut.</x:t>
  </x:si>
  <x:si>
    <x:t xml:space="preserve">REF-EXT-002</x:t>
  </x:si>
  <x:si>
    <x:t xml:space="preserve">Modifier un prestataire externe</x:t>
  </x:si>
  <x:si>
    <x:t xml:space="preserve">Mettre à jour coordonnées, contact, statut et notes.</x:t>
  </x:si>
  <x:si>
    <x:t xml:space="preserve">Fiche prestataire existante.</x:t>
  </x:si>
  <x:si>
    <x:t xml:space="preserve">REF-EXT-003</x:t>
  </x:si>
  <x:si>
    <x:t xml:space="preserve">Archiver ou réactiver un prestataire externe</x:t>
  </x:si>
  <x:si>
    <x:t xml:space="preserve">Conserver l’historique des factures et empêcher les nouveaux choix si archivé.</x:t>
  </x:si>
  <x:si>
    <x:t xml:space="preserve">REF-EXT-004</x:t>
  </x:si>
  <x:si>
    <x:t xml:space="preserve">Gérer les coordonnées légales et bancaires</x:t>
  </x:si>
  <x:si>
    <x:t xml:space="preserve">Enregistrer SIREN/SIRET, adresse, IBAN/BIC et conditions de paiement.</x:t>
  </x:si>
  <x:si>
    <x:t xml:space="preserve">Données légales et RIB si disponibles.</x:t>
  </x:si>
  <x:si>
    <x:t xml:space="preserve">REF-EXT-005</x:t>
  </x:si>
  <x:si>
    <x:t xml:space="preserve">Historiser les tarifs d’un prestataire</x:t>
  </x:si>
  <x:si>
    <x:t xml:space="preserve">Définir un tarif par logement, type de prestation et période.</x:t>
  </x:si>
  <x:si>
    <x:t xml:space="preserve">Prestataire + logement + prestation + période.</x:t>
  </x:si>
  <x:si>
    <x:t xml:space="preserve">REF-EXT-006</x:t>
  </x:si>
  <x:si>
    <x:t xml:space="preserve">Ajouter les documents du prestataire</x:t>
  </x:si>
  <x:si>
    <x:t xml:space="preserve">Joindre RIB, contrat, facture type ou justificatif.</x:t>
  </x:si>
  <x:si>
    <x:t xml:space="preserve">REF-EXT-007</x:t>
  </x:si>
  <x:si>
    <x:t xml:space="preserve">Consulter la dette et les paiements du prestataire</x:t>
  </x:si>
  <x:si>
    <x:t xml:space="preserve">Voir factures reçues, échéances, paiements et solde.</x:t>
  </x:si>
  <x:si>
    <x:t xml:space="preserve">Factures fournisseur + paiements.</x:t>
  </x:si>
  <x:si>
    <x:t xml:space="preserve">REF-ASS-001</x:t>
  </x:si>
  <x:si>
    <x:t xml:space="preserve">Associés</x:t>
  </x:si>
  <x:si>
    <x:t xml:space="preserve">Créer ou modifier une fiche associé</x:t>
  </x:si>
  <x:si>
    <x:t xml:space="preserve">Centraliser les associés concernés par avances, remboursements et dépenses personnelles.</x:t>
  </x:si>
  <x:si>
    <x:t xml:space="preserve">Nom ; coordonnées ; statut.</x:t>
  </x:si>
  <x:si>
    <x:t xml:space="preserve">REF-ASS-002</x:t>
  </x:si>
  <x:si>
    <x:t xml:space="preserve">Archiver un associé</x:t>
  </x:si>
  <x:si>
    <x:t xml:space="preserve">Conserver les flux historiques tout en empêchant les nouveaux mouvements.</x:t>
  </x:si>
  <x:si>
    <x:t xml:space="preserve">REF-LOG-001</x:t>
  </x:si>
  <x:si>
    <x:t xml:space="preserve">Logements</x:t>
  </x:si>
  <x:si>
    <x:t xml:space="preserve">Créer un logement</x:t>
  </x:si>
  <x:si>
    <x:t xml:space="preserve">Créer un nouveau logement avec toutes les données nécessaires aux calculs et rapprochements.</x:t>
  </x:si>
  <x:si>
    <x:t xml:space="preserve">Nom interne ; adresse ; type ; capacité ; propriétaire ; statut.</x:t>
  </x:si>
  <x:si>
    <x:t xml:space="preserve">REF-LOG-002</x:t>
  </x:si>
  <x:si>
    <x:t xml:space="preserve">Modifier un logement</x:t>
  </x:si>
  <x:si>
    <x:t xml:space="preserve">Mettre à jour adresse, caractéristiques, paramètres et notes.</x:t>
  </x:si>
  <x:si>
    <x:t xml:space="preserve">Fiche logement existante.</x:t>
  </x:si>
  <x:si>
    <x:t xml:space="preserve">est ce que ces infos ne pourraiant pas etre extrait de hostaway api?</x:t>
  </x:si>
  <x:si>
    <x:t xml:space="preserve">REF-LOG-003</x:t>
  </x:si>
  <x:si>
    <x:t xml:space="preserve">Archiver ou réactiver un logement</x:t>
  </x:si>
  <x:si>
    <x:t xml:space="preserve">Arrêter les nouveaux flux sans supprimer les réservations et historiques.</x:t>
  </x:si>
  <x:si>
    <x:t xml:space="preserve">Fiche existante ; date de fin de gestion.</x:t>
  </x:si>
  <x:si>
    <x:t xml:space="preserve">REF-LOG-004</x:t>
  </x:si>
  <x:si>
    <x:t xml:space="preserve">Rattacher ou changer de propriétaire</x:t>
  </x:si>
  <x:si>
    <x:t xml:space="preserve">Conserver l’historique des propriétaires par période.</x:t>
  </x:si>
  <x:si>
    <x:t xml:space="preserve">Logement + propriétaire + dates.</x:t>
  </x:si>
  <x:si>
    <x:t xml:space="preserve">REF-LOG-005</x:t>
  </x:si>
  <x:si>
    <x:t xml:space="preserve">Renseigner l’identifiant Hostaway</x:t>
  </x:si>
  <x:si>
    <x:t xml:space="preserve">Associer le logement à son listingMapId/identifiant stable Hostaway.</x:t>
  </x:si>
  <x:si>
    <x:t xml:space="preserve">Identifiant unique ; contrôle de doublon.</x:t>
  </x:si>
  <x:si>
    <x:t xml:space="preserve">REF-LOG-006</x:t>
  </x:si>
  <x:si>
    <x:t xml:space="preserve">Définir les canaux de réservation</x:t>
  </x:si>
  <x:si>
    <x:t xml:space="preserve">Indiquer Airbnb, Booking, Vrbo, direct ou autres canaux utilisés.</x:t>
  </x:si>
  <x:si>
    <x:t xml:space="preserve">Liste fermée de canaux.</x:t>
  </x:si>
  <x:si>
    <x:t xml:space="preserve">REF-LOG-007</x:t>
  </x:si>
  <x:si>
    <x:t xml:space="preserve">Définir le coût standard de ménage</x:t>
  </x:si>
  <x:si>
    <x:t xml:space="preserve">Gérer le coût standard par logement, type de ménage et période de validité.</x:t>
  </x:si>
  <x:si>
    <x:t xml:space="preserve">Logement + type ménage + dates + montant.</x:t>
  </x:si>
  <x:si>
    <x:t xml:space="preserve">REF-LOG-008</x:t>
  </x:si>
  <x:si>
    <x:t xml:space="preserve">Définir le prestataire ménage habituel</x:t>
  </x:si>
  <x:si>
    <x:t xml:space="preserve">Préremplir le prestataire ou intervenant sans bloquer les exceptions.</x:t>
  </x:si>
  <x:si>
    <x:t xml:space="preserve">Logement + intervenant/prestataire + période.</x:t>
  </x:si>
  <x:si>
    <x:t xml:space="preserve">REF-LOG-009</x:t>
  </x:si>
  <x:si>
    <x:t xml:space="preserve">Gérer les paramètres spécifiques du logement</x:t>
  </x:si>
  <x:si>
    <x:t xml:space="preserve">Définir supplément canapé, forfaits, règles particulières ou exceptions.</x:t>
  </x:si>
  <x:si>
    <x:t xml:space="preserve">Période de validité ; clé de paramètre.</x:t>
  </x:si>
  <x:si>
    <x:t xml:space="preserve">REF-LOG-010</x:t>
  </x:si>
  <x:si>
    <x:t xml:space="preserve">Ajouter documents et notes du logement</x:t>
  </x:si>
  <x:si>
    <x:t xml:space="preserve">Joindre mandat, consignes, contrats, photos ou notes internes.</x:t>
  </x:si>
  <x:si>
    <x:t xml:space="preserve">REF-LOG-011</x:t>
  </x:si>
  <x:si>
    <x:t xml:space="preserve">Consulter la fiche financière du logement</x:t>
  </x:si>
  <x:si>
    <x:t xml:space="preserve">Voir réservations, charges, ménages, factures, résultat et anomalies.</x:t>
  </x:si>
  <x:si>
    <x:t xml:space="preserve">REF-PAR-001</x:t>
  </x:si>
  <x:si>
    <x:t xml:space="preserve">Paramètres et listes</x:t>
  </x:si>
  <x:si>
    <x:t xml:space="preserve">Gérer les catégories de charges</x:t>
  </x:si>
  <x:si>
    <x:t xml:space="preserve">Ajouter, modifier ou archiver les catégories contrôlées.</x:t>
  </x:si>
  <x:si>
    <x:t xml:space="preserve">Liste de catégories ; impact réel/comptable.</x:t>
  </x:si>
  <x:si>
    <x:t xml:space="preserve">REF-PAR-002</x:t>
  </x:si>
  <x:si>
    <x:t xml:space="preserve">Gérer les types de ménage</x:t>
  </x:si>
  <x:si>
    <x:t xml:space="preserve">Définir ménage standard, approfondi, urgence, blanchisserie, etc.</x:t>
  </x:si>
  <x:si>
    <x:t xml:space="preserve">Liste fermée.</x:t>
  </x:si>
  <x:si>
    <x:t xml:space="preserve">REF-PAR-003</x:t>
  </x:si>
  <x:si>
    <x:t xml:space="preserve">Gérer les modes de paiement</x:t>
  </x:si>
  <x:si>
    <x:t xml:space="preserve">Maintenir les valeurs utilisées dans les saisies et rapprochements.</x:t>
  </x:si>
  <x:si>
    <x:t xml:space="preserve">REF-PAR-004</x:t>
  </x:si>
  <x:si>
    <x:t xml:space="preserve">Gérer les comptes bancaires et la caisse</x:t>
  </x:si>
  <x:si>
    <x:t xml:space="preserve">Créer les sources de trésorerie suivies dans l’application.</x:t>
  </x:si>
  <x:si>
    <x:t xml:space="preserve">Compte, IBAN ou libellé, statut, solde initial.</x:t>
  </x:si>
  <x:si>
    <x:t xml:space="preserve">REF-PAR-005</x:t>
  </x:si>
  <x:si>
    <x:t xml:space="preserve">Gérer les dépenses fixes récurrentes</x:t>
  </x:si>
  <x:si>
    <x:t xml:space="preserve">Créer, modifier, suspendre ou arrêter une charge récurrente de trésorerie.</x:t>
  </x:si>
  <x:si>
    <x:t xml:space="preserve">Montant ; fréquence ; échéance ; catégorie ; compte.</x:t>
  </x:si>
  <x:si>
    <x:t xml:space="preserve">REF-PAR-006</x:t>
  </x:si>
  <x:si>
    <x:t xml:space="preserve">Gérer les seuils d’alerte trésorerie</x:t>
  </x:si>
  <x:si>
    <x:t xml:space="preserve">Définir un seuil de prudence de trésorerie prévisionnelle.</x:t>
  </x:si>
  <x:si>
    <x:t xml:space="preserve">Montant ; période ; compte ou global.</x:t>
  </x:si>
  <x:si>
    <x:t xml:space="preserve">SRC-001</x:t>
  </x:si>
  <x:si>
    <x:t xml:space="preserve">Hostaway et calculs</x:t>
  </x:si>
  <x:si>
    <x:t xml:space="preserve">Lancer l’actualisation Hostaway</x:t>
  </x:si>
  <x:si>
    <x:t xml:space="preserve">Exécuter l’extraction des listings, réservations, finances et tâches disponibles.</x:t>
  </x:si>
  <x:si>
    <x:t xml:space="preserve">Configuration API existante ; journal d’exécution.</x:t>
  </x:si>
  <x:si>
    <x:t xml:space="preserve">SRC-002</x:t>
  </x:si>
  <x:si>
    <x:t xml:space="preserve">Consulter le résultat d’une actualisation</x:t>
  </x:si>
  <x:si>
    <x:t xml:space="preserve">Voir lignes importées, mises à jour, anomalies et éventuels échecs.</x:t>
  </x:si>
  <x:si>
    <x:t xml:space="preserve">Journal d’exécution.</x:t>
  </x:si>
  <x:si>
    <x:t xml:space="preserve">SRC-003</x:t>
  </x:si>
  <x:si>
    <x:t xml:space="preserve">Relancer les calculs du pipeline</x:t>
  </x:si>
  <x:si>
    <x:t xml:space="preserve">Recalculer payout, commissions, résultats, contrôles et exports après modification autorisée.</x:t>
  </x:si>
  <x:si>
    <x:t xml:space="preserve">Données sources et référentiels valides.</x:t>
  </x:si>
  <x:si>
    <x:t xml:space="preserve">SRC-004</x:t>
  </x:si>
  <x:si>
    <x:t xml:space="preserve">Consulter les anomalies de source</x:t>
  </x:si>
  <x:si>
    <x:t xml:space="preserve">Afficher les réservations sans propriétaire, payout incomplet, ID incohérent ou donnée manquante.</x:t>
  </x:si>
  <x:si>
    <x:t xml:space="preserve">Contrôles automatisés.</x:t>
  </x:si>
  <x:si>
    <x:t xml:space="preserve">SRC-005</x:t>
  </x:si>
  <x:si>
    <x:t xml:space="preserve">Corriger une donnée de correspondance</x:t>
  </x:si>
  <x:si>
    <x:t xml:space="preserve">Corriger une correspondance logement/propriétaire/source sans modifier silencieusement la source brute.</x:t>
  </x:si>
  <x:si>
    <x:t xml:space="preserve">Motif ; trace ; période concernée.</x:t>
  </x:si>
  <x:si>
    <x:t xml:space="preserve">SRC-006</x:t>
  </x:si>
  <x:si>
    <x:t xml:space="preserve">Exporter les tables de pilotage</x:t>
  </x:si>
  <x:si>
    <x:t xml:space="preserve">Produire les exports PBI/CSV prévus par le projet.</x:t>
  </x:si>
  <x:si>
    <x:t xml:space="preserve">Pipeline exécuté.</x:t>
  </x:si>
  <x:si>
    <x:t xml:space="preserve">RES-HH-001</x:t>
  </x:si>
  <x:si>
    <x:t xml:space="preserve">Hors Hostaway / OTA</x:t>
  </x:si>
  <x:si>
    <x:t xml:space="preserve">Créer une réservation hors Hostaway</x:t>
  </x:si>
  <x:si>
    <x:t xml:space="preserve">Saisir une réservation directe ou hors OTA sans ressaisir les réservations déjà importées.</x:t>
  </x:si>
  <x:si>
    <x:t xml:space="preserve">Logement ; dates ; voyageur ; montants ; canal ; statut.</x:t>
  </x:si>
  <x:si>
    <x:t xml:space="preserve">RES-HH-002</x:t>
  </x:si>
  <x:si>
    <x:t xml:space="preserve">Modifier une réservation hors Hostaway</x:t>
  </x:si>
  <x:si>
    <x:t xml:space="preserve">Corriger les données tant que la réservation ou le mois est modifiable.</x:t>
  </x:si>
  <x:si>
    <x:t xml:space="preserve">Réservation existante ; règles de clôture.</x:t>
  </x:si>
  <x:si>
    <x:t xml:space="preserve">RES-HH-003</x:t>
  </x:si>
  <x:si>
    <x:t xml:space="preserve">Annuler une réservation hors Hostaway</x:t>
  </x:si>
  <x:si>
    <x:t xml:space="preserve">Conserver l’historique et le motif d’annulation.</x:t>
  </x:si>
  <x:si>
    <x:t xml:space="preserve">Réservation existante ; statut ; éventuel remboursement.</x:t>
  </x:si>
  <x:si>
    <x:t xml:space="preserve">RES-HH-004</x:t>
  </x:si>
  <x:si>
    <x:t xml:space="preserve">Saisir un acompte</x:t>
  </x:si>
  <x:si>
    <x:t xml:space="preserve">Enregistrer un acompte et son lien avec la réservation et/ou facture.</x:t>
  </x:si>
  <x:si>
    <x:t xml:space="preserve">Montant ; date ; moyen de paiement ; justificatif.</x:t>
  </x:si>
  <x:si>
    <x:t xml:space="preserve">RES-HH-005</x:t>
  </x:si>
  <x:si>
    <x:t xml:space="preserve">Saisir un paiement ou solde voyageur</x:t>
  </x:si>
  <x:si>
    <x:t xml:space="preserve">Enregistrer les encaissements liés au séjour.</x:t>
  </x:si>
  <x:si>
    <x:t xml:space="preserve">Montant ; date ; moyen ; réservation/facture.</x:t>
  </x:si>
  <x:si>
    <x:t xml:space="preserve">RES-HH-006</x:t>
  </x:si>
  <x:si>
    <x:t xml:space="preserve">Rattacher un justificatif</x:t>
  </x:si>
  <x:si>
    <x:t xml:space="preserve">Ajouter contrat, preuve de paiement ou échange utile.</x:t>
  </x:si>
  <x:si>
    <x:t xml:space="preserve">Réservation existante.</x:t>
  </x:si>
  <x:si>
    <x:t xml:space="preserve">RES-HH-007</x:t>
  </x:si>
  <x:si>
    <x:t xml:space="preserve">Rattacher la réservation à un ménage attendu</x:t>
  </x:si>
  <x:si>
    <x:t xml:space="preserve">Créer le besoin de ménage lié au checkout.</x:t>
  </x:si>
  <x:si>
    <x:t xml:space="preserve">Réservation + logement + date de départ.</x:t>
  </x:si>
  <x:si>
    <x:t xml:space="preserve">RES-HH-008</x:t>
  </x:si>
  <x:si>
    <x:t xml:space="preserve">Rattacher une réservation à une facture ou un relevé</x:t>
  </x:si>
  <x:si>
    <x:t xml:space="preserve">Faire apparaître la réservation dans le document financier pertinent.</x:t>
  </x:si>
  <x:si>
    <x:t xml:space="preserve">Réservation validée ; période ouverte.</x:t>
  </x:si>
  <x:si>
    <x:t xml:space="preserve">RES-HH-009</x:t>
  </x:si>
  <x:si>
    <x:t xml:space="preserve">Détecter un doublon de réservation</x:t>
  </x:si>
  <x:si>
    <x:t xml:space="preserve">Alerter si mêmes logement, dates, voyageur ou référence existent déjà.</x:t>
  </x:si>
  <x:si>
    <x:t xml:space="preserve">Règles de détection ; validation manuelle.</x:t>
  </x:si>
  <x:si>
    <x:t xml:space="preserve">RES-HH-010</x:t>
  </x:si>
  <x:si>
    <x:t xml:space="preserve">Consulter le suivi financier de la réservation</x:t>
  </x:si>
  <x:si>
    <x:t xml:space="preserve">Voir montant, acomptes, solde, ménage, commission, facture et banque liés.</x:t>
  </x:si>
  <x:si>
    <x:t xml:space="preserve">Données liées disponibles.</x:t>
  </x:si>
  <x:si>
    <x:t xml:space="preserve">FAC-PRO-001</x:t>
  </x:si>
  <x:si>
    <x:t xml:space="preserve">Préfactures / relevés propriétaires</x:t>
  </x:si>
  <x:si>
    <x:t xml:space="preserve">Générer un document mensuel propriétaire-logement</x:t>
  </x:si>
  <x:si>
    <x:t xml:space="preserve">Préparer un document distinct par propriétaire, logement et mois.</x:t>
  </x:si>
  <x:si>
    <x:t xml:space="preserve">Données de période ; statut de clôture.</x:t>
  </x:si>
  <x:si>
    <x:t xml:space="preserve">FAC-PRO-002</x:t>
  </x:si>
  <x:si>
    <x:t xml:space="preserve">Consulter le détail d’un document</x:t>
  </x:si>
  <x:si>
    <x:t xml:space="preserve">Voir réservations, payouts, ménages, commissions, forfaits et ajustements.</x:t>
  </x:si>
  <x:si>
    <x:t xml:space="preserve">Document existant.</x:t>
  </x:si>
  <x:si>
    <x:t xml:space="preserve">FAC-PRO-003</x:t>
  </x:si>
  <x:si>
    <x:t xml:space="preserve">Ajouter un ajustement manuel structuré</x:t>
  </x:si>
  <x:si>
    <x:t xml:space="preserve">Ajouter une ligne exceptionnelle avec type, montant, sens, motif et justificatif.</x:t>
  </x:si>
  <x:si>
    <x:t xml:space="preserve">Type ; période ; logement ; propriétaire ; justificatif.</x:t>
  </x:si>
  <x:si>
    <x:t xml:space="preserve">FAC-PRO-004</x:t>
  </x:si>
  <x:si>
    <x:t xml:space="preserve">Ajouter un reversement Airbnb</x:t>
  </x:si>
  <x:si>
    <x:t xml:space="preserve">Rattacher un reversement Airbnb à une réservation ou un dossier pour éviter le double compte.</x:t>
  </x:si>
  <x:si>
    <x:t xml:space="preserve">Réservation/dossier ; justificatif ; contrôle de doublon.</x:t>
  </x:si>
  <x:si>
    <x:t xml:space="preserve">FAC-PRO-005</x:t>
  </x:si>
  <x:si>
    <x:t xml:space="preserve">Ajouter ou gérer un dossier AirCover</x:t>
  </x:si>
  <x:si>
    <x:t xml:space="preserve">Enregistrer montant, statut, source, réservation et impact financier de l’AirCover.</x:t>
  </x:si>
  <x:si>
    <x:t xml:space="preserve">Réservation/dossier ; justificatif.</x:t>
  </x:si>
  <x:si>
    <x:t xml:space="preserve">FAC-PRO-006</x:t>
  </x:si>
  <x:si>
    <x:t xml:space="preserve">Ajouter un acompte ou montant déjà reçu</x:t>
  </x:si>
  <x:si>
    <x:t xml:space="preserve">Prendre en compte un acompte ou une avance dans le calcul du solde.</x:t>
  </x:si>
  <x:si>
    <x:t xml:space="preserve">Source de paiement ; réservation/facture liée.</x:t>
  </x:si>
  <x:si>
    <x:t xml:space="preserve">FAC-PRO-007</x:t>
  </x:si>
  <x:si>
    <x:t xml:space="preserve">Ajouter une charge existante à un document</x:t>
  </x:si>
  <x:si>
    <x:t xml:space="preserve">Sélectionner une charge éligible et la rattacher sans double affectation.</x:t>
  </x:si>
  <x:si>
    <x:t xml:space="preserve">Charge existante ; logement/propriétaire ; statut compatible.</x:t>
  </x:si>
  <x:si>
    <x:t xml:space="preserve">FAC-PRO-008</x:t>
  </x:si>
  <x:si>
    <x:t xml:space="preserve">Ajouter un extra absent des charges</x:t>
  </x:si>
  <x:si>
    <x:t xml:space="preserve">Créer un extra structuré avec justificatif et impact réel/comptable.</x:t>
  </x:si>
  <x:si>
    <x:t xml:space="preserve">Type ; montant ; sens ; justificatif.</x:t>
  </x:si>
  <x:si>
    <x:t xml:space="preserve">FAC-PRO-009</x:t>
  </x:si>
  <x:si>
    <x:t xml:space="preserve">Empêcher le double rattachement d’une charge</x:t>
  </x:si>
  <x:si>
    <x:t xml:space="preserve">Bloquer ou alerter si une charge est déjà reprise dans un autre document.</x:t>
  </x:si>
  <x:si>
    <x:t xml:space="preserve">Clé de charge ; période.</x:t>
  </x:si>
  <x:si>
    <x:t xml:space="preserve">FAC-PRO-010</x:t>
  </x:si>
  <x:si>
    <x:t xml:space="preserve">Modifier un brouillon</x:t>
  </x:si>
  <x:si>
    <x:t xml:space="preserve">Corriger les lignes tant que le document n’est pas validé ou clôturé.</x:t>
  </x:si>
  <x:si>
    <x:t xml:space="preserve">Document brouillon ; mois ouvert.</x:t>
  </x:si>
  <x:si>
    <x:t xml:space="preserve">FAC-PRO-011</x:t>
  </x:si>
  <x:si>
    <x:t xml:space="preserve">Valider un document</x:t>
  </x:si>
  <x:si>
    <x:t xml:space="preserve">Passer le document à un état prêt à émettre ou à reverser après contrôles.</x:t>
  </x:si>
  <x:si>
    <x:t xml:space="preserve">Contrôles requis ; justificatifs si exception.</x:t>
  </x:si>
  <x:si>
    <x:t xml:space="preserve">FAC-PRO-012</x:t>
  </x:si>
  <x:si>
    <x:t xml:space="preserve">Émettre une facture ou un relevé final</x:t>
  </x:si>
  <x:si>
    <x:t xml:space="preserve">Figer l’état émis et générer le document exploitable.</x:t>
  </x:si>
  <x:si>
    <x:t xml:space="preserve">Numérotation ; données validées.</x:t>
  </x:si>
  <x:si>
    <x:t xml:space="preserve">FAC-PRO-013</x:t>
  </x:si>
  <x:si>
    <x:t xml:space="preserve">Corriger un document émis</x:t>
  </x:si>
  <x:si>
    <x:t xml:space="preserve">Créer un avoir, une correction ou une nouvelle révision liée à l’original.</x:t>
  </x:si>
  <x:si>
    <x:t xml:space="preserve">Motif ; référence au document initial.</x:t>
  </x:si>
  <x:si>
    <x:t xml:space="preserve">FAC-PRO-014</x:t>
  </x:si>
  <x:si>
    <x:t xml:space="preserve">Enregistrer un reversement propriétaire</x:t>
  </x:si>
  <x:si>
    <x:t xml:space="preserve">Suivre le montant, la date, le moyen et le rapprochement bancaire.</x:t>
  </x:si>
  <x:si>
    <x:t xml:space="preserve">Document validé ; RIB si virement.</x:t>
  </x:si>
  <x:si>
    <x:t xml:space="preserve">FAC-PRO-015</x:t>
  </x:si>
  <x:si>
    <x:t xml:space="preserve">Suivre le solde à reverser</x:t>
  </x:si>
  <x:si>
    <x:t xml:space="preserve">Afficher montant calculé, versé, restant et retard éventuel.</x:t>
  </x:si>
  <x:si>
    <x:t xml:space="preserve">Documents et paiements liés.</x:t>
  </x:si>
  <x:si>
    <x:t xml:space="preserve">FAC-PRO-016</x:t>
  </x:si>
  <x:si>
    <x:t xml:space="preserve">Exporter ou imprimer un document</x:t>
  </x:si>
  <x:si>
    <x:t xml:space="preserve">Produire PDF/format de partage avec les montants et références utiles.</x:t>
  </x:si>
  <x:si>
    <x:t xml:space="preserve">Document validé ou émis.</x:t>
  </x:si>
  <x:si>
    <x:t xml:space="preserve">FAC-PRO-017</x:t>
  </x:si>
  <x:si>
    <x:t xml:space="preserve">Consulter l’historique des documents du propriétaire</x:t>
  </x:si>
  <x:si>
    <x:t xml:space="preserve">Voir les documents, avoirs, ajustements et reversements liés.</x:t>
  </x:si>
  <x:si>
    <x:t xml:space="preserve">Propriétaire/logement sélectionné.</x:t>
  </x:si>
  <x:si>
    <x:t xml:space="preserve">FAC-CLI-001</x:t>
  </x:si>
  <x:si>
    <x:t xml:space="preserve">Factures clients et créances</x:t>
  </x:si>
  <x:si>
    <x:t xml:space="preserve">Créer une facture client</x:t>
  </x:si>
  <x:si>
    <x:t xml:space="preserve">Créer une facture pour un client/propriétaire ou autre débiteur.</x:t>
  </x:si>
  <x:si>
    <x:t xml:space="preserve">Client ; lignes ; échéance ; justificatifs.</x:t>
  </x:si>
  <x:si>
    <x:t xml:space="preserve">FAC-CLI-002</x:t>
  </x:si>
  <x:si>
    <x:t xml:space="preserve">Modifier un brouillon de facture client</x:t>
  </x:si>
  <x:si>
    <x:t xml:space="preserve">Corriger la facture avant émission.</x:t>
  </x:si>
  <x:si>
    <x:t xml:space="preserve">Facture brouillon.</x:t>
  </x:si>
  <x:si>
    <x:t xml:space="preserve">FAC-CLI-003</x:t>
  </x:si>
  <x:si>
    <x:t xml:space="preserve">Émettre une facture client</x:t>
  </x:si>
  <x:si>
    <x:t xml:space="preserve">Figer et numéroter la facture émise.</x:t>
  </x:si>
  <x:si>
    <x:t xml:space="preserve">Données complètes ; contrôles.</x:t>
  </x:si>
  <x:si>
    <x:t xml:space="preserve">FAC-CLI-004</x:t>
  </x:si>
  <x:si>
    <x:t xml:space="preserve">Créer un avoir client</x:t>
  </x:si>
  <x:si>
    <x:t xml:space="preserve">Corriger une facture émise en conservant le lien avec l’original.</x:t>
  </x:si>
  <x:si>
    <x:t xml:space="preserve">Motif ; facture d’origine.</x:t>
  </x:si>
  <x:si>
    <x:t xml:space="preserve">FAC-CLI-005</x:t>
  </x:si>
  <x:si>
    <x:t xml:space="preserve">Enregistrer un paiement client</x:t>
  </x:si>
  <x:si>
    <x:t xml:space="preserve">Imputer un encaissement à une facture, totalement ou partiellement.</x:t>
  </x:si>
  <x:si>
    <x:t xml:space="preserve">Montant ; date ; référence bancaire si disponible.</x:t>
  </x:si>
  <x:si>
    <x:t xml:space="preserve">toutes les opérations bancaire se rapproches automatiquement (le plus possible en evitant les erreurs)</x:t>
  </x:si>
  <x:si>
    <x:t xml:space="preserve">FAC-CLI-006</x:t>
  </x:si>
  <x:si>
    <x:t xml:space="preserve">Consulter les créances clients</x:t>
  </x:si>
  <x:si>
    <x:t xml:space="preserve">Voir factures non réglées, échues, partielles ou en litige.</x:t>
  </x:si>
  <x:si>
    <x:t xml:space="preserve">Factures et paiements.</x:t>
  </x:si>
  <x:si>
    <x:t xml:space="preserve">FAC-CLI-007</x:t>
  </x:si>
  <x:si>
    <x:t xml:space="preserve">Générer une relance client</x:t>
  </x:si>
  <x:si>
    <x:t xml:space="preserve">Préparer une relance depuis un modèle modifiable.</x:t>
  </x:si>
  <x:si>
    <x:t xml:space="preserve">Facture échue ou à relancer.</x:t>
  </x:si>
  <x:si>
    <x:t xml:space="preserve">modele a definir pareil pour les facture</x:t>
  </x:si>
  <x:si>
    <x:t xml:space="preserve">FAC-CLI-008</x:t>
  </x:si>
  <x:si>
    <x:t xml:space="preserve">Tracer une relance envoyée</x:t>
  </x:si>
  <x:si>
    <x:t xml:space="preserve">Noter date, canal et prochain rappel prévu.</x:t>
  </x:si>
  <x:si>
    <x:t xml:space="preserve">Facture ou client.</x:t>
  </x:si>
  <x:si>
    <x:t xml:space="preserve">FAC-CLI-009</x:t>
  </x:si>
  <x:si>
    <x:t xml:space="preserve">Marquer une créance comme litigieuse ou abandonnée</x:t>
  </x:si>
  <x:si>
    <x:t xml:space="preserve">Distinguer un retard, un litige et une perte validée.</x:t>
  </x:si>
  <x:si>
    <x:t xml:space="preserve">Motif et justificatif.</x:t>
  </x:si>
  <x:si>
    <x:t xml:space="preserve">FOU-001</x:t>
  </x:si>
  <x:si>
    <x:t xml:space="preserve">Factures fournisseurs</x:t>
  </x:si>
  <x:si>
    <x:t xml:space="preserve">Créer une facture fournisseur ou une charge</x:t>
  </x:si>
  <x:si>
    <x:t xml:space="preserve">Saisir une dépense avec fournisseur, montant, date, catégorie et justificatif.</x:t>
  </x:si>
  <x:si>
    <x:t xml:space="preserve">Fournisseur/catégorie ; pièce jointe si disponible.</x:t>
  </x:si>
  <x:si>
    <x:t xml:space="preserve">FOU-002</x:t>
  </x:si>
  <x:si>
    <x:t xml:space="preserve">Modifier une charge ou facture fournisseur</x:t>
  </x:si>
  <x:si>
    <x:t xml:space="preserve">Corriger les champs avant comptabilisation/clôture selon règles.</x:t>
  </x:si>
  <x:si>
    <x:t xml:space="preserve">Document existant ; période modifiable.</x:t>
  </x:si>
  <x:si>
    <x:t xml:space="preserve">FOU-003</x:t>
  </x:si>
  <x:si>
    <x:t xml:space="preserve">Rattacher une charge à un logement</x:t>
  </x:si>
  <x:si>
    <x:t xml:space="preserve">Affecter une charge à un logement ou la laisser globale.</x:t>
  </x:si>
  <x:si>
    <x:t xml:space="preserve">Logement valide ou catégorie globale.</x:t>
  </x:si>
  <x:si>
    <x:t xml:space="preserve">FOU-004</x:t>
  </x:si>
  <x:si>
    <x:t xml:space="preserve">Ventiler une charge entre plusieurs logements</x:t>
  </x:si>
  <x:si>
    <x:t xml:space="preserve">Répartir selon clé, pourcentage, montant ou règle métier.</x:t>
  </x:si>
  <x:si>
    <x:t xml:space="preserve">Clé de ventilation ; total contrôlé.</x:t>
  </x:si>
  <x:si>
    <x:t xml:space="preserve">FOU-005</x:t>
  </x:si>
  <x:si>
    <x:t xml:space="preserve">Classer une charge</x:t>
  </x:si>
  <x:si>
    <x:t xml:space="preserve">Choisir une catégorie et ses impacts réels/comptables.</x:t>
  </x:si>
  <x:si>
    <x:t xml:space="preserve">Liste de catégories fermée.</x:t>
  </x:si>
  <x:si>
    <x:t xml:space="preserve">FOU-006</x:t>
  </x:si>
  <x:si>
    <x:t xml:space="preserve">Ajouter un justificatif fournisseur</x:t>
  </x:si>
  <x:si>
    <x:t xml:space="preserve">Joindre facture, reçu, contrat ou preuve de paiement.</x:t>
  </x:si>
  <x:si>
    <x:t xml:space="preserve">Charge existante.</x:t>
  </x:si>
  <x:si>
    <x:t xml:space="preserve">FOU-007</x:t>
  </x:si>
  <x:si>
    <x:t xml:space="preserve">Valider une charge</x:t>
  </x:si>
  <x:si>
    <x:t xml:space="preserve">Passer la charge en état contrôlé, payable ou à comptabiliser.</x:t>
  </x:si>
  <x:si>
    <x:t xml:space="preserve">Données complètes ou dérogation motivée.</x:t>
  </x:si>
  <x:si>
    <x:t xml:space="preserve">FOU-008</x:t>
  </x:si>
  <x:si>
    <x:t xml:space="preserve">Planifier une échéance de paiement</x:t>
  </x:si>
  <x:si>
    <x:t xml:space="preserve">Suivre la date d’échéance, la priorité et le moyen prévu.</x:t>
  </x:si>
  <x:si>
    <x:t xml:space="preserve">Facture validée.</x:t>
  </x:si>
  <x:si>
    <x:t xml:space="preserve">FOU-009</x:t>
  </x:si>
  <x:si>
    <x:t xml:space="preserve">Enregistrer un paiement fournisseur</x:t>
  </x:si>
  <x:si>
    <x:t xml:space="preserve">Imputer un paiement total ou partiel à une facture.</x:t>
  </x:si>
  <x:si>
    <x:t xml:space="preserve">Montant ; date ; banque/caisse.</x:t>
  </x:si>
  <x:si>
    <x:t xml:space="preserve">FOU-010</x:t>
  </x:si>
  <x:si>
    <x:t xml:space="preserve">Rapprocher un paiement bancaire</x:t>
  </x:si>
  <x:si>
    <x:t xml:space="preserve">Lier une ligne bancaire à une facture fournisseur.</x:t>
  </x:si>
  <x:si>
    <x:t xml:space="preserve">Ligne bancaire ; facture.</x:t>
  </x:si>
  <x:si>
    <x:t xml:space="preserve">FOU-011</x:t>
  </x:si>
  <x:si>
    <x:t xml:space="preserve">Consulter les dettes fournisseurs</x:t>
  </x:si>
  <x:si>
    <x:t xml:space="preserve">Voir factures à payer, en retard, partiellement payées ou non rapprochées.</x:t>
  </x:si>
  <x:si>
    <x:t xml:space="preserve">FOU-012</x:t>
  </x:si>
  <x:si>
    <x:t xml:space="preserve">Détecter un doublon de facture fournisseur</x:t>
  </x:si>
  <x:si>
    <x:t xml:space="preserve">Alerter si même fournisseur, numéro, date et montant sont déjà présents.</x:t>
  </x:si>
  <x:si>
    <x:t xml:space="preserve">FOU-013</x:t>
  </x:si>
  <x:si>
    <x:t xml:space="preserve">Archiver une charge annulée ou erronée</x:t>
  </x:si>
  <x:si>
    <x:t xml:space="preserve">Conserver l’historique et le motif sans supprimer la trace.</x:t>
  </x:si>
  <x:si>
    <x:t xml:space="preserve">Motif ; document lié.</x:t>
  </x:si>
  <x:si>
    <x:t xml:space="preserve">MEN-001</x:t>
  </x:si>
  <x:si>
    <x:t xml:space="preserve">Attendus, réalisés et déclarés</x:t>
  </x:si>
  <x:si>
    <x:t xml:space="preserve">Afficher les ménages attendus</x:t>
  </x:si>
  <x:si>
    <x:t xml:space="preserve">Lister les ménages attendus depuis Hostaway et les réservations hors Hostaway.</x:t>
  </x:si>
  <x:si>
    <x:t xml:space="preserve">Tâches Hostaway + checkouts hors Hostaway.</x:t>
  </x:si>
  <x:si>
    <x:t xml:space="preserve">MEN-002</x:t>
  </x:si>
  <x:si>
    <x:t xml:space="preserve">Importer ou consulter les tâches Hostaway</x:t>
  </x:si>
  <x:si>
    <x:t xml:space="preserve">Afficher les tâches disponibles avec logement, date, statut et intervenant détecté.</x:t>
  </x:si>
  <x:si>
    <x:t xml:space="preserve">Données Hostaway disponibles.</x:t>
  </x:si>
  <x:si>
    <x:t xml:space="preserve">MEN-003</x:t>
  </x:si>
  <x:si>
    <x:t xml:space="preserve">Créer une déclaration de ménage interne</x:t>
  </x:si>
  <x:si>
    <x:t xml:space="preserve">Saisir les ménages déclarés par intervenant interne et logement.</x:t>
  </x:si>
  <x:si>
    <x:t xml:space="preserve">Intervenant ; logement ; date ; type ; quantité.</x:t>
  </x:si>
  <x:si>
    <x:t xml:space="preserve">doit venir de la google sheet de declaration</x:t>
  </x:si>
  <x:si>
    <x:t xml:space="preserve">MEN-004</x:t>
  </x:si>
  <x:si>
    <x:t xml:space="preserve">Modifier une déclaration de ménage interne</x:t>
  </x:si>
  <x:si>
    <x:t xml:space="preserve">Corriger une déclaration avant validation/clôture.</x:t>
  </x:si>
  <x:si>
    <x:t xml:space="preserve">Déclaration existante ; période ouverte.</x:t>
  </x:si>
  <x:si>
    <x:t xml:space="preserve">MEN-005</x:t>
  </x:si>
  <x:si>
    <x:t xml:space="preserve">Saisir ou associer une facture de ménage externe</x:t>
  </x:si>
  <x:si>
    <x:t xml:space="preserve">Enregistrer les volumes et montants facturés par prestataire externe.</x:t>
  </x:si>
  <x:si>
    <x:t xml:space="preserve">Facture fournisseur + prestataire + logement/type.</x:t>
  </x:si>
  <x:si>
    <x:t xml:space="preserve">MEN-006</x:t>
  </x:si>
  <x:si>
    <x:t xml:space="preserve">Matching</x:t>
  </x:si>
  <x:si>
    <x:t xml:space="preserve">Lancer le matching automatique</x:t>
  </x:si>
  <x:si>
    <x:t xml:space="preserve">Comparer attendu, réalisé, déclaré et facturé au niveau date/logement/intervenant/type.</x:t>
  </x:si>
  <x:si>
    <x:t xml:space="preserve">Données disponibles ; règles de matching.</x:t>
  </x:si>
  <x:si>
    <x:t xml:space="preserve">MEN-007</x:t>
  </x:si>
  <x:si>
    <x:t xml:space="preserve">Consulter le détail d’un écart</x:t>
  </x:si>
  <x:si>
    <x:t xml:space="preserve">Voir les lignes sources à l’origine de l’écart.</x:t>
  </x:si>
  <x:si>
    <x:t xml:space="preserve">Matching exécuté.</x:t>
  </x:si>
  <x:si>
    <x:t xml:space="preserve">MEN-008</x:t>
  </x:si>
  <x:si>
    <x:t xml:space="preserve">Corriger une donnée source autorisée</x:t>
  </x:si>
  <x:si>
    <x:t xml:space="preserve">Corriger une déclaration, une affectation ou une facture avant relance du matching.</x:t>
  </x:si>
  <x:si>
    <x:t xml:space="preserve">Période ouverte ; trace du motif.</x:t>
  </x:si>
  <x:si>
    <x:t xml:space="preserve">MEN-009</x:t>
  </x:si>
  <x:si>
    <x:t xml:space="preserve">Relancer le matching après correction</x:t>
  </x:si>
  <x:si>
    <x:t xml:space="preserve">Rejouer la comparaison sans perdre la trace de l’ancien résultat.</x:t>
  </x:si>
  <x:si>
    <x:t xml:space="preserve">Données corrigées.</x:t>
  </x:si>
  <x:si>
    <x:t xml:space="preserve">MEN-010</x:t>
  </x:si>
  <x:si>
    <x:t xml:space="preserve">Outrepasser un écart</x:t>
  </x:si>
  <x:si>
    <x:t xml:space="preserve">Valider malgré l’écart avec motif obligatoire.</x:t>
  </x:si>
  <x:si>
    <x:t xml:space="preserve">Écart existant ; motif obligatoire.</x:t>
  </x:si>
  <x:si>
    <x:t xml:space="preserve">MEN-011</x:t>
  </x:si>
  <x:si>
    <x:t xml:space="preserve">Clôturer un rapprochement ménage</x:t>
  </x:si>
  <x:si>
    <x:t xml:space="preserve">Marquer l’écart comme résolu, corrigé ou outrepassé.</x:t>
  </x:si>
  <x:si>
    <x:t xml:space="preserve">Tous écarts traités ou dérogés.</x:t>
  </x:si>
  <x:si>
    <x:t xml:space="preserve">MEN-012</x:t>
  </x:si>
  <x:si>
    <x:t xml:space="preserve">Coûts</x:t>
  </x:si>
  <x:si>
    <x:t xml:space="preserve">Calculer le coût complet de ménage</x:t>
  </x:si>
  <x:si>
    <x:t xml:space="preserve">Calculer coût direct, quote-part de courses, standard et écart selon règles métier.</x:t>
  </x:si>
  <x:si>
    <x:t xml:space="preserve">Référentiels coûts + données de ménage.</x:t>
  </x:si>
  <x:si>
    <x:t xml:space="preserve">MEN-013</x:t>
  </x:si>
  <x:si>
    <x:t xml:space="preserve">Consulter gain ou perte ménage par logement</x:t>
  </x:si>
  <x:si>
    <x:t xml:space="preserve">Afficher l’écart entre coût standard et coût réel complet.</x:t>
  </x:si>
  <x:si>
    <x:t xml:space="preserve">Calcul coûts disponible.</x:t>
  </x:si>
  <x:si>
    <x:t xml:space="preserve">MEN-014</x:t>
  </x:si>
  <x:si>
    <x:t xml:space="preserve">Consulter les anomalies de ménage</x:t>
  </x:si>
  <x:si>
    <x:t xml:space="preserve">Afficher absence de coût standard, tâche absente, déclaration incohérente, etc.</x:t>
  </x:si>
  <x:si>
    <x:t xml:space="preserve">Contrôles exécutés.</x:t>
  </x:si>
  <x:si>
    <x:t xml:space="preserve">BAN-001</x:t>
  </x:si>
  <x:si>
    <x:t xml:space="preserve">Banque</x:t>
  </x:si>
  <x:si>
    <x:t xml:space="preserve">Importer un relevé bancaire</x:t>
  </x:si>
  <x:si>
    <x:t xml:space="preserve">Charger les lignes de banque avec compte, date, libellé, sens et montant.</x:t>
  </x:si>
  <x:si>
    <x:t xml:space="preserve">Fichier ou source bancaire compatible.</x:t>
  </x:si>
  <x:si>
    <x:t xml:space="preserve">BAN-002</x:t>
  </x:si>
  <x:si>
    <x:t xml:space="preserve">Ajouter une ligne bancaire manuelle</x:t>
  </x:si>
  <x:si>
    <x:t xml:space="preserve">Saisir une opération absente d’un import ou une correction justifiée.</x:t>
  </x:si>
  <x:si>
    <x:t xml:space="preserve">Compte ; date ; montant ; libellé ; justificatif.</x:t>
  </x:si>
  <x:si>
    <x:t xml:space="preserve">BAN-003</x:t>
  </x:si>
  <x:si>
    <x:t xml:space="preserve">Détecter les doublons bancaires</x:t>
  </x:si>
  <x:si>
    <x:t xml:space="preserve">Identifier les doublons potentiels à partir d’une empreinte stable.</x:t>
  </x:si>
  <x:si>
    <x:t xml:space="preserve">Référence unique ou critères de dédoublonnage.</x:t>
  </x:si>
  <x:si>
    <x:t xml:space="preserve">BAN-004</x:t>
  </x:si>
  <x:si>
    <x:t xml:space="preserve">Consulter les lignes non classées</x:t>
  </x:si>
  <x:si>
    <x:t xml:space="preserve">Afficher les opérations qui n’ont pas encore de nature ou de rattachement.</x:t>
  </x:si>
  <x:si>
    <x:t xml:space="preserve">Import bancaire réalisé.</x:t>
  </x:si>
  <x:si>
    <x:t xml:space="preserve">BAN-005</x:t>
  </x:si>
  <x:si>
    <x:t xml:space="preserve">Proposer un classement d’une ligne bancaire</x:t>
  </x:si>
  <x:si>
    <x:t xml:space="preserve">Suggérer charge, encaissement, paiement, transfert, avance, caisse ou autre.</x:t>
  </x:si>
  <x:si>
    <x:t xml:space="preserve">Règles de correspondance ; validation manuelle.</x:t>
  </x:si>
  <x:si>
    <x:t xml:space="preserve">BAN-006</x:t>
  </x:si>
  <x:si>
    <x:t xml:space="preserve">Valider le classement d’une ligne bancaire</x:t>
  </x:si>
  <x:si>
    <x:t xml:space="preserve">Confirmer la nature retenue et le lien avec l’opération cible.</x:t>
  </x:si>
  <x:si>
    <x:t xml:space="preserve">Ligne bancaire + catégorie/rattachement.</x:t>
  </x:si>
  <x:si>
    <x:t xml:space="preserve">BAN-007</x:t>
  </x:si>
  <x:si>
    <x:t xml:space="preserve">Rattacher une ligne bancaire à une facture client</x:t>
  </x:si>
  <x:si>
    <x:t xml:space="preserve">Imputer un encaissement à une créance.</x:t>
  </x:si>
  <x:si>
    <x:t xml:space="preserve">Ligne bancaire + facture client.</x:t>
  </x:si>
  <x:si>
    <x:t xml:space="preserve">BAN-008</x:t>
  </x:si>
  <x:si>
    <x:t xml:space="preserve">Rattacher une ligne bancaire à une facture fournisseur</x:t>
  </x:si>
  <x:si>
    <x:t xml:space="preserve">Imputer un paiement fournisseur à une dette.</x:t>
  </x:si>
  <x:si>
    <x:t xml:space="preserve">Ligne bancaire + facture fournisseur.</x:t>
  </x:si>
  <x:si>
    <x:t xml:space="preserve">BAN-009</x:t>
  </x:si>
  <x:si>
    <x:t xml:space="preserve">Rattacher une ligne bancaire à un reversement propriétaire</x:t>
  </x:si>
  <x:si>
    <x:t xml:space="preserve">Identifier le virement de reversement et mettre à jour le solde.</x:t>
  </x:si>
  <x:si>
    <x:t xml:space="preserve">Ligne bancaire + document propriétaire.</x:t>
  </x:si>
  <x:si>
    <x:t xml:space="preserve">BAN-010</x:t>
  </x:si>
  <x:si>
    <x:t xml:space="preserve">Rattacher une ligne bancaire à une réservation ou un acompte</x:t>
  </x:si>
  <x:si>
    <x:t xml:space="preserve">Identifier un encaissement de séjour direct ou un acompte.</x:t>
  </x:si>
  <x:si>
    <x:t xml:space="preserve">Ligne bancaire + réservation/acomptes.</x:t>
  </x:si>
  <x:si>
    <x:t xml:space="preserve">BAN-011</x:t>
  </x:si>
  <x:si>
    <x:t xml:space="preserve">Rattacher une ligne bancaire à une charge existante</x:t>
  </x:si>
  <x:si>
    <x:t xml:space="preserve">Éviter de créer une seconde charge lorsqu’elle existe déjà.</x:t>
  </x:si>
  <x:si>
    <x:t xml:space="preserve">Ligne bancaire + charge.</x:t>
  </x:si>
  <x:si>
    <x:t xml:space="preserve">BAN-012</x:t>
  </x:si>
  <x:si>
    <x:t xml:space="preserve">Créer une charge depuis une ligne bancaire validée</x:t>
  </x:si>
  <x:si>
    <x:t xml:space="preserve">Créer une nouvelle charge seulement après validation explicite du classement.</x:t>
  </x:si>
  <x:si>
    <x:t xml:space="preserve">Ligne bancaire classée + catégorie.</x:t>
  </x:si>
  <x:si>
    <x:t xml:space="preserve">BAN-013</x:t>
  </x:si>
  <x:si>
    <x:t xml:space="preserve">Rattacher un transfert entre comptes</x:t>
  </x:si>
  <x:si>
    <x:t xml:space="preserve">Éviter qu’un transfert interne soit traité comme recette ou dépense.</x:t>
  </x:si>
  <x:si>
    <x:t xml:space="preserve">Deux lignes bancaires ou un compte cible.</x:t>
  </x:si>
  <x:si>
    <x:t xml:space="preserve">BAN-014</x:t>
  </x:si>
  <x:si>
    <x:t xml:space="preserve">Rattacher une avance ou un remboursement associé</x:t>
  </x:si>
  <x:si>
    <x:t xml:space="preserve">Classer les mouvements liés aux associés.</x:t>
  </x:si>
  <x:si>
    <x:t xml:space="preserve">Ligne bancaire + associé + nature.</x:t>
  </x:si>
  <x:si>
    <x:t xml:space="preserve">BAN-015</x:t>
  </x:si>
  <x:si>
    <x:t xml:space="preserve">Détacher et retraiter un rapprochement</x:t>
  </x:si>
  <x:si>
    <x:t xml:space="preserve">Annuler un lien erroné avec un motif puis remettre la ligne en attente.</x:t>
  </x:si>
  <x:si>
    <x:t xml:space="preserve">Rapprochement existant ; motif.</x:t>
  </x:si>
  <x:si>
    <x:t xml:space="preserve">BAN-016</x:t>
  </x:si>
  <x:si>
    <x:t xml:space="preserve">Comparer le solde bancaire calculé au relevé</x:t>
  </x:si>
  <x:si>
    <x:t xml:space="preserve">Identifier les écarts entre le solde théorique et le solde réel importé.</x:t>
  </x:si>
  <x:si>
    <x:t xml:space="preserve">Relevé ; compte ; date de référence.</x:t>
  </x:si>
  <x:si>
    <x:t xml:space="preserve">CAI-001</x:t>
  </x:si>
  <x:si>
    <x:t xml:space="preserve">Caisse liquide</x:t>
  </x:si>
  <x:si>
    <x:t xml:space="preserve">Enregistrer une entrée de caisse</x:t>
  </x:si>
  <x:si>
    <x:t xml:space="preserve">Saisir un encaissement en espèces avec origine et justificatif.</x:t>
  </x:si>
  <x:si>
    <x:t xml:space="preserve">Date ; montant ; origine ; responsable.</x:t>
  </x:si>
  <x:si>
    <x:t xml:space="preserve">CAI-002</x:t>
  </x:si>
  <x:si>
    <x:t xml:space="preserve">Enregistrer une sortie de caisse</x:t>
  </x:si>
  <x:si>
    <x:t xml:space="preserve">Saisir une dépense en espèces avec catégorie, justificatif et logement éventuel.</x:t>
  </x:si>
  <x:si>
    <x:t xml:space="preserve">Date ; montant ; catégorie ; justificatif.</x:t>
  </x:si>
  <x:si>
    <x:t xml:space="preserve">CAI-003</x:t>
  </x:si>
  <x:si>
    <x:t xml:space="preserve">Enregistrer un transfert banque-caisse</x:t>
  </x:si>
  <x:si>
    <x:t xml:space="preserve">Tracer les dépôts et retraits entre banque et espèces.</x:t>
  </x:si>
  <x:si>
    <x:t xml:space="preserve">Compte banque + caisse ; montant ; date.</x:t>
  </x:si>
  <x:si>
    <x:t xml:space="preserve">CAI-004</x:t>
  </x:si>
  <x:si>
    <x:t xml:space="preserve">Enregistrer un comptage physique de caisse</x:t>
  </x:si>
  <x:si>
    <x:t xml:space="preserve">Comparer la caisse théorique au montant réellement compté.</x:t>
  </x:si>
  <x:si>
    <x:t xml:space="preserve">Date ; montant compté ; justificatif éventuel.</x:t>
  </x:si>
  <x:si>
    <x:t xml:space="preserve">CAI-005</x:t>
  </x:si>
  <x:si>
    <x:t xml:space="preserve">Traiter un écart de caisse</x:t>
  </x:si>
  <x:si>
    <x:t xml:space="preserve">Corriger, expliquer ou outrepasser un écart avec motif.</x:t>
  </x:si>
  <x:si>
    <x:t xml:space="preserve">Écart constaté ; motif obligatoire.</x:t>
  </x:si>
  <x:si>
    <x:t xml:space="preserve">CAI-006</x:t>
  </x:si>
  <x:si>
    <x:t xml:space="preserve">Consulter l’historique de caisse</x:t>
  </x:si>
  <x:si>
    <x:t xml:space="preserve">Voir entrées, sorties, transferts, comptages et écarts.</x:t>
  </x:si>
  <x:si>
    <x:t xml:space="preserve">Mouvements existants.</x:t>
  </x:si>
  <x:si>
    <x:t xml:space="preserve">TRE-001</x:t>
  </x:si>
  <x:si>
    <x:t xml:space="preserve">Suivi réel</x:t>
  </x:si>
  <x:si>
    <x:t xml:space="preserve">Consulter le solde bancaire réel</x:t>
  </x:si>
  <x:si>
    <x:t xml:space="preserve">Afficher le dernier solde connu par compte et global.</x:t>
  </x:si>
  <x:si>
    <x:t xml:space="preserve">Imports/réconciliations bancaires.</x:t>
  </x:si>
  <x:si>
    <x:t xml:space="preserve">TRE-002</x:t>
  </x:si>
  <x:si>
    <x:t xml:space="preserve">Consulter le solde de caisse réel</x:t>
  </x:si>
  <x:si>
    <x:t xml:space="preserve">Afficher le solde théorique et le dernier comptage physique.</x:t>
  </x:si>
  <x:si>
    <x:t xml:space="preserve">Mouvements de caisse.</x:t>
  </x:si>
  <x:si>
    <x:t xml:space="preserve">TRE-003</x:t>
  </x:si>
  <x:si>
    <x:t xml:space="preserve">Prévisions</x:t>
  </x:si>
  <x:si>
    <x:t xml:space="preserve">Créer ou modifier une dépense fixe prévisionnelle</x:t>
  </x:si>
  <x:si>
    <x:t xml:space="preserve">Projeter les charges récurrentes à venir.</x:t>
  </x:si>
  <x:si>
    <x:t xml:space="preserve">Paramètres dépenses fixes.</x:t>
  </x:si>
  <x:si>
    <x:t xml:space="preserve">TRE-004</x:t>
  </x:si>
  <x:si>
    <x:t xml:space="preserve">Ajouter un encaissement prévisionnel</x:t>
  </x:si>
  <x:si>
    <x:t xml:space="preserve">Saisir un encaissement attendu hors flux automatiquement prévus.</x:t>
  </x:si>
  <x:si>
    <x:t xml:space="preserve">Montant ; date estimée ; source ; niveau de confiance.</x:t>
  </x:si>
  <x:si>
    <x:t xml:space="preserve">TRE-005</x:t>
  </x:si>
  <x:si>
    <x:t xml:space="preserve">Projeter les factures fournisseurs à payer</x:t>
  </x:si>
  <x:si>
    <x:t xml:space="preserve">Intégrer les échéances fournisseurs au calendrier de trésorerie.</x:t>
  </x:si>
  <x:si>
    <x:t xml:space="preserve">Factures fournisseur validées.</x:t>
  </x:si>
  <x:si>
    <x:t xml:space="preserve">TRE-006</x:t>
  </x:si>
  <x:si>
    <x:t xml:space="preserve">Projeter les reversements propriétaires</x:t>
  </x:si>
  <x:si>
    <x:t xml:space="preserve">Intégrer les montants attendus à reverser dans la prévision.</x:t>
  </x:si>
  <x:si>
    <x:t xml:space="preserve">Préfactures/relevés validés.</x:t>
  </x:si>
  <x:si>
    <x:t xml:space="preserve">TRE-007</x:t>
  </x:si>
  <x:si>
    <x:t xml:space="preserve">Consulter la trésorerie prévisionnelle</x:t>
  </x:si>
  <x:si>
    <x:t xml:space="preserve">Voir le solde projeté par semaine ou par mois.</x:t>
  </x:si>
  <x:si>
    <x:t xml:space="preserve">Flux réels + flux prévisionnels.</x:t>
  </x:si>
  <x:si>
    <x:t xml:space="preserve">TRE-008</x:t>
  </x:si>
  <x:si>
    <x:t xml:space="preserve">Afficher les alertes de trésorerie</x:t>
  </x:si>
  <x:si>
    <x:t xml:space="preserve">Signaler un solde prévisionnel négatif ou sous seuil.</x:t>
  </x:si>
  <x:si>
    <x:t xml:space="preserve">Seuil paramétré ; prévision calculée.</x:t>
  </x:si>
  <x:si>
    <x:t xml:space="preserve">TRE-009</x:t>
  </x:si>
  <x:si>
    <x:t xml:space="preserve">Comparer prévision et réalisé</x:t>
  </x:si>
  <x:si>
    <x:t xml:space="preserve">Mesurer les écarts entre ce qui était prévu et ce qui s’est produit.</x:t>
  </x:si>
  <x:si>
    <x:t xml:space="preserve">Prévisions passées + réel.</x:t>
  </x:si>
  <x:si>
    <x:t xml:space="preserve">TRE-010</x:t>
  </x:si>
  <x:si>
    <x:t xml:space="preserve">Simuler un scénario de trésorerie</x:t>
  </x:si>
  <x:si>
    <x:t xml:space="preserve">Tester un décalage d’encaissement, une dépense ou un reversement exceptionnel.</x:t>
  </x:si>
  <x:si>
    <x:t xml:space="preserve">Scénario non enregistré par défaut.</x:t>
  </x:si>
  <x:si>
    <x:t xml:space="preserve">trop complex</x:t>
  </x:si>
  <x:si>
    <x:t xml:space="preserve">ASS-001</x:t>
  </x:si>
  <x:si>
    <x:t xml:space="preserve">Mouvements associés</x:t>
  </x:si>
  <x:si>
    <x:t xml:space="preserve">Enregistrer une dépense professionnelle payée personnellement</x:t>
  </x:si>
  <x:si>
    <x:t xml:space="preserve">Reconnaître une dette de la société envers l’associé.</x:t>
  </x:si>
  <x:si>
    <x:t xml:space="preserve">Associé ; justificatif ; catégorie ; impact réel/comptable.</x:t>
  </x:si>
  <x:si>
    <x:t xml:space="preserve">ASS-002</x:t>
  </x:si>
  <x:si>
    <x:t xml:space="preserve">Enregistrer une dépense personnelle payée par la société</x:t>
  </x:si>
  <x:si>
    <x:t xml:space="preserve">Reconnaître une dette de l’associé envers la société.</x:t>
  </x:si>
  <x:si>
    <x:t xml:space="preserve">Associé ; justificatif ; motif ; impact réel/comptable.</x:t>
  </x:si>
  <x:si>
    <x:t xml:space="preserve">ASS-003</x:t>
  </x:si>
  <x:si>
    <x:t xml:space="preserve">Enregistrer une avance d’associé</x:t>
  </x:si>
  <x:si>
    <x:t xml:space="preserve">Tracer les fonds avancés à la société.</x:t>
  </x:si>
  <x:si>
    <x:t xml:space="preserve">Associé ; date ; montant ; banque/caisse.</x:t>
  </x:si>
  <x:si>
    <x:t xml:space="preserve">ASS-004</x:t>
  </x:si>
  <x:si>
    <x:t xml:space="preserve">Enregistrer un remboursement d’associé</x:t>
  </x:si>
  <x:si>
    <x:t xml:space="preserve">Réduire la dette de la société envers l’associé.</x:t>
  </x:si>
  <x:si>
    <x:t xml:space="preserve">ASS-005</x:t>
  </x:si>
  <x:si>
    <x:t xml:space="preserve">Enregistrer un montant récupéré hors Hostaway</x:t>
  </x:si>
  <x:si>
    <x:t xml:space="preserve">Tracer un montant récupéré directement et son lien économique.</x:t>
  </x:si>
  <x:si>
    <x:t xml:space="preserve">Montant ; source ; logement/réservation si applicable.</x:t>
  </x:si>
  <x:si>
    <x:t xml:space="preserve">ASS-006</x:t>
  </x:si>
  <x:si>
    <x:t xml:space="preserve">Consulter le solde par associé</x:t>
  </x:si>
  <x:si>
    <x:t xml:space="preserve">Afficher ce que la société doit à l’associé ou l’inverse.</x:t>
  </x:si>
  <x:si>
    <x:t xml:space="preserve">Mouvements associés rapprochés.</x:t>
  </x:si>
  <x:si>
    <x:t xml:space="preserve">ASS-007</x:t>
  </x:si>
  <x:si>
    <x:t xml:space="preserve">Joindre un justificatif à un mouvement associé</x:t>
  </x:si>
  <x:si>
    <x:t xml:space="preserve">Conserver preuve, facture, reçu ou relevé lié.</x:t>
  </x:si>
  <x:si>
    <x:t xml:space="preserve">Mouvement existant.</x:t>
  </x:si>
  <x:si>
    <x:t xml:space="preserve">COM-001</x:t>
  </x:si>
  <x:si>
    <x:t xml:space="preserve">Précomptabilité</x:t>
  </x:si>
  <x:si>
    <x:t xml:space="preserve">Lister les pièces à comptabiliser</x:t>
  </x:si>
  <x:si>
    <x:t xml:space="preserve">Afficher les factures, charges et mouvements ayant un statut à traiter.</x:t>
  </x:si>
  <x:si>
    <x:t xml:space="preserve">Données validées.</x:t>
  </x:si>
  <x:si>
    <x:t xml:space="preserve">COM-002</x:t>
  </x:si>
  <x:si>
    <x:t xml:space="preserve">Vérifier la présence des justificatifs</x:t>
  </x:si>
  <x:si>
    <x:t xml:space="preserve">Identifier les lignes sans pièce disponible ou avec pièce incomplète.</x:t>
  </x:si>
  <x:si>
    <x:t xml:space="preserve">Documents rattachés.</x:t>
  </x:si>
  <x:si>
    <x:t xml:space="preserve">COM-003</x:t>
  </x:si>
  <x:si>
    <x:t xml:space="preserve">Classer l’impact réel et comptable</x:t>
  </x:si>
  <x:si>
    <x:t xml:space="preserve">Conserver les deux indicateurs sans intégrer automatiquement l’extra-comptable en compta.</x:t>
  </x:si>
  <x:si>
    <x:t xml:space="preserve">Catégorie/règle métier ; validation.</x:t>
  </x:si>
  <x:si>
    <x:t xml:space="preserve">COM-004</x:t>
  </x:si>
  <x:si>
    <x:t xml:space="preserve">Marquer une opération comme transmise à la comptabilité</x:t>
  </x:si>
  <x:si>
    <x:t xml:space="preserve">Suivre la date de transmission et la référence d’export.</x:t>
  </x:si>
  <x:si>
    <x:t xml:space="preserve">Opération prête ; lot/export.</x:t>
  </x:si>
  <x:si>
    <x:t xml:space="preserve">COM-005</x:t>
  </x:si>
  <x:si>
    <x:t xml:space="preserve">Marquer une opération comme comptabilisée</x:t>
  </x:si>
  <x:si>
    <x:t xml:space="preserve">Conserver la date et la référence comptable si connue.</x:t>
  </x:si>
  <x:si>
    <x:t xml:space="preserve">Opération transmise ou traitée.</x:t>
  </x:si>
  <x:si>
    <x:t xml:space="preserve">COM-006</x:t>
  </x:si>
  <x:si>
    <x:t xml:space="preserve">Consulter les opérations non comptabilisées</x:t>
  </x:si>
  <x:si>
    <x:t xml:space="preserve">Voir les éléments validés mais non transmis ou non comptabilisés.</x:t>
  </x:si>
  <x:si>
    <x:t xml:space="preserve">Statuts comptables.</x:t>
  </x:si>
  <x:si>
    <x:t xml:space="preserve">COM-007</x:t>
  </x:si>
  <x:si>
    <x:t xml:space="preserve">Exporter un lot précomptable</x:t>
  </x:si>
  <x:si>
    <x:t xml:space="preserve">Produire un fichier de travail pour le cabinet comptable ou le logiciel comptable.</x:t>
  </x:si>
  <x:si>
    <x:t xml:space="preserve">Format de sortie défini.</x:t>
  </x:si>
  <x:si>
    <x:t xml:space="preserve">COM-008</x:t>
  </x:si>
  <x:si>
    <x:t xml:space="preserve">Consulter les anomalies comptables ouvertes</x:t>
  </x:si>
  <x:si>
    <x:t xml:space="preserve">Afficher les incohérences de catégorie, pièce, statut ou rattachement.</x:t>
  </x:si>
  <x:si>
    <x:t xml:space="preserve">CLO-001</x:t>
  </x:si>
  <x:si>
    <x:t xml:space="preserve">Pilotage mensuel</x:t>
  </x:si>
  <x:si>
    <x:t xml:space="preserve">Consulter l’état de préparation à la clôture</x:t>
  </x:si>
  <x:si>
    <x:t xml:space="preserve">Voir le statut de chaque sous-module et les blocages.</x:t>
  </x:si>
  <x:si>
    <x:t xml:space="preserve">Mois sélectionné ; contrôles disponibles.</x:t>
  </x:si>
  <x:si>
    <x:t xml:space="preserve">CLO-002</x:t>
  </x:si>
  <x:si>
    <x:t xml:space="preserve">Passer un mois en contrôle</x:t>
  </x:si>
  <x:si>
    <x:t xml:space="preserve">Geler la phase de revue sans le clôturer définitivement.</x:t>
  </x:si>
  <x:si>
    <x:t xml:space="preserve">Mois ouvert ; motif facultatif.</x:t>
  </x:si>
  <x:si>
    <x:t xml:space="preserve">CLO-003</x:t>
  </x:si>
  <x:si>
    <x:t xml:space="preserve">Voir les contrôles bloquants</x:t>
  </x:si>
  <x:si>
    <x:t xml:space="preserve">Afficher anomalies ouvertes, lignes non rapprochées, pièces manquantes et écarts.</x:t>
  </x:si>
  <x:si>
    <x:t xml:space="preserve">Contrôles de tous modules.</x:t>
  </x:si>
  <x:si>
    <x:t xml:space="preserve">CLO-004</x:t>
  </x:si>
  <x:si>
    <x:t xml:space="preserve">Valider un sous-module</x:t>
  </x:si>
  <x:si>
    <x:t xml:space="preserve">Valider séparément réservations, ménages, banque, fournisseurs, factures, etc.</x:t>
  </x:si>
  <x:si>
    <x:t xml:space="preserve">Sous-module prêt ou dérogé.</x:t>
  </x:si>
  <x:si>
    <x:t xml:space="preserve">CLO-005</x:t>
  </x:si>
  <x:si>
    <x:t xml:space="preserve">Préparer la clôture du mois</x:t>
  </x:si>
  <x:si>
    <x:t xml:space="preserve">Passer au statut prêt à clôturer lorsque les sous-modules requis sont traités.</x:t>
  </x:si>
  <x:si>
    <x:t xml:space="preserve">Contrôles complétés.</x:t>
  </x:si>
  <x:si>
    <x:t xml:space="preserve">CLO-006</x:t>
  </x:si>
  <x:si>
    <x:t xml:space="preserve">Clôturer un mois</x:t>
  </x:si>
  <x:si>
    <x:t xml:space="preserve">Figer le résultat du mois et créer un état de clôture.</x:t>
  </x:si>
  <x:si>
    <x:t xml:space="preserve">Mois prêt ; confirmation.</x:t>
  </x:si>
  <x:si>
    <x:t xml:space="preserve">CLO-007</x:t>
  </x:si>
  <x:si>
    <x:t xml:space="preserve">Forcer une clôture</x:t>
  </x:si>
  <x:si>
    <x:t xml:space="preserve">Permettre la clôture malgré des écarts avec motif obligatoire et liste des dérogations.</x:t>
  </x:si>
  <x:si>
    <x:t xml:space="preserve">Motif obligatoire ; anomalies recensées.</x:t>
  </x:si>
  <x:si>
    <x:t xml:space="preserve">CLO-008</x:t>
  </x:si>
  <x:si>
    <x:t xml:space="preserve">Réouvrir un mois clôturé</x:t>
  </x:si>
  <x:si>
    <x:t xml:space="preserve">Réouvrir avec motif et création d’une nouvelle révision de clôture.</x:t>
  </x:si>
  <x:si>
    <x:t xml:space="preserve">Motif obligatoire ; confirmation.</x:t>
  </x:si>
  <x:si>
    <x:t xml:space="preserve">CLO-009</x:t>
  </x:si>
  <x:si>
    <x:t xml:space="preserve">Créer un ajustement post-clôture</x:t>
  </x:si>
  <x:si>
    <x:t xml:space="preserve">Corriger un effet financier sans écraser silencieusement l’état clôturé initial.</x:t>
  </x:si>
  <x:si>
    <x:t xml:space="preserve">Référence au mois/document d’origine.</x:t>
  </x:si>
  <x:si>
    <x:t xml:space="preserve">CLO-010</x:t>
  </x:si>
  <x:si>
    <x:t xml:space="preserve">Consulter l’historique des clôtures et réouvertures</x:t>
  </x:si>
  <x:si>
    <x:t xml:space="preserve">Voir les dates, motifs, statuts et révisions successives.</x:t>
  </x:si>
  <x:si>
    <x:t xml:space="preserve">Mois sélectionné.</x:t>
  </x:si>
  <x:si>
    <x:t xml:space="preserve">CLO-011</x:t>
  </x:si>
  <x:si>
    <x:t xml:space="preserve">Générer un résumé de clôture</x:t>
  </x:si>
  <x:si>
    <x:t xml:space="preserve">Produire la synthèse des anomalies, dérogations, soldes et documents du mois.</x:t>
  </x:si>
  <x:si>
    <x:t xml:space="preserve">Mois clôturé ou en préparation.</x:t>
  </x:si>
  <x:si>
    <x:t xml:space="preserve">SAU-001</x:t>
  </x:si>
  <x:si>
    <x:t xml:space="preserve">États figés</x:t>
  </x:si>
  <x:si>
    <x:t xml:space="preserve">Créer automatiquement une sauvegarde bimensuelle</x:t>
  </x:si>
  <x:si>
    <x:t xml:space="preserve">Enregistrer un snapshot complet tous les 14 jours.</x:t>
  </x:si>
  <x:si>
    <x:t xml:space="preserve">Planification locale ; données + documents + paramètres.</x:t>
  </x:si>
  <x:si>
    <x:t xml:space="preserve">SAU-002</x:t>
  </x:si>
  <x:si>
    <x:t xml:space="preserve">Créer une sauvegarde avant clôture</x:t>
  </x:si>
  <x:si>
    <x:t xml:space="preserve">Figer un état avant une clôture mensuelle.</x:t>
  </x:si>
  <x:si>
    <x:t xml:space="preserve">Action de clôture déclenchée.</x:t>
  </x:si>
  <x:si>
    <x:t xml:space="preserve">SAU-003</x:t>
  </x:si>
  <x:si>
    <x:t xml:space="preserve">Créer une sauvegarde après clôture</x:t>
  </x:si>
  <x:si>
    <x:t xml:space="preserve">Figer l’état du système après clôture validée.</x:t>
  </x:si>
  <x:si>
    <x:t xml:space="preserve">Clôture réalisée.</x:t>
  </x:si>
  <x:si>
    <x:t xml:space="preserve">SAU-004</x:t>
  </x:si>
  <x:si>
    <x:t xml:space="preserve">Créer une sauvegarde avant réouverture</x:t>
  </x:si>
  <x:si>
    <x:t xml:space="preserve">Sauvegarder le mois avant modification d’un état clôturé.</x:t>
  </x:si>
  <x:si>
    <x:t xml:space="preserve">Réouverture demandée.</x:t>
  </x:si>
  <x:si>
    <x:t xml:space="preserve">SAU-005</x:t>
  </x:si>
  <x:si>
    <x:t xml:space="preserve">Consulter le registre des sauvegardes</x:t>
  </x:si>
  <x:si>
    <x:t xml:space="preserve">Voir date, contenu, motif et intégrité de chaque sauvegarde.</x:t>
  </x:si>
  <x:si>
    <x:t xml:space="preserve">Snapshots existants.</x:t>
  </x:si>
  <x:si>
    <x:t xml:space="preserve">SAU-006</x:t>
  </x:si>
  <x:si>
    <x:t xml:space="preserve">Restaurer une sauvegarde dans une copie de travail</x:t>
  </x:si>
  <x:si>
    <x:t xml:space="preserve">Permettre de revenir à un état sans écraser la base active par erreur.</x:t>
  </x:si>
  <x:si>
    <x:t xml:space="preserve">Snapshot existant ; confirmation forte.</x:t>
  </x:si>
  <x:si>
    <x:t xml:space="preserve">SAU-007</x:t>
  </x:si>
  <x:si>
    <x:t xml:space="preserve">Archiver des documents et données inactives</x:t>
  </x:si>
  <x:si>
    <x:t xml:space="preserve">Sortir de la vue active sans supprimer l’historique.</x:t>
  </x:si>
  <x:si>
    <x:t xml:space="preserve">Élément inactif/annulé/clôturé.</x:t>
  </x:si>
  <x:si>
    <x:t xml:space="preserve">NAV-001</x:t>
  </x:si>
  <x:si>
    <x:t xml:space="preserve">Accueil</x:t>
  </x:si>
  <x:si>
    <x:t xml:space="preserve">Afficher les soldes essentiels</x:t>
  </x:si>
  <x:si>
    <x:t xml:space="preserve">Présenter clients à recevoir, fournisseurs à payer, reversements propriétaires, banque et caisse.</x:t>
  </x:si>
  <x:si>
    <x:t xml:space="preserve">Données mises à jour.</x:t>
  </x:si>
  <x:si>
    <x:t xml:space="preserve">NAV-002</x:t>
  </x:si>
  <x:si>
    <x:t xml:space="preserve">Afficher les anomalies prioritaires</x:t>
  </x:si>
  <x:si>
    <x:t xml:space="preserve">Lister les blocages de clôture, écarts ménages et lignes banque non classées.</x:t>
  </x:si>
  <x:si>
    <x:t xml:space="preserve">Contrôles disponibles.</x:t>
  </x:si>
  <x:si>
    <x:t xml:space="preserve">NAV-003</x:t>
  </x:si>
  <x:si>
    <x:t xml:space="preserve">Afficher les tâches AirCover ou à suivre</x:t>
  </x:si>
  <x:si>
    <x:t xml:space="preserve">Suivre les dossiers AirCover, incidents ou to-do non clôturés.</x:t>
  </x:si>
  <x:si>
    <x:t xml:space="preserve">Dossiers et tâches enregistrés.</x:t>
  </x:si>
  <x:si>
    <x:t xml:space="preserve">NAV-004</x:t>
  </x:si>
  <x:si>
    <x:t xml:space="preserve">Recherche</x:t>
  </x:si>
  <x:si>
    <x:t xml:space="preserve">Rechercher un acteur, logement, réservation ou facture</x:t>
  </x:si>
  <x:si>
    <x:t xml:space="preserve">Retrouver rapidement une fiche ou un document.</x:t>
  </x:si>
  <x:si>
    <x:t xml:space="preserve">Index et données disponibles.</x:t>
  </x:si>
  <x:si>
    <x:t xml:space="preserve">NAV-005</x:t>
  </x:si>
  <x:si>
    <x:t xml:space="preserve">Filtrer les listes</x:t>
  </x:si>
  <x:si>
    <x:t xml:space="preserve">Filtrer par période, logement, propriétaire, statut, prestataire ou anomalie.</x:t>
  </x:si>
  <x:si>
    <x:t xml:space="preserve">Données structurées.</x:t>
  </x:si>
  <x:si>
    <x:t xml:space="preserve">NAV-006</x:t>
  </x:si>
  <x:si>
    <x:t xml:space="preserve">Traçabilité</x:t>
  </x:si>
  <x:si>
    <x:t xml:space="preserve">Consulter les dates de création et modification</x:t>
  </x:si>
  <x:si>
    <x:t xml:space="preserve">Afficher les dates de création/dernière modification de chaque élément.</x:t>
  </x:si>
  <x:si>
    <x:t xml:space="preserve">Tables applicatives.</x:t>
  </x:si>
  <x:si>
    <x:t xml:space="preserve">NAV-007</x:t>
  </x:si>
  <x:si>
    <x:t xml:space="preserve">Consulter les commentaires et motifs de dérogation</x:t>
  </x:si>
  <x:si>
    <x:t xml:space="preserve">Voir les motifs d’override, forçage, réouverture et corrections.</x:t>
  </x:si>
  <x:si>
    <x:t xml:space="preserve">Journal des événements.</x:t>
  </x:si>
  <x:si>
    <x:t xml:space="preserve">Règles métier à conserver dans le cadrage de l’application</x:t>
  </x:si>
  <x:si>
    <x:t xml:space="preserve">Ces règles résument les garde-fous déjà identifiés. Elles servent à vérifier que les opérations retenues resteront cohérentes lors de la conception.</x:t>
  </x:si>
  <x:si>
    <x:t xml:space="preserve">ID règle</x:t>
  </x:si>
  <x:si>
    <x:t xml:space="preserve">Domaine</x:t>
  </x:si>
  <x:si>
    <x:t xml:space="preserve">Règle à respecter</x:t>
  </x:si>
  <x:si>
    <x:t xml:space="preserve">Conséquence opérationnelle</x:t>
  </x:si>
  <x:si>
    <x:t xml:space="preserve">R-001</x:t>
  </x:si>
  <x:si>
    <x:t xml:space="preserve">Périmètre</x:t>
  </x:si>
  <x:si>
    <x:t xml:space="preserve">L’application est utilisée par une seule personne au départ ; aucun module de gestion des droits n’est retenu.</x:t>
  </x:si>
  <x:si>
    <x:t xml:space="preserve">Aucune opération d’ajout de comptes, rôles ou permissions n’est incluse dans le périmètre actuel.</x:t>
  </x:si>
  <x:si>
    <x:t xml:space="preserve">R-002</x:t>
  </x:si>
  <x:si>
    <x:t xml:space="preserve">Propriétaires</x:t>
  </x:si>
  <x:si>
    <x:t xml:space="preserve">Un propriétaire peut être créé avant que des logements lui soient rattachés.</x:t>
  </x:si>
  <x:si>
    <x:t xml:space="preserve">L’absence de logement ne bloque pas la création de sa fiche.</x:t>
  </x:si>
  <x:si>
    <x:t xml:space="preserve">R-003</x:t>
  </x:si>
  <x:si>
    <x:t xml:space="preserve">Reversements</x:t>
  </x:si>
  <x:si>
    <x:t xml:space="preserve">Le RIB n’est pas bloquant pour créer un propriétaire, mais il est requis avant un reversement bancaire.</x:t>
  </x:si>
  <x:si>
    <x:t xml:space="preserve">La fiche peut rester incomplète ; le paiement doit être bloqué/alerté tant que les données bancaires sont manquantes.</x:t>
  </x:si>
  <x:si>
    <x:t xml:space="preserve">R-004</x:t>
  </x:si>
  <x:si>
    <x:t xml:space="preserve">Commissions</x:t>
  </x:si>
  <x:si>
    <x:t xml:space="preserve">Les taux de commission doivent être historisés par période, avec possibilité de spécificité par logement.</x:t>
  </x:si>
  <x:si>
    <x:t xml:space="preserve">Une ancienne réservation ne doit pas être recalculée avec le taux actuel par erreur.</x:t>
  </x:si>
  <x:si>
    <x:t xml:space="preserve">R-005</x:t>
  </x:si>
  <x:si>
    <x:t xml:space="preserve">Ménages internes</x:t>
  </x:si>
  <x:si>
    <x:t xml:space="preserve">Le taux horaire appartient à l’intervenant interne.</x:t>
  </x:si>
  <x:si>
    <x:t xml:space="preserve">Le coût de main-d’œuvre interne peut être recalculé selon la période applicable.</x:t>
  </x:si>
  <x:si>
    <x:t xml:space="preserve">R-006</x:t>
  </x:si>
  <x:si>
    <x:t xml:space="preserve">Ménages standards</x:t>
  </x:si>
  <x:si>
    <x:t xml:space="preserve">Le prix ou coût standard de ménage appartient au logement, au type de ménage et à une période de validité.</x:t>
  </x:si>
  <x:si>
    <x:t xml:space="preserve">Il ne doit pas dépendre uniquement de la personne qui réalise le ménage.</x:t>
  </x:si>
  <x:si>
    <x:t xml:space="preserve">R-007</x:t>
  </x:si>
  <x:si>
    <x:t xml:space="preserve">Le tarif externe peut varier selon le prestataire, le logement, le type de prestation et la période.</x:t>
  </x:si>
  <x:si>
    <x:t xml:space="preserve">Un tarif unique global ne suffit pas pour les calculs de coûts et d’écarts.</x:t>
  </x:si>
  <x:si>
    <x:t xml:space="preserve">R-008</x:t>
  </x:si>
  <x:si>
    <x:t xml:space="preserve">Une facture ou un document émis ne doit jamais être modifié silencieusement.</x:t>
  </x:si>
  <x:si>
    <x:t xml:space="preserve">Toute correction passe par un avoir, une correction liée ou une nouvelle révision traçable.</x:t>
  </x:si>
  <x:si>
    <x:t xml:space="preserve">R-009</x:t>
  </x:si>
  <x:si>
    <x:t xml:space="preserve">Ajustements</x:t>
  </x:si>
  <x:si>
    <x:t xml:space="preserve">Tout ajustement doit avoir un type, un montant, un sens, une source, un motif et un impact réel/comptable.</x:t>
  </x:si>
  <x:si>
    <x:t xml:space="preserve">Les extras et reversements ne doivent pas être des lignes libres sans justification.</x:t>
  </x:si>
  <x:si>
    <x:t xml:space="preserve">R-010</x:t>
  </x:si>
  <x:si>
    <x:t xml:space="preserve">Une ligne bancaire ne crée pas automatiquement une charge définitive.</x:t>
  </x:si>
  <x:si>
    <x:t xml:space="preserve">Elle doit être classée et validée ou rattachée à une opération existante pour éviter les doublons.</x:t>
  </x:si>
  <x:si>
    <x:t xml:space="preserve">R-011</x:t>
  </x:si>
  <x:si>
    <x:t xml:space="preserve">Les écarts ménages se comparent entre attendu, réalisé, déclaré et facturé.</x:t>
  </x:si>
  <x:si>
    <x:t xml:space="preserve">Le matching doit pouvoir être relancé après correction ; un override doit être motivé.</x:t>
  </x:si>
  <x:si>
    <x:t xml:space="preserve">R-012</x:t>
  </x:si>
  <x:si>
    <x:t xml:space="preserve">Un mois clôturé ne doit pas être écrasé par une modification source postérieure.</x:t>
  </x:si>
  <x:si>
    <x:t xml:space="preserve">Il faut réouvrir le mois ou créer un ajustement post-clôture lié à une nouvelle révision.</x:t>
  </x:si>
  <x:si>
    <x:t xml:space="preserve">R-013</x:t>
  </x:si>
  <x:si>
    <x:t xml:space="preserve">Sauvegardes</x:t>
  </x:si>
  <x:si>
    <x:t xml:space="preserve">Un snapshot complet doit être réalisé au minimum tous les 14 jours et aux étapes sensibles.</x:t>
  </x:si>
  <x:si>
    <x:t xml:space="preserve">Prévoir aussi des snapshots avant/après clôture et avant réouverture.</x:t>
  </x:si>
  <x:si>
    <x:t xml:space="preserve">R-014</x:t>
  </x:si>
  <x:si>
    <x:t xml:space="preserve">Archivage</x:t>
  </x:si>
  <x:si>
    <x:t xml:space="preserve">Les éléments historiques ne sont pas supprimés ; ils sont archivés ou rendus inactifs.</x:t>
  </x:si>
  <x:si>
    <x:t xml:space="preserve">Les historiques de factures, réservations, coûts et rapprochements restent consultables.</x:t>
  </x:si>
  <x:si>
    <x:t xml:space="preserve">R-015</x:t>
  </x:si>
  <x:si>
    <x:t xml:space="preserve">Données structurées</x:t>
  </x:si>
  <x:si>
    <x:t xml:space="preserve">Utiliser des listes et identifiants stables dès qu’une donnée doit être rapprochée ou calculée.</x:t>
  </x:si>
  <x:si>
    <x:t xml:space="preserve">Limiter les champs libres aux commentaires, notes et motifs.</x:t>
  </x:si>
  <x:si>
    <x:t xml:space="preserve">R-016</x:t>
  </x:si>
  <x:si>
    <x:t xml:space="preserve">Doublons</x:t>
  </x:si>
  <x:si>
    <x:t xml:space="preserve">Les doublons de réservation, facture fournisseur, ligne bancaire et rattachement doivent être détectés.</x:t>
  </x:si>
  <x:si>
    <x:t xml:space="preserve">L’application doit alerter et demander une validation avant duplication.</x:t>
  </x:si>
  <x:si>
    <x:t xml:space="preserve">R-017</x:t>
  </x:si>
  <x:si>
    <x:t xml:space="preserve">Résultats</x:t>
  </x:si>
  <x:si>
    <x:t xml:space="preserve">Le résultat réel et le résultat comptable doivent rester distincts.</x:t>
  </x:si>
  <x:si>
    <x:t xml:space="preserve">Les flux extra-comptables ne sont pas intégrés automatiquement à la comptabilité.</x:t>
  </x:si>
  <x:si>
    <x:t xml:space="preserve">R-018</x:t>
  </x:si>
  <x:si>
    <x:t xml:space="preserve">Sources</x:t>
  </x:si>
  <x:si>
    <x:t xml:space="preserve">Les données Hostaway et bancaires doivent conserver leur origine et ne pas être remplacées par une saisie silencieuse.</x:t>
  </x:si>
  <x:si>
    <x:t xml:space="preserve">Une correction doit être un ajustement ou une correspondance tracée, pas un écrasement de la donnée brute.</x:t>
  </x:si>
  <x:si>
    <x:t xml:space="preserve">Document de cadrage généré le 30/06/2026 — à utiliser avant le découpage des écrans, données et règles de calcul.</x:t>
  </x:si>
</x:sst>
</file>

<file path=xl/styles.xml><?xml version="1.0" encoding="utf-8"?>
<x:styleSheet xmlns:x="http://schemas.openxmlformats.org/spreadsheetml/2006/main">
  <x:fonts count="23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25466"/>
      <x:name val="Carlito"/>
    </x:font>
    <x:font>
      <x:sz val="10"/>
      <x:color rgb="FF425466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B91C1C"/>
      <x:name val="Carlito"/>
    </x:font>
    <x:font>
      <x:b/>
      <x:sz val="9"/>
      <x:name val="Carlito"/>
    </x:font>
    <x:font>
      <x:b/>
      <x:sz val="9"/>
      <x:color rgb="FF425466"/>
      <x:name val="Carlito"/>
    </x:font>
    <x:font>
      <x:b/>
      <x:sz val="10"/>
      <x:color rgb="FF19324D"/>
      <x:name val="Carlito"/>
    </x:font>
    <x:font>
      <x:b/>
      <x:sz val="18"/>
      <x:color rgb="FF1F6F78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i/>
      <x:sz val="9"/>
      <x:color rgb="FF425466"/>
      <x:name val="Carlito"/>
    </x:font>
    <x:font>
      <x:i/>
      <x:sz val="10"/>
      <x:color rgb="FF1F2937"/>
      <x:name val="Carlito"/>
    </x:font>
    <x:font>
      <x:b/>
      <x:sz val="9"/>
      <x:color rgb="FFFFFFFF"/>
      <x:name val="Carlito"/>
    </x:font>
    <x:font>
      <x:b/>
      <x:sz val="9"/>
      <x:color rgb="FF17324D"/>
      <x:name val="Carlito"/>
    </x:font>
    <x:font>
      <x:sz val="9"/>
      <x:color rgb="FF1F2937"/>
      <x:name val="Carlito"/>
    </x:font>
    <x:font>
      <x:b/>
      <x:sz val="14"/>
      <x:color rgb="FF17324D"/>
      <x:name val="Carlito"/>
    </x:font>
    <x:font>
      <x:b/>
      <x:sz val="10"/>
      <x:color rgb="FF17324D"/>
      <x:name val="Carlito"/>
    </x:font>
    <x:font>
      <x:i/>
      <x:sz val="9"/>
      <x:color rgb="FF1F2937"/>
      <x:name val="Carlito"/>
    </x:font>
    <x:font>
      <x:sz val="9"/>
      <x:color rgb="FF1F293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E9F5F6"/>
      </x:patternFill>
    </x:fill>
    <x:fill>
      <x:patternFill patternType="solid">
        <x:fgColor rgb="FFEDF4FA"/>
      </x:patternFill>
    </x:fill>
    <x:fill>
      <x:patternFill patternType="solid">
        <x:fgColor rgb="FF1F6F78"/>
      </x:patternFill>
    </x:fill>
    <x:fill>
      <x:patternFill patternType="solid">
        <x:fgColor rgb="FFFFFFFF"/>
      </x:patternFill>
    </x:fill>
    <x:fill>
      <x:patternFill patternType="solid">
        <x:fgColor rgb="FFF4F6F8"/>
      </x:patternFill>
    </x:fill>
    <x:fill>
      <x:patternFill patternType="solid">
        <x:fgColor rgb="FF17324D"/>
      </x:patternFill>
    </x:fill>
    <x:fill>
      <x:patternFill patternType="solid">
        <x:fgColor rgb="FFEAF2F7"/>
      </x:patternFill>
    </x:fill>
    <x:fill>
      <x:patternFill patternType="solid">
        <x:fgColor rgb="FF0B5F66"/>
      </x:patternFill>
    </x:fill>
    <x:fill>
      <x:patternFill patternType="solid">
        <x:fgColor rgb="FF127A83"/>
      </x:patternFill>
    </x:fill>
    <x:fill>
      <x:patternFill patternType="solid">
        <x:fgColor rgb="FFFFFFFF"/>
      </x:patternFill>
    </x:fill>
    <x:fill>
      <x:patternFill patternType="solid">
        <x:fgColor rgb="FFE8F5F4"/>
      </x:patternFill>
    </x:fill>
    <x:fill>
      <x:patternFill patternType="solid">
        <x:fgColor rgb="FFFFF4CC"/>
      </x:patternFill>
    </x:fill>
    <x:fill>
      <x:patternFill patternType="solid">
        <x:fgColor rgb="FFF3F6F8"/>
      </x:patternFill>
    </x:fill>
  </x:fills>
  <x:borders count="2">
    <x:border/>
    <x:border/>
  </x:borders>
  <x:cellStyleXfs count="1">
    <x:xf numFmtId="0" fontId="0" fillId="0" borderId="0"/>
  </x:cellStyleXfs>
  <x:cellXfs count="151">
    <x:xf numFmtId="0" fontId="0" fillId="0" borderId="0" xfId="0"/>
    <x:xf numFmtId="0" fontId="4" fillId="5" borderId="0" xfId="0" applyFont="1" applyFill="1" applyAlignment="1">
      <x:alignment horizontal="center" vertical="center" wrapText="1"/>
    </x:xf>
    <x:xf numFmtId="0" fontId="5" fillId="0" borderId="0" xfId="0" applyFont="1" applyAlignment="1">
      <x:alignment vertical="top" wrapText="1"/>
    </x:xf>
    <x:xf numFmtId="0" fontId="6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 wrapText="1"/>
    </x:xf>
    <x:xf numFmtId="0" fontId="8" fillId="0" borderId="0" xfId="0" applyFont="1" applyAlignment="1">
      <x:alignment horizontal="center" vertical="center" wrapText="1"/>
    </x:xf>
    <x:xf numFmtId="0" fontId="9" fillId="4" borderId="0" xfId="0" applyFont="1" applyFill="1" applyAlignment="1">
      <x:alignment horizontal="center" vertical="center" wrapText="1"/>
    </x:xf>
    <x:xf numFmtId="0" fontId="12" fillId="0" borderId="0" xfId="0" applyFont="1" applyAlignment="1">
      <x:alignment vertical="center" wrapText="1"/>
    </x:xf>
    <x:xf numFmtId="0" fontId="12" fillId="0" borderId="0" xfId="0" applyFont="1" applyAlignment="1">
      <x:alignment horizontal="center" vertical="center" wrapText="1"/>
    </x:xf>
    <x:xf numFmtId="0" fontId="12" fillId="0" borderId="0" xfId="0" applyFont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2" fillId="3" borderId="0" xfId="0" applyFont="1" applyFill="1" applyAlignment="1">
      <x:alignment vertical="center" wrapText="1"/>
    </x:xf>
    <x:xf numFmtId="0" fontId="9" fillId="4" borderId="0" xfId="0" applyFont="1" applyFill="1" applyAlignment="1">
      <x:alignment horizontal="center" vertical="top" wrapText="1"/>
    </x:xf>
    <x:xf numFmtId="0" fontId="10" fillId="6" borderId="0" xfId="0" applyFont="1" applyFill="1" applyAlignment="1">
      <x:alignment horizontal="center" vertical="center"/>
    </x:xf>
    <x:xf numFmtId="0" fontId="11" fillId="5" borderId="0" xfId="0" applyFont="1" applyFill="1" applyAlignment="1">
      <x:alignment horizontal="center"/>
    </x:xf>
    <x:xf numFmtId="0" fontId="4" fillId="5" borderId="0" xfId="0" applyFont="1" applyFill="1" applyAlignment="1">
      <x:alignment horizontal="center"/>
    </x:xf>
    <x:xf numFmtId="0" fontId="3" fillId="3" borderId="0" xfId="0" applyFont="1" applyFill="1" applyAlignment="1">
      <x:alignment vertical="top" wrapText="1"/>
    </x:xf>
    <x:xf numFmtId="0" fontId="3" fillId="4" borderId="0" xfId="0" applyFont="1" applyFill="1" applyAlignment="1">
      <x:alignment vertical="center" wrapText="1"/>
    </x:xf>
    <x:xf numFmtId="0" fontId="13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wrapText="1"/>
    </x:xf>
    <x:xf numFmtId="0" fontId="14" fillId="7" borderId="0" xfId="0" applyFont="1" applyFill="1" applyAlignment="1">
      <x:alignment horizontal="center"/>
    </x:xf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horizontal="center" vertical="top" wrapText="1"/>
    </x:xf>
    <x:xf numFmtId="0" fontId="10" fillId="6" borderId="1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wrapText="1"/>
    </x:xf>
    <x:xf numFmtId="0" fontId="1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15" fillId="9" borderId="1" xfId="0" applyNumberFormat="1" applyFont="1" applyFill="1" applyBorder="1"/>
    <x:xf numFmtId="0" fontId="15" fillId="9" borderId="1" xfId="0" applyNumberFormat="1" applyFont="1" applyFill="1" applyBorder="1" applyAlignment="1">
      <x:alignment wrapText="1"/>
    </x:xf>
    <x:xf numFmtId="0" fontId="15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horizontal="center"/>
    </x:xf>
    <x:xf numFmtId="0" fontId="4" fillId="10" borderId="1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0" fontId="16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16" fillId="11" borderId="1" xfId="0" applyNumberFormat="1" applyFont="1" applyFill="1" applyBorder="1"/>
    <x:xf numFmtId="0" fontId="16" fillId="11" borderId="1" xfId="0" applyNumberFormat="1" applyFont="1" applyFill="1" applyBorder="1" applyAlignment="1">
      <x:alignment wrapText="1"/>
    </x:xf>
    <x:xf numFmtId="0" fontId="16" fillId="11" borderId="1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wrapText="1"/>
    </x:xf>
    <x:xf numFmtId="0" fontId="17" fillId="9" borderId="0" xfId="0" applyNumberFormat="1" applyFont="1" applyFill="1" applyBorder="1" applyAlignment="1">
      <x:alignment vertical="center" wrapText="1"/>
    </x:xf>
    <x:xf numFmtId="0" fontId="17" fillId="9" borderId="1" xfId="0" applyNumberFormat="1" applyFont="1" applyFill="1" applyBorder="1"/>
    <x:xf numFmtId="0" fontId="17" fillId="9" borderId="1" xfId="0" applyNumberFormat="1" applyFont="1" applyFill="1" applyBorder="1" applyAlignment="1">
      <x:alignment wrapText="1"/>
    </x:xf>
    <x:xf numFmtId="0" fontId="17" fillId="9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0" xfId="0" applyNumberFormat="1" applyFont="1" applyFill="1" applyBorder="1" applyAlignment="1">
      <x:alignment wrapText="1"/>
    </x:xf>
    <x:xf numFmtId="0" fontId="18" fillId="12" borderId="0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/>
    <x:xf numFmtId="0" fontId="18" fillId="12" borderId="1" xfId="0" applyNumberFormat="1" applyFont="1" applyFill="1" applyBorder="1"/>
    <x:xf numFmtId="0" fontId="18" fillId="12" borderId="1" xfId="0" applyNumberFormat="1" applyFont="1" applyFill="1" applyBorder="1" applyAlignment="1">
      <x:alignment wrapText="1"/>
    </x:xf>
    <x:xf numFmtId="0" fontId="18" fillId="12" borderId="1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vertical="center"/>
    </x:xf>
    <x:xf numFmtId="0" fontId="19" fillId="0" borderId="1" xfId="0" applyNumberFormat="1" applyFont="1" applyFill="1" applyBorder="1"/>
    <x:xf numFmtId="0" fontId="19" fillId="0" borderId="1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0" fillId="13" borderId="0" xfId="0" applyNumberFormat="1" applyFont="1" applyFill="1" applyBorder="1"/>
    <x:xf numFmtId="0" fontId="20" fillId="13" borderId="0" xfId="0" applyNumberFormat="1" applyFont="1" applyFill="1" applyBorder="1" applyAlignment="1">
      <x:alignment wrapText="1"/>
    </x:xf>
    <x:xf numFmtId="0" fontId="20" fillId="13" borderId="0" xfId="0" applyNumberFormat="1" applyFont="1" applyFill="1" applyBorder="1" applyAlignment="1">
      <x:alignment horizontal="center" wrapText="1"/>
    </x:xf>
    <x:xf numFmtId="0" fontId="20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20" fillId="13" borderId="1" xfId="0" applyNumberFormat="1" applyFont="1" applyFill="1" applyBorder="1"/>
    <x:xf numFmtId="0" fontId="20" fillId="13" borderId="1" xfId="0" applyNumberFormat="1" applyFont="1" applyFill="1" applyBorder="1" applyAlignment="1">
      <x:alignment wrapText="1"/>
    </x:xf>
    <x:xf numFmtId="0" fontId="20" fillId="13" borderId="1" xfId="0" applyNumberFormat="1" applyFont="1" applyFill="1" applyBorder="1" applyAlignment="1">
      <x:alignment horizontal="center" wrapText="1"/>
    </x:xf>
    <x:xf numFmtId="0" fontId="20" fillId="13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0" fillId="14" borderId="0" xfId="0" applyNumberFormat="1" applyFont="1" applyFill="1" applyBorder="1"/>
    <x:xf numFmtId="0" fontId="20" fillId="14" borderId="0" xfId="0" applyNumberFormat="1" applyFont="1" applyFill="1" applyBorder="1" applyAlignment="1">
      <x:alignment horizontal="center"/>
    </x:xf>
    <x:xf numFmtId="0" fontId="20" fillId="14" borderId="0" xfId="0" applyNumberFormat="1" applyFont="1" applyFill="1" applyBorder="1" applyAlignment="1">
      <x:alignment horizontal="center" vertical="center"/>
    </x:xf>
    <x:xf numFmtId="0" fontId="0" fillId="14" borderId="1" xfId="0" applyNumberFormat="1" applyFont="1" applyFill="1" applyBorder="1"/>
    <x:xf numFmtId="0" fontId="20" fillId="14" borderId="1" xfId="0" applyNumberFormat="1" applyFont="1" applyFill="1" applyBorder="1"/>
    <x:xf numFmtId="0" fontId="20" fillId="14" borderId="1" xfId="0" applyNumberFormat="1" applyFont="1" applyFill="1" applyBorder="1" applyAlignment="1">
      <x:alignment horizontal="center"/>
    </x:xf>
    <x:xf numFmtId="0" fontId="20" fillId="14" borderId="1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horizont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1" fillId="15" borderId="0" xfId="0" applyNumberFormat="1" applyFont="1" applyFill="1" applyBorder="1"/>
    <x:xf numFmtId="0" fontId="21" fillId="15" borderId="0" xfId="0" applyNumberFormat="1" applyFont="1" applyFill="1" applyBorder="1" applyAlignment="1">
      <x:alignment wrapText="1"/>
    </x:xf>
    <x:xf numFmtId="0" fontId="21" fillId="15" borderId="0" xfId="0" applyNumberFormat="1" applyFont="1" applyFill="1" applyBorder="1" applyAlignment="1">
      <x:alignment vertical="center" wrapText="1"/>
    </x:xf>
    <x:xf numFmtId="0" fontId="0" fillId="15" borderId="1" xfId="0" applyNumberFormat="1" applyFont="1" applyFill="1" applyBorder="1"/>
    <x:xf numFmtId="0" fontId="21" fillId="15" borderId="1" xfId="0" applyNumberFormat="1" applyFont="1" applyFill="1" applyBorder="1"/>
    <x:xf numFmtId="0" fontId="21" fillId="15" borderId="1" xfId="0" applyNumberFormat="1" applyFont="1" applyFill="1" applyBorder="1" applyAlignment="1">
      <x:alignment wrapText="1"/>
    </x:xf>
    <x:xf numFmtId="0" fontId="21" fillId="15" borderId="1" xfId="0" applyNumberFormat="1" applyFont="1" applyFill="1" applyBorder="1" applyAlignment="1">
      <x:alignment vertical="center" wrapText="1"/>
    </x:xf>
    <x:xf numFmtId="0" fontId="17" fillId="13" borderId="0" xfId="0" applyNumberFormat="1" applyFont="1" applyFill="1" applyBorder="1"/>
    <x:xf numFmtId="0" fontId="17" fillId="13" borderId="0" xfId="0" applyNumberFormat="1" applyFont="1" applyFill="1" applyBorder="1" applyAlignment="1">
      <x:alignment wrapText="1"/>
    </x:xf>
    <x:xf numFmtId="0" fontId="17" fillId="13" borderId="0" xfId="0" applyNumberFormat="1" applyFont="1" applyFill="1" applyBorder="1" applyAlignment="1">
      <x:alignment horizontal="center" wrapText="1"/>
    </x:xf>
    <x:xf numFmtId="0" fontId="17" fillId="13" borderId="0" xfId="0" applyNumberFormat="1" applyFont="1" applyFill="1" applyBorder="1" applyAlignment="1">
      <x:alignment horizontal="center" vertical="center" wrapText="1"/>
    </x:xf>
    <x:xf numFmtId="0" fontId="17" fillId="13" borderId="1" xfId="0" applyNumberFormat="1" applyFont="1" applyFill="1" applyBorder="1"/>
    <x:xf numFmtId="0" fontId="17" fillId="13" borderId="1" xfId="0" applyNumberFormat="1" applyFont="1" applyFill="1" applyBorder="1" applyAlignment="1">
      <x:alignment wrapText="1"/>
    </x:xf>
    <x:xf numFmtId="0" fontId="17" fillId="13" borderId="1" xfId="0" applyNumberFormat="1" applyFont="1" applyFill="1" applyBorder="1" applyAlignment="1">
      <x:alignment horizontal="center" wrapText="1"/>
    </x:xf>
    <x:xf numFmtId="0" fontId="17" fillId="13" borderId="1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vertical="top" wrapText="1"/>
    </x:xf>
    <x:xf numFmtId="0" fontId="22" fillId="0" borderId="1" xfId="0" applyNumberFormat="1" applyFont="1" applyFill="1" applyBorder="1"/>
    <x:xf numFmtId="0" fontId="22" fillId="0" borderId="1" xfId="0" applyNumberFormat="1" applyFont="1" applyFill="1" applyBorder="1" applyAlignment="1">
      <x:alignment wrapText="1"/>
    </x:xf>
    <x:xf numFmtId="0" fontId="22" fillId="0" borderId="1" xfId="0" applyNumberFormat="1" applyFont="1" applyFill="1" applyBorder="1" applyAlignment="1">
      <x:alignment vertical="top" wrapText="1"/>
    </x:xf>
    <x:xf numFmtId="0" fontId="22" fillId="0" borderId="0" xfId="0" applyNumberFormat="1" applyFont="1" applyFill="1" applyBorder="1" applyAlignment="1">
      <x:alignment horizontal="center" vertical="top" wrapText="1"/>
    </x:xf>
    <x:xf numFmtId="0" fontId="22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9324D"/>
      </x:font>
      <x:fill>
        <x:patternFill>
          <x:bgColor rgb="FFEDF4F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a6b4d53ff4af7" /><Relationship Type="http://schemas.openxmlformats.org/officeDocument/2006/relationships/theme" Target="/xl/theme/theme1.xml" Id="R3f834e2f192c450e" /><Relationship Type="http://schemas.openxmlformats.org/officeDocument/2006/relationships/sharedStrings" Target="/xl/sharedStrings.xml" Id="R8b06273f408d413f" /><Relationship Type="http://schemas.openxmlformats.org/officeDocument/2006/relationships/worksheet" Target="/xl/worksheets/sheet1.xml" Id="R3fa71ced6e584868" /><Relationship Type="http://schemas.openxmlformats.org/officeDocument/2006/relationships/worksheet" Target="/xl/worksheets/sheet2.xml" Id="Re0b6a8ca6e1e44f8" /><Relationship Type="http://schemas.openxmlformats.org/officeDocument/2006/relationships/worksheet" Target="/xl/worksheets/sheet3.xml" Id="Rf73d8a4b0f994a66" /><Relationship Type="http://schemas.openxmlformats.org/officeDocument/2006/relationships/worksheet" Target="/xl/worksheets/sheet4.xml" Id="R2973528a0c2444e6" /><Relationship Type="http://schemas.openxmlformats.org/officeDocument/2006/relationships/worksheet" Target="/xl/worksheets/sheet5.xml" Id="R6277bab99ff947e6" /><Relationship Type="http://schemas.openxmlformats.org/officeDocument/2006/relationships/worksheet" Target="/xl/worksheets/sheet6.xml" Id="Re6f05fd654784e2b" /><Relationship Type="http://schemas.openxmlformats.org/officeDocument/2006/relationships/worksheet" Target="/xl/worksheets/sheet7.xml" Id="Rd0671179de47467b" /><Relationship Type="http://schemas.openxmlformats.org/officeDocument/2006/relationships/worksheet" Target="/xl/worksheets/sheet8.xml" Id="Rf03bce4d9fe648dc" /></Relationships>
</file>

<file path=xl/tables/table1.xml><?xml version="1.0" encoding="utf-8"?>
<x:table xmlns:x="http://schemas.openxmlformats.org/spreadsheetml/2006/main" id="1" name="OperationsTable" displayName="OperationsTable" ref="A5:J189">
  <x:tableColumns count="10">
    <x:tableColumn id="1" name="ID"/>
    <x:tableColumn id="2" name="Module"/>
    <x:tableColumn id="3" name="Sous-module"/>
    <x:tableColumn id="4" name="Opération faisable"/>
    <x:tableColumn id="5" name="Ce que l’application doit permettre"/>
    <x:tableColumn id="6" name="Prérequis / garde-fou"/>
    <x:tableColumn id="7" name="Retirer ? (X)"/>
    <x:tableColumn id="8" name="Décision"/>
    <x:tableColumn id="9" name="Phase proposée"/>
    <x:tableColumn id="10" name="Commentaire / modification demandée"/>
  </x:tableColumns>
  <x:tableStyleInfo name="TableStyleMedium2" showRowStripes="1"/>
</x:table>
</file>

<file path=xl/tables/table2.xml><?xml version="1.0" encoding="utf-8"?>
<x:table xmlns:x="http://schemas.openxmlformats.org/spreadsheetml/2006/main" id="2" name="MenuAppTable" displayName="MenuAppTable" ref="A6:J25" headerRowCount="1">
  <x:tableColumns count="10">
    <x:tableColumn id="1" name="Ordre"/>
    <x:tableColumn id="2" name="Menu niveau 1"/>
    <x:tableColumn id="3" name="Sous-menu / onglet"/>
    <x:tableColumn id="4" name="Écran d’arrivée"/>
    <x:tableColumn id="5" name="Action primaire"/>
    <x:tableColumn id="6" name="Fonction principale"/>
    <x:tableColumn id="7" name="Accès rapide / lien"/>
    <x:tableColumn id="8" name="Retirer ? (X)"/>
    <x:tableColumn id="9" name="Décision"/>
    <x:tableColumn id="10" name="Commentaire / modification demandée"/>
  </x:tableColumns>
  <x:tableStyleInfo name="TableStyleMedium2" showRowStripes="1"/>
</x:table>
</file>

<file path=xl/tables/table3.xml><?xml version="1.0" encoding="utf-8"?>
<x:table xmlns:x="http://schemas.openxmlformats.org/spreadsheetml/2006/main" id="3" name="ParcoursTable" displayName="ParcoursTable" ref="A5:H17" headerRowCount="1">
  <x:tableColumns count="8">
    <x:tableColumn id="1" name="Situation"/>
    <x:tableColumn id="2" name="Point de départ"/>
    <x:tableColumn id="3" name="Action visible"/>
    <x:tableColumn id="4" name="Étapes utilisateur"/>
    <x:tableColumn id="5" name="Écran de fin / résultat"/>
    <x:tableColumn id="6" name="Raccourci secondaire"/>
    <x:tableColumn id="7" name="Règle de simplicité"/>
    <x:tableColumn id="8" name="Commentaire"/>
  </x:tableColumns>
  <x:tableStyleInfo name="TableStyleMedium2" showRowStripes="1"/>
</x:table>
</file>

<file path=xl/tables/table4.xml><?xml version="1.0" encoding="utf-8"?>
<x:table xmlns:x="http://schemas.openxmlformats.org/spreadsheetml/2006/main" id="4" name="DispositionTable" displayName="DispositionTable" ref="A5:H19" headerRowCount="1">
  <x:tableColumns count="8">
    <x:tableColumn id="1" name="Zone de l’écran"/>
    <x:tableColumn id="2" name="Position"/>
    <x:tableColumn id="3" name="Contenu"/>
    <x:tableColumn id="4" name="Règle ergonomique"/>
    <x:tableColumn id="5" name="À éviter"/>
    <x:tableColumn id="6" name="Priorité"/>
    <x:tableColumn id="7" name="Phase"/>
    <x:tableColumn id="8" name="Commentaire"/>
  </x:tableColumns>
  <x:tableStyleInfo name="TableStyleMedium2" showRowStripes="1"/>
</x:table>
</file>

<file path=xl/tables/table5.xml><?xml version="1.0" encoding="utf-8"?>
<x:table xmlns:x="http://schemas.openxmlformats.org/spreadsheetml/2006/main" id="5" name="AccessibiliteTable" displayName="AccessibiliteTable" ref="A5:K189" headerRowCount="1">
  <x:tableColumns count="11">
    <x:tableColumn id="1" name="ID catalogue"/>
    <x:tableColumn id="2" name="Module source"/>
    <x:tableColumn id="3" name="Opération faisable"/>
    <x:tableColumn id="4" name="Menu de l’application"/>
    <x:tableColumn id="5" name="Entrée dans l’écran"/>
    <x:tableColumn id="6" name="Emplacement exact"/>
    <x:tableColumn id="7" name="Visibilité"/>
    <x:tableColumn id="8" name="Fréquence"/>
    <x:tableColumn id="9" name="Décision catalogue"/>
    <x:tableColumn id="10" name="Phase"/>
    <x:tableColumn id="11" name="Commentaire navig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cbf8923bfc48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4ab71bcd6d045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fe91b29df884e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06df61f311a842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fa023f846253479c" /></Relationships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34" customWidth="1"/>
    <x:col min="2" max="4" width="15" customWidth="1"/>
    <x:col min="5" max="5" width="18" customWidth="1"/>
    <x:col min="6" max="6" width="4" customWidth="1"/>
    <x:col min="7" max="8" width="24" customWidth="1"/>
  </x:cols>
  <x:sheetData>
    <x:row r="1" ht="30" customHeight="1">
      <x:c r="A1" s="10" t="s">
        <x:v>0</x:v>
      </x:c>
      <x:c r="B1" s="11"/>
      <x:c r="C1" s="11"/>
      <x:c r="D1" s="11"/>
      <x:c r="E1" s="11"/>
      <x:c r="F1" s="11"/>
      <x:c r="G1" s="11"/>
      <x:c r="H1" s="11"/>
    </x:row>
    <x:row r="2" ht="27.950000762939453" customHeight="1">
      <x:c r="A2" s="12" t="s">
        <x:v>1</x:v>
      </x:c>
      <x:c r="B2" s="11"/>
      <x:c r="C2" s="11"/>
      <x:c r="D2" s="11"/>
      <x:c r="E2" s="11"/>
      <x:c r="F2" s="11"/>
      <x:c r="G2" s="11"/>
      <x:c r="H2" s="11"/>
    </x:row>
    <x:row r="4">
      <x:c r="A4" s="13" t="s">
        <x:v>2</x:v>
      </x:c>
      <x:c r="B4" s="11"/>
      <x:c r="C4" s="13" t="s">
        <x:v>3</x:v>
      </x:c>
      <x:c r="D4" s="11"/>
      <x:c r="E4" s="13" t="s">
        <x:v>4</x:v>
      </x:c>
      <x:c r="F4" s="11"/>
      <x:c r="G4" s="13" t="s">
        <x:v>5</x:v>
      </x:c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  <x:row r="6">
      <x:c r="A6" s="14" t="n">
        <x:f>COUNTA(OPERATIONS!$A$6:$A$189)</x:f>
        <x:v>184</x:v>
      </x:c>
      <x:c r="B6" s="11"/>
      <x:c r="C6" s="14" t="n">
        <x:f>COUNTIF(OPERATIONS!$H$6:$H$189,"À conserver")</x:f>
        <x:v>179</x:v>
      </x:c>
      <x:c r="D6" s="11"/>
      <x:c r="E6" s="14" t="n">
        <x:f>COUNTIF(OPERATIONS!$H$6:$H$189,"À retirer")</x:f>
        <x:v>5</x:v>
      </x:c>
      <x:c r="F6" s="11"/>
      <x:c r="G6" s="14" t="n">
        <x:f>COUNTIFS(OPERATIONS!$I$6:$I$189,"MVP",OPERATIONS!$H$6:$H$189,"À conserver")</x:f>
        <x:v>160</x:v>
      </x:c>
      <x:c r="H6" s="11"/>
    </x:row>
    <x:row r="7">
      <x:c r="A7" s="11"/>
      <x:c r="B7" s="11"/>
      <x:c r="C7" s="11"/>
      <x:c r="D7" s="11"/>
      <x:c r="E7" s="11"/>
      <x:c r="F7" s="11"/>
      <x:c r="G7" s="11"/>
      <x:c r="H7" s="11"/>
    </x:row>
    <x:row r="9" ht="15">
      <x:c r="A9" s="15" t="s">
        <x:v>6</x:v>
      </x:c>
      <x:c r="B9" s="11"/>
      <x:c r="C9" s="11"/>
      <x:c r="D9" s="11"/>
      <x:c r="E9" s="11"/>
    </x:row>
    <x:row r="10">
      <x:c r="A10" s="6" t="s">
        <x:v>7</x:v>
      </x:c>
      <x:c r="B10" s="6" t="s">
        <x:v>8</x:v>
      </x:c>
      <x:c r="C10" s="6" t="s">
        <x:v>3</x:v>
      </x:c>
      <x:c r="D10" s="6" t="s">
        <x:v>4</x:v>
      </x:c>
      <x:c r="E10" s="6" t="s">
        <x:v>5</x:v>
      </x:c>
      <x:c r="G10" s="16" t="s">
        <x:v>9</x:v>
      </x:c>
      <x:c r="H10" s="11"/>
    </x:row>
    <x:row r="11">
      <x:c r="A11" s="7" t="s">
        <x:v>10</x:v>
      </x:c>
      <x:c r="B11" s="8" t="n">
        <x:f>COUNTIF(OPERATIONS!$B$6:$B$189,A11)</x:f>
        <x:v>43</x:v>
      </x:c>
      <x:c r="C11" s="8" t="n">
        <x:f>COUNTIFS(OPERATIONS!$B$6:$B$189,A11,OPERATIONS!$H$6:$H$189,"À conserver")</x:f>
        <x:v>40</x:v>
      </x:c>
      <x:c r="D11" s="8" t="n">
        <x:f>COUNTIFS(OPERATIONS!$B$6:$B$189,A11,OPERATIONS!$H$6:$H$189,"À retirer")</x:f>
        <x:v>3</x:v>
      </x:c>
      <x:c r="E11" s="8" t="n">
        <x:f>COUNTIFS(OPERATIONS!$B$6:$B$189,A11,OPERATIONS!$I$6:$I$189,"MVP",OPERATIONS!$H$6:$H$189,"À conserver")</x:f>
        <x:v>35</x:v>
      </x:c>
      <x:c r="G11" s="17" t="s">
        <x:v>11</x:v>
      </x:c>
      <x:c r="H11" s="11"/>
    </x:row>
    <x:row r="12">
      <x:c r="A12" s="7" t="s">
        <x:v>12</x:v>
      </x:c>
      <x:c r="B12" s="8" t="n">
        <x:f>COUNTIF(OPERATIONS!$B$6:$B$189,A12)</x:f>
        <x:v>6</x:v>
      </x:c>
      <x:c r="C12" s="8" t="n">
        <x:f>COUNTIFS(OPERATIONS!$B$6:$B$189,A12,OPERATIONS!$H$6:$H$189,"À conserver")</x:f>
        <x:v>6</x:v>
      </x:c>
      <x:c r="D12" s="8" t="n">
        <x:f>COUNTIFS(OPERATIONS!$B$6:$B$189,A12,OPERATIONS!$H$6:$H$189,"À retirer")</x:f>
        <x:v>0</x:v>
      </x:c>
      <x:c r="E12" s="8" t="n">
        <x:f>COUNTIFS(OPERATIONS!$B$6:$B$189,A12,OPERATIONS!$I$6:$I$189,"MVP",OPERATIONS!$H$6:$H$189,"À conserver")</x:f>
        <x:v>5</x:v>
      </x:c>
      <x:c r="G12" s="11"/>
      <x:c r="H12" s="11"/>
    </x:row>
    <x:row r="13">
      <x:c r="A13" s="7" t="s">
        <x:v>13</x:v>
      </x:c>
      <x:c r="B13" s="8" t="n">
        <x:f>COUNTIF(OPERATIONS!$B$6:$B$189,A13)</x:f>
        <x:v>10</x:v>
      </x:c>
      <x:c r="C13" s="8" t="n">
        <x:f>COUNTIFS(OPERATIONS!$B$6:$B$189,A13,OPERATIONS!$H$6:$H$189,"À conserver")</x:f>
        <x:v>10</x:v>
      </x:c>
      <x:c r="D13" s="8" t="n">
        <x:f>COUNTIFS(OPERATIONS!$B$6:$B$189,A13,OPERATIONS!$H$6:$H$189,"À retirer")</x:f>
        <x:v>0</x:v>
      </x:c>
      <x:c r="E13" s="8" t="n">
        <x:f>COUNTIFS(OPERATIONS!$B$6:$B$189,A13,OPERATIONS!$I$6:$I$189,"MVP",OPERATIONS!$H$6:$H$189,"À conserver")</x:f>
        <x:v>9</x:v>
      </x:c>
      <x:c r="G13" s="11"/>
      <x:c r="H13" s="11"/>
    </x:row>
    <x:row r="14">
      <x:c r="A14" s="7" t="s">
        <x:v>14</x:v>
      </x:c>
      <x:c r="B14" s="8" t="n">
        <x:f>COUNTIF(OPERATIONS!$B$6:$B$189,A14)</x:f>
        <x:v>26</x:v>
      </x:c>
      <x:c r="C14" s="8" t="n">
        <x:f>COUNTIFS(OPERATIONS!$B$6:$B$189,A14,OPERATIONS!$H$6:$H$189,"À conserver")</x:f>
        <x:v>26</x:v>
      </x:c>
      <x:c r="D14" s="8" t="n">
        <x:f>COUNTIFS(OPERATIONS!$B$6:$B$189,A14,OPERATIONS!$H$6:$H$189,"À retirer")</x:f>
        <x:v>0</x:v>
      </x:c>
      <x:c r="E14" s="8" t="n">
        <x:f>COUNTIFS(OPERATIONS!$B$6:$B$189,A14,OPERATIONS!$I$6:$I$189,"MVP",OPERATIONS!$H$6:$H$189,"À conserver")</x:f>
        <x:v>22</x:v>
      </x:c>
      <x:c r="G14" s="11"/>
      <x:c r="H14" s="11"/>
    </x:row>
    <x:row r="15">
      <x:c r="A15" s="7" t="s">
        <x:v>15</x:v>
      </x:c>
      <x:c r="B15" s="8" t="n">
        <x:f>COUNTIF(OPERATIONS!$B$6:$B$189,A15)</x:f>
        <x:v>13</x:v>
      </x:c>
      <x:c r="C15" s="8" t="n">
        <x:f>COUNTIFS(OPERATIONS!$B$6:$B$189,A15,OPERATIONS!$H$6:$H$189,"À conserver")</x:f>
        <x:v>13</x:v>
      </x:c>
      <x:c r="D15" s="8" t="n">
        <x:f>COUNTIFS(OPERATIONS!$B$6:$B$189,A15,OPERATIONS!$H$6:$H$189,"À retirer")</x:f>
        <x:v>0</x:v>
      </x:c>
      <x:c r="E15" s="8" t="n">
        <x:f>COUNTIFS(OPERATIONS!$B$6:$B$189,A15,OPERATIONS!$I$6:$I$189,"MVP",OPERATIONS!$H$6:$H$189,"À conserver")</x:f>
        <x:v>13</x:v>
      </x:c>
      <x:c r="G15" s="11"/>
      <x:c r="H15" s="11"/>
    </x:row>
    <x:row r="16">
      <x:c r="A16" s="7" t="s">
        <x:v>16</x:v>
      </x:c>
      <x:c r="B16" s="8" t="n">
        <x:f>COUNTIF(OPERATIONS!$B$6:$B$189,A16)</x:f>
        <x:v>14</x:v>
      </x:c>
      <x:c r="C16" s="8" t="n">
        <x:f>COUNTIFS(OPERATIONS!$B$6:$B$189,A16,OPERATIONS!$H$6:$H$189,"À conserver")</x:f>
        <x:v>14</x:v>
      </x:c>
      <x:c r="D16" s="8" t="n">
        <x:f>COUNTIFS(OPERATIONS!$B$6:$B$189,A16,OPERATIONS!$H$6:$H$189,"À retirer")</x:f>
        <x:v>0</x:v>
      </x:c>
      <x:c r="E16" s="8" t="n">
        <x:f>COUNTIFS(OPERATIONS!$B$6:$B$189,A16,OPERATIONS!$I$6:$I$189,"MVP",OPERATIONS!$H$6:$H$189,"À conserver")</x:f>
        <x:v>14</x:v>
      </x:c>
      <x:c r="G16" s="11"/>
      <x:c r="H16" s="11"/>
    </x:row>
    <x:row r="17">
      <x:c r="A17" s="7" t="s">
        <x:v>17</x:v>
      </x:c>
      <x:c r="B17" s="8" t="n">
        <x:f>COUNTIF(OPERATIONS!$B$6:$B$189,A17)</x:f>
        <x:v>22</x:v>
      </x:c>
      <x:c r="C17" s="8" t="n">
        <x:f>COUNTIFS(OPERATIONS!$B$6:$B$189,A17,OPERATIONS!$H$6:$H$189,"À conserver")</x:f>
        <x:v>22</x:v>
      </x:c>
      <x:c r="D17" s="8" t="n">
        <x:f>COUNTIFS(OPERATIONS!$B$6:$B$189,A17,OPERATIONS!$H$6:$H$189,"À retirer")</x:f>
        <x:v>0</x:v>
      </x:c>
      <x:c r="E17" s="8" t="n">
        <x:f>COUNTIFS(OPERATIONS!$B$6:$B$189,A17,OPERATIONS!$I$6:$I$189,"MVP",OPERATIONS!$H$6:$H$189,"À conserver")</x:f>
        <x:v>20</x:v>
      </x:c>
    </x:row>
    <x:row r="18">
      <x:c r="A18" s="7" t="s">
        <x:v>18</x:v>
      </x:c>
      <x:c r="B18" s="8" t="n">
        <x:f>COUNTIF(OPERATIONS!$B$6:$B$189,A18)</x:f>
        <x:v>10</x:v>
      </x:c>
      <x:c r="C18" s="8" t="n">
        <x:f>COUNTIFS(OPERATIONS!$B$6:$B$189,A18,OPERATIONS!$H$6:$H$189,"À conserver")</x:f>
        <x:v>8</x:v>
      </x:c>
      <x:c r="D18" s="8" t="n">
        <x:f>COUNTIFS(OPERATIONS!$B$6:$B$189,A18,OPERATIONS!$H$6:$H$189,"À retirer")</x:f>
        <x:v>2</x:v>
      </x:c>
      <x:c r="E18" s="8" t="n">
        <x:f>COUNTIFS(OPERATIONS!$B$6:$B$189,A18,OPERATIONS!$I$6:$I$189,"MVP",OPERATIONS!$H$6:$H$189,"À conserver")</x:f>
        <x:v>8</x:v>
      </x:c>
    </x:row>
    <x:row r="19">
      <x:c r="A19" s="7" t="s">
        <x:v>19</x:v>
      </x:c>
      <x:c r="B19" s="8" t="n">
        <x:f>COUNTIF(OPERATIONS!$B$6:$B$189,A19)</x:f>
        <x:v>7</x:v>
      </x:c>
      <x:c r="C19" s="8" t="n">
        <x:f>COUNTIFS(OPERATIONS!$B$6:$B$189,A19,OPERATIONS!$H$6:$H$189,"À conserver")</x:f>
        <x:v>7</x:v>
      </x:c>
      <x:c r="D19" s="8" t="n">
        <x:f>COUNTIFS(OPERATIONS!$B$6:$B$189,A19,OPERATIONS!$H$6:$H$189,"À retirer")</x:f>
        <x:v>0</x:v>
      </x:c>
      <x:c r="E19" s="8" t="n">
        <x:f>COUNTIFS(OPERATIONS!$B$6:$B$189,A19,OPERATIONS!$I$6:$I$189,"MVP",OPERATIONS!$H$6:$H$189,"À conserver")</x:f>
        <x:v>6</x:v>
      </x:c>
    </x:row>
    <x:row r="20">
      <x:c r="A20" s="7" t="s">
        <x:v>20</x:v>
      </x:c>
      <x:c r="B20" s="8" t="n">
        <x:f>COUNTIF(OPERATIONS!$B$6:$B$189,A20)</x:f>
        <x:v>8</x:v>
      </x:c>
      <x:c r="C20" s="8" t="n">
        <x:f>COUNTIFS(OPERATIONS!$B$6:$B$189,A20,OPERATIONS!$H$6:$H$189,"À conserver")</x:f>
        <x:v>8</x:v>
      </x:c>
      <x:c r="D20" s="8" t="n">
        <x:f>COUNTIFS(OPERATIONS!$B$6:$B$189,A20,OPERATIONS!$H$6:$H$189,"À retirer")</x:f>
        <x:v>0</x:v>
      </x:c>
      <x:c r="E20" s="8" t="n">
        <x:f>COUNTIFS(OPERATIONS!$B$6:$B$189,A20,OPERATIONS!$I$6:$I$189,"MVP",OPERATIONS!$H$6:$H$189,"À conserver")</x:f>
        <x:v>7</x:v>
      </x:c>
    </x:row>
    <x:row r="21">
      <x:c r="A21" s="7" t="s">
        <x:v>21</x:v>
      </x:c>
      <x:c r="B21" s="8" t="n">
        <x:f>COUNTIF(OPERATIONS!$B$6:$B$189,A21)</x:f>
        <x:v>11</x:v>
      </x:c>
      <x:c r="C21" s="8" t="n">
        <x:f>COUNTIFS(OPERATIONS!$B$6:$B$189,A21,OPERATIONS!$H$6:$H$189,"À conserver")</x:f>
        <x:v>11</x:v>
      </x:c>
      <x:c r="D21" s="8" t="n">
        <x:f>COUNTIFS(OPERATIONS!$B$6:$B$189,A21,OPERATIONS!$H$6:$H$189,"À retirer")</x:f>
        <x:v>0</x:v>
      </x:c>
      <x:c r="E21" s="8" t="n">
        <x:f>COUNTIFS(OPERATIONS!$B$6:$B$189,A21,OPERATIONS!$I$6:$I$189,"MVP",OPERATIONS!$H$6:$H$189,"À conserver")</x:f>
        <x:v>10</x:v>
      </x:c>
    </x:row>
    <x:row r="22">
      <x:c r="A22" s="7" t="s">
        <x:v>22</x:v>
      </x:c>
      <x:c r="B22" s="8" t="n">
        <x:f>COUNTIF(OPERATIONS!$B$6:$B$189,A22)</x:f>
        <x:v>7</x:v>
      </x:c>
      <x:c r="C22" s="8" t="n">
        <x:f>COUNTIFS(OPERATIONS!$B$6:$B$189,A22,OPERATIONS!$H$6:$H$189,"À conserver")</x:f>
        <x:v>7</x:v>
      </x:c>
      <x:c r="D22" s="8" t="n">
        <x:f>COUNTIFS(OPERATIONS!$B$6:$B$189,A22,OPERATIONS!$H$6:$H$189,"À retirer")</x:f>
        <x:v>0</x:v>
      </x:c>
      <x:c r="E22" s="8" t="n">
        <x:f>COUNTIFS(OPERATIONS!$B$6:$B$189,A22,OPERATIONS!$I$6:$I$189,"MVP",OPERATIONS!$H$6:$H$189,"À conserver")</x:f>
        <x:v>5</x:v>
      </x:c>
    </x:row>
    <x:row r="23">
      <x:c r="A23" s="7" t="s">
        <x:v>23</x:v>
      </x:c>
      <x:c r="B23" s="8" t="n">
        <x:f>COUNTIF(OPERATIONS!$B$6:$B$189,A23)</x:f>
        <x:v>7</x:v>
      </x:c>
      <x:c r="C23" s="8" t="n">
        <x:f>COUNTIFS(OPERATIONS!$B$6:$B$189,A23,OPERATIONS!$H$6:$H$189,"À conserver")</x:f>
        <x:v>7</x:v>
      </x:c>
      <x:c r="D23" s="8" t="n">
        <x:f>COUNTIFS(OPERATIONS!$B$6:$B$189,A23,OPERATIONS!$H$6:$H$189,"À retirer")</x:f>
        <x:v>0</x:v>
      </x:c>
      <x:c r="E23" s="8" t="n">
        <x:f>COUNTIFS(OPERATIONS!$B$6:$B$189,A23,OPERATIONS!$I$6:$I$189,"MVP",OPERATIONS!$H$6:$H$189,"À conserver")</x:f>
        <x:v>6</x:v>
      </x:c>
    </x:row>
  </x:sheetData>
  <x:mergeCells>
    <x:mergeCell ref="G10:H10"/>
    <x:mergeCell ref="G11:H16"/>
    <x:mergeCell ref="A6:B7"/>
    <x:mergeCell ref="C6:D7"/>
    <x:mergeCell ref="E6:F7"/>
    <x:mergeCell ref="G6:H7"/>
    <x:mergeCell ref="A9:E9"/>
    <x:mergeCell ref="A1:H1"/>
    <x:mergeCell ref="A2:H2"/>
    <x:mergeCell ref="A4:B5"/>
    <x:mergeCell ref="C4:D5"/>
    <x:mergeCell ref="E4:F5"/>
    <x:mergeCell ref="G4:H5"/>
  </x:mergeCells>
  <x:conditionalFormatting sqref="C11:C23">
    <x:cfRule type="dataBar" priority="2">
      <x:dataBar>
        <x:cfvo type="min"/>
        <x:cfvo type="max"/>
        <x:color rgb="FF1F6F78"/>
      </x:dataBar>
    </x:cfRule>
    <x:cfRule type="dataBar" priority="3">
      <x:dataBar>
        <x:cfvo type="min"/>
        <x:cfvo type="max"/>
        <x:color rgb="FF1F6F78"/>
      </x:dataBar>
      <x:extLst>
        <x:ext xmlns:x14="http://schemas.microsoft.com/office/spreadsheetml/2009/9/main" uri="{B025F937-C7B1-47D3-B67F-A62EFF666E3E}">
          <x14:id>{9761DC68-E44B-4780-3039-03526B57010A}</x14:id>
        </x:ext>
      </x:extLst>
    </x:cfRule>
  </x:conditionalFormatting>
  <x:conditionalFormatting sqref="D11:D23">
    <x:cfRule type="cellIs" dxfId="5" priority="1" operator="greaterThan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761DC68-E44B-4780-3039-03526B57010A}">
            <x14:dataBar>
              <x14:cfvo type="min"/>
              <x14:cfvo type="max"/>
              <x14:fillColor rgb="FF1F6F78"/>
              <x14:negativeFillColor auto="1"/>
              <x14:axisColor auto="1"/>
            </x14:dataBar>
          </x14:cfRule>
          <xm:sqref>C11:C23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14" customWidth="1"/>
    <x:col min="2" max="2" width="24" customWidth="1"/>
    <x:col min="3" max="3" width="26" customWidth="1"/>
    <x:col min="4" max="4" width="34" customWidth="1"/>
    <x:col min="5" max="5" width="52" customWidth="1"/>
    <x:col min="6" max="6" width="39" customWidth="1"/>
    <x:col min="7" max="7" width="13" customWidth="1"/>
    <x:col min="8" max="9" width="14" customWidth="1"/>
    <x:col min="10" max="10" width="38" customWidth="1"/>
  </x:cols>
  <x:sheetData>
    <x:row r="1" ht="30" customHeight="1">
      <x:c r="A1" s="10" t="s">
        <x:v>24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27.950000762939453" customHeight="1">
      <x:c r="A2" s="12" t="s">
        <x:v>25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27.950000762939453" customHeight="1">
      <x:c r="A3" s="18" t="s">
        <x:v>26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5" ht="33.95000076293945" customHeight="1">
      <x:c r="A5" s="1" t="s">
        <x:v>27</x:v>
      </x:c>
      <x:c r="B5" s="1" t="s">
        <x:v>7</x:v>
      </x:c>
      <x:c r="C5" s="1" t="s">
        <x:v>28</x:v>
      </x:c>
      <x:c r="D5" s="1" t="s">
        <x:v>29</x:v>
      </x:c>
      <x:c r="E5" s="1" t="s">
        <x:v>30</x:v>
      </x:c>
      <x:c r="F5" s="1" t="s">
        <x:v>31</x:v>
      </x:c>
      <x:c r="G5" s="1" t="s">
        <x:v>32</x:v>
      </x:c>
      <x:c r="H5" s="1" t="s">
        <x:v>33</x:v>
      </x:c>
      <x:c r="I5" s="1" t="s">
        <x:v>34</x:v>
      </x:c>
      <x:c r="J5" s="1" t="s">
        <x:v>35</x:v>
      </x:c>
    </x:row>
    <x:row r="6" ht="38.099998474121094" customHeight="1">
      <x:c r="A6" s="2" t="s">
        <x:v>36</x:v>
      </x:c>
      <x:c r="B6" s="2" t="s">
        <x:v>10</x:v>
      </x:c>
      <x:c r="C6" s="2" t="s">
        <x:v>37</x:v>
      </x:c>
      <x:c r="D6" s="2" t="s">
        <x:v>38</x:v>
      </x:c>
      <x:c r="E6" s="2" t="s">
        <x:v>39</x:v>
      </x:c>
      <x:c r="F6" s="2" t="s">
        <x:v>40</x:v>
      </x:c>
      <x:c r="G6" s="3"/>
      <x:c r="H6" s="4" t="str">
        <x:f t="shared" ref="H6:H37" si="0">IF(UPPER(G6)="X","À retirer","À conserver")</x:f>
        <x:v>À conserver</x:v>
      </x:c>
      <x:c r="I6" s="5" t="s">
        <x:v>41</x:v>
      </x:c>
      <x:c r="J6" s="2"/>
    </x:row>
    <x:row r="7" ht="38.099998474121094" customHeight="1">
      <x:c r="A7" s="2" t="s">
        <x:v>42</x:v>
      </x:c>
      <x:c r="B7" s="2" t="s">
        <x:v>10</x:v>
      </x:c>
      <x:c r="C7" s="2" t="s">
        <x:v>37</x:v>
      </x:c>
      <x:c r="D7" s="2" t="s">
        <x:v>43</x:v>
      </x:c>
      <x:c r="E7" s="2" t="s">
        <x:v>44</x:v>
      </x:c>
      <x:c r="F7" s="2" t="s">
        <x:v>45</x:v>
      </x:c>
      <x:c r="G7" s="3"/>
      <x:c r="H7" s="4" t="str">
        <x:f t="shared" si="0"/>
        <x:v>À conserver</x:v>
      </x:c>
      <x:c r="I7" s="5" t="s">
        <x:v>41</x:v>
      </x:c>
      <x:c r="J7" s="2"/>
    </x:row>
    <x:row r="8" ht="38.099998474121094" customHeight="1">
      <x:c r="A8" s="2" t="s">
        <x:v>46</x:v>
      </x:c>
      <x:c r="B8" s="2" t="s">
        <x:v>10</x:v>
      </x:c>
      <x:c r="C8" s="2" t="s">
        <x:v>37</x:v>
      </x:c>
      <x:c r="D8" s="2" t="s">
        <x:v>47</x:v>
      </x:c>
      <x:c r="E8" s="2" t="s">
        <x:v>48</x:v>
      </x:c>
      <x:c r="F8" s="2" t="s">
        <x:v>49</x:v>
      </x:c>
      <x:c r="G8" s="3"/>
      <x:c r="H8" s="4" t="str">
        <x:f t="shared" si="0"/>
        <x:v>À conserver</x:v>
      </x:c>
      <x:c r="I8" s="5" t="s">
        <x:v>41</x:v>
      </x:c>
      <x:c r="J8" s="2"/>
    </x:row>
    <x:row r="9" ht="38.099998474121094" customHeight="1">
      <x:c r="A9" s="2" t="s">
        <x:v>50</x:v>
      </x:c>
      <x:c r="B9" s="2" t="s">
        <x:v>10</x:v>
      </x:c>
      <x:c r="C9" s="2" t="s">
        <x:v>37</x:v>
      </x:c>
      <x:c r="D9" s="2" t="s">
        <x:v>51</x:v>
      </x:c>
      <x:c r="E9" s="2" t="s">
        <x:v>52</x:v>
      </x:c>
      <x:c r="F9" s="2" t="s">
        <x:v>53</x:v>
      </x:c>
      <x:c r="G9" s="3"/>
      <x:c r="H9" s="4" t="str">
        <x:f t="shared" si="0"/>
        <x:v>À conserver</x:v>
      </x:c>
      <x:c r="I9" s="5" t="s">
        <x:v>41</x:v>
      </x:c>
      <x:c r="J9" s="2"/>
    </x:row>
    <x:row r="10" ht="38.099998474121094" customHeight="1">
      <x:c r="A10" s="2" t="s">
        <x:v>54</x:v>
      </x:c>
      <x:c r="B10" s="2" t="s">
        <x:v>10</x:v>
      </x:c>
      <x:c r="C10" s="2" t="s">
        <x:v>37</x:v>
      </x:c>
      <x:c r="D10" s="2" t="s">
        <x:v>55</x:v>
      </x:c>
      <x:c r="E10" s="2" t="s">
        <x:v>56</x:v>
      </x:c>
      <x:c r="F10" s="2" t="s">
        <x:v>57</x:v>
      </x:c>
      <x:c r="G10" s="3"/>
      <x:c r="H10" s="4" t="str">
        <x:f t="shared" si="0"/>
        <x:v>À conserver</x:v>
      </x:c>
      <x:c r="I10" s="5" t="s">
        <x:v>41</x:v>
      </x:c>
      <x:c r="J10" s="2"/>
    </x:row>
    <x:row r="11" ht="38.099998474121094" customHeight="1">
      <x:c r="A11" s="2" t="s">
        <x:v>58</x:v>
      </x:c>
      <x:c r="B11" s="2" t="s">
        <x:v>10</x:v>
      </x:c>
      <x:c r="C11" s="2" t="s">
        <x:v>37</x:v>
      </x:c>
      <x:c r="D11" s="2" t="s">
        <x:v>59</x:v>
      </x:c>
      <x:c r="E11" s="2" t="s">
        <x:v>60</x:v>
      </x:c>
      <x:c r="F11" s="2" t="s">
        <x:v>61</x:v>
      </x:c>
      <x:c r="G11" s="3"/>
      <x:c r="H11" s="4" t="str">
        <x:f t="shared" si="0"/>
        <x:v>À conserver</x:v>
      </x:c>
      <x:c r="I11" s="5" t="s">
        <x:v>41</x:v>
      </x:c>
      <x:c r="J11" s="2"/>
    </x:row>
    <x:row r="12" ht="38.099998474121094" customHeight="1">
      <x:c r="A12" s="2" t="s">
        <x:v>62</x:v>
      </x:c>
      <x:c r="B12" s="2" t="s">
        <x:v>10</x:v>
      </x:c>
      <x:c r="C12" s="2" t="s">
        <x:v>37</x:v>
      </x:c>
      <x:c r="D12" s="2" t="s">
        <x:v>63</x:v>
      </x:c>
      <x:c r="E12" s="2" t="s">
        <x:v>64</x:v>
      </x:c>
      <x:c r="F12" s="2" t="s">
        <x:v>65</x:v>
      </x:c>
      <x:c r="G12" s="3"/>
      <x:c r="H12" s="4" t="str">
        <x:f t="shared" si="0"/>
        <x:v>À conserver</x:v>
      </x:c>
      <x:c r="I12" s="5" t="s">
        <x:v>41</x:v>
      </x:c>
      <x:c r="J12" s="2"/>
    </x:row>
    <x:row r="13" ht="38.099998474121094" customHeight="1">
      <x:c r="A13" s="2" t="s">
        <x:v>66</x:v>
      </x:c>
      <x:c r="B13" s="2" t="s">
        <x:v>10</x:v>
      </x:c>
      <x:c r="C13" s="2" t="s">
        <x:v>37</x:v>
      </x:c>
      <x:c r="D13" s="2" t="s">
        <x:v>67</x:v>
      </x:c>
      <x:c r="E13" s="2" t="s">
        <x:v>68</x:v>
      </x:c>
      <x:c r="F13" s="2" t="s">
        <x:v>69</x:v>
      </x:c>
      <x:c r="G13" s="3"/>
      <x:c r="H13" s="4" t="str">
        <x:f t="shared" si="0"/>
        <x:v>À conserver</x:v>
      </x:c>
      <x:c r="I13" s="5" t="s">
        <x:v>41</x:v>
      </x:c>
      <x:c r="J13" s="2"/>
    </x:row>
    <x:row r="14" ht="38.099998474121094" customHeight="1">
      <x:c r="A14" s="2" t="s">
        <x:v>70</x:v>
      </x:c>
      <x:c r="B14" s="2" t="s">
        <x:v>10</x:v>
      </x:c>
      <x:c r="C14" s="2" t="s">
        <x:v>37</x:v>
      </x:c>
      <x:c r="D14" s="2" t="s">
        <x:v>71</x:v>
      </x:c>
      <x:c r="E14" s="2" t="s">
        <x:v>72</x:v>
      </x:c>
      <x:c r="F14" s="2" t="s">
        <x:v>73</x:v>
      </x:c>
      <x:c r="G14" s="3"/>
      <x:c r="H14" s="4" t="str">
        <x:f t="shared" si="0"/>
        <x:v>À conserver</x:v>
      </x:c>
      <x:c r="I14" s="5" t="s">
        <x:v>74</x:v>
      </x:c>
      <x:c r="J14" s="2"/>
    </x:row>
    <x:row r="15" ht="38.099998474121094" customHeight="1">
      <x:c r="A15" s="2" t="s">
        <x:v>75</x:v>
      </x:c>
      <x:c r="B15" s="2" t="s">
        <x:v>10</x:v>
      </x:c>
      <x:c r="C15" s="2" t="s">
        <x:v>37</x:v>
      </x:c>
      <x:c r="D15" s="2" t="s">
        <x:v>76</x:v>
      </x:c>
      <x:c r="E15" s="2" t="s">
        <x:v>77</x:v>
      </x:c>
      <x:c r="F15" s="2" t="s">
        <x:v>78</x:v>
      </x:c>
      <x:c r="G15" s="3"/>
      <x:c r="H15" s="4" t="str">
        <x:f t="shared" si="0"/>
        <x:v>À conserver</x:v>
      </x:c>
      <x:c r="I15" s="5" t="s">
        <x:v>41</x:v>
      </x:c>
      <x:c r="J15" s="2"/>
    </x:row>
    <x:row r="16" ht="38.099998474121094" customHeight="1">
      <x:c r="A16" s="2" t="s">
        <x:v>79</x:v>
      </x:c>
      <x:c r="B16" s="2" t="s">
        <x:v>10</x:v>
      </x:c>
      <x:c r="C16" s="2" t="s">
        <x:v>80</x:v>
      </x:c>
      <x:c r="D16" s="2" t="s">
        <x:v>81</x:v>
      </x:c>
      <x:c r="E16" s="2" t="s">
        <x:v>82</x:v>
      </x:c>
      <x:c r="F16" s="2" t="s">
        <x:v>83</x:v>
      </x:c>
      <x:c r="G16" s="3"/>
      <x:c r="H16" s="4" t="str">
        <x:f t="shared" si="0"/>
        <x:v>À conserver</x:v>
      </x:c>
      <x:c r="I16" s="5" t="s">
        <x:v>41</x:v>
      </x:c>
      <x:c r="J16" s="2"/>
    </x:row>
    <x:row r="17" ht="38.099998474121094" customHeight="1">
      <x:c r="A17" s="2" t="s">
        <x:v>84</x:v>
      </x:c>
      <x:c r="B17" s="2" t="s">
        <x:v>10</x:v>
      </x:c>
      <x:c r="C17" s="2" t="s">
        <x:v>80</x:v>
      </x:c>
      <x:c r="D17" s="2" t="s">
        <x:v>85</x:v>
      </x:c>
      <x:c r="E17" s="2" t="s">
        <x:v>86</x:v>
      </x:c>
      <x:c r="F17" s="2" t="s">
        <x:v>87</x:v>
      </x:c>
      <x:c r="G17" s="3"/>
      <x:c r="H17" s="4" t="str">
        <x:f t="shared" si="0"/>
        <x:v>À conserver</x:v>
      </x:c>
      <x:c r="I17" s="5" t="s">
        <x:v>41</x:v>
      </x:c>
      <x:c r="J17" s="2"/>
    </x:row>
    <x:row r="18" ht="38.099998474121094" customHeight="1">
      <x:c r="A18" s="2" t="s">
        <x:v>88</x:v>
      </x:c>
      <x:c r="B18" s="2" t="s">
        <x:v>10</x:v>
      </x:c>
      <x:c r="C18" s="2" t="s">
        <x:v>80</x:v>
      </x:c>
      <x:c r="D18" s="2" t="s">
        <x:v>89</x:v>
      </x:c>
      <x:c r="E18" s="2" t="s">
        <x:v>90</x:v>
      </x:c>
      <x:c r="F18" s="2" t="s">
        <x:v>73</x:v>
      </x:c>
      <x:c r="G18" s="3"/>
      <x:c r="H18" s="4" t="str">
        <x:f t="shared" si="0"/>
        <x:v>À conserver</x:v>
      </x:c>
      <x:c r="I18" s="5" t="s">
        <x:v>41</x:v>
      </x:c>
      <x:c r="J18" s="2"/>
    </x:row>
    <x:row r="19" ht="38.099998474121094" customHeight="1">
      <x:c r="A19" s="2" t="s">
        <x:v>91</x:v>
      </x:c>
      <x:c r="B19" s="2" t="s">
        <x:v>10</x:v>
      </x:c>
      <x:c r="C19" s="2" t="s">
        <x:v>80</x:v>
      </x:c>
      <x:c r="D19" s="2" t="s">
        <x:v>92</x:v>
      </x:c>
      <x:c r="E19" s="2" t="s">
        <x:v>93</x:v>
      </x:c>
      <x:c r="F19" s="2" t="s">
        <x:v>94</x:v>
      </x:c>
      <x:c r="G19" s="3"/>
      <x:c r="H19" s="4" t="str">
        <x:f t="shared" si="0"/>
        <x:v>À conserver</x:v>
      </x:c>
      <x:c r="I19" s="5" t="s">
        <x:v>41</x:v>
      </x:c>
      <x:c r="J19" s="2"/>
    </x:row>
    <x:row r="20" ht="38.099998474121094" customHeight="1">
      <x:c r="A20" s="2" t="s">
        <x:v>95</x:v>
      </x:c>
      <x:c r="B20" s="2" t="s">
        <x:v>10</x:v>
      </x:c>
      <x:c r="C20" s="2" t="s">
        <x:v>80</x:v>
      </x:c>
      <x:c r="D20" s="2" t="s">
        <x:v>96</x:v>
      </x:c>
      <x:c r="E20" s="2" t="s">
        <x:v>97</x:v>
      </x:c>
      <x:c r="F20" s="2" t="s">
        <x:v>98</x:v>
      </x:c>
      <x:c r="G20" s="3" t="s">
        <x:v>99</x:v>
      </x:c>
      <x:c r="H20" s="4" t="str">
        <x:f t="shared" si="0"/>
        <x:v>À retirer</x:v>
      </x:c>
      <x:c r="I20" s="5" t="s">
        <x:v>74</x:v>
      </x:c>
      <x:c r="J20" s="2"/>
    </x:row>
    <x:row r="21" ht="38.099998474121094" customHeight="1">
      <x:c r="A21" s="2" t="s">
        <x:v>100</x:v>
      </x:c>
      <x:c r="B21" s="2" t="s">
        <x:v>10</x:v>
      </x:c>
      <x:c r="C21" s="2" t="s">
        <x:v>80</x:v>
      </x:c>
      <x:c r="D21" s="2" t="s">
        <x:v>101</x:v>
      </x:c>
      <x:c r="E21" s="2" t="s">
        <x:v>102</x:v>
      </x:c>
      <x:c r="F21" s="2" t="s">
        <x:v>103</x:v>
      </x:c>
      <x:c r="G21" s="3"/>
      <x:c r="H21" s="4" t="str">
        <x:f t="shared" si="0"/>
        <x:v>À conserver</x:v>
      </x:c>
      <x:c r="I21" s="5" t="s">
        <x:v>74</x:v>
      </x:c>
      <x:c r="J21" s="2"/>
    </x:row>
    <x:row r="22" ht="38.099998474121094" customHeight="1">
      <x:c r="A22" s="2" t="s">
        <x:v>104</x:v>
      </x:c>
      <x:c r="B22" s="2" t="s">
        <x:v>10</x:v>
      </x:c>
      <x:c r="C22" s="2" t="s">
        <x:v>80</x:v>
      </x:c>
      <x:c r="D22" s="2" t="s">
        <x:v>105</x:v>
      </x:c>
      <x:c r="E22" s="2" t="s">
        <x:v>106</x:v>
      </x:c>
      <x:c r="F22" s="2" t="s">
        <x:v>107</x:v>
      </x:c>
      <x:c r="G22" s="3"/>
      <x:c r="H22" s="4" t="str">
        <x:f t="shared" si="0"/>
        <x:v>À conserver</x:v>
      </x:c>
      <x:c r="I22" s="5" t="s">
        <x:v>41</x:v>
      </x:c>
      <x:c r="J22" s="2"/>
    </x:row>
    <x:row r="23" ht="38.099998474121094" customHeight="1">
      <x:c r="A23" s="2" t="s">
        <x:v>108</x:v>
      </x:c>
      <x:c r="B23" s="2" t="s">
        <x:v>10</x:v>
      </x:c>
      <x:c r="C23" s="2" t="s">
        <x:v>109</x:v>
      </x:c>
      <x:c r="D23" s="2" t="s">
        <x:v>110</x:v>
      </x:c>
      <x:c r="E23" s="2" t="s">
        <x:v>111</x:v>
      </x:c>
      <x:c r="F23" s="2" t="s">
        <x:v>112</x:v>
      </x:c>
      <x:c r="G23" s="3"/>
      <x:c r="H23" s="4" t="str">
        <x:f t="shared" si="0"/>
        <x:v>À conserver</x:v>
      </x:c>
      <x:c r="I23" s="5" t="s">
        <x:v>41</x:v>
      </x:c>
      <x:c r="J23" s="2"/>
    </x:row>
    <x:row r="24" ht="38.099998474121094" customHeight="1">
      <x:c r="A24" s="2" t="s">
        <x:v>113</x:v>
      </x:c>
      <x:c r="B24" s="2" t="s">
        <x:v>10</x:v>
      </x:c>
      <x:c r="C24" s="2" t="s">
        <x:v>109</x:v>
      </x:c>
      <x:c r="D24" s="2" t="s">
        <x:v>114</x:v>
      </x:c>
      <x:c r="E24" s="2" t="s">
        <x:v>115</x:v>
      </x:c>
      <x:c r="F24" s="2" t="s">
        <x:v>116</x:v>
      </x:c>
      <x:c r="G24" s="3"/>
      <x:c r="H24" s="4" t="str">
        <x:f t="shared" si="0"/>
        <x:v>À conserver</x:v>
      </x:c>
      <x:c r="I24" s="5" t="s">
        <x:v>41</x:v>
      </x:c>
      <x:c r="J24" s="2"/>
    </x:row>
    <x:row r="25" ht="38.099998474121094" customHeight="1">
      <x:c r="A25" s="2" t="s">
        <x:v>117</x:v>
      </x:c>
      <x:c r="B25" s="2" t="s">
        <x:v>10</x:v>
      </x:c>
      <x:c r="C25" s="2" t="s">
        <x:v>109</x:v>
      </x:c>
      <x:c r="D25" s="2" t="s">
        <x:v>118</x:v>
      </x:c>
      <x:c r="E25" s="2" t="s">
        <x:v>119</x:v>
      </x:c>
      <x:c r="F25" s="2" t="s">
        <x:v>73</x:v>
      </x:c>
      <x:c r="G25" s="3"/>
      <x:c r="H25" s="4" t="str">
        <x:f t="shared" si="0"/>
        <x:v>À conserver</x:v>
      </x:c>
      <x:c r="I25" s="5" t="s">
        <x:v>41</x:v>
      </x:c>
      <x:c r="J25" s="2"/>
    </x:row>
    <x:row r="26" ht="38.099998474121094" customHeight="1">
      <x:c r="A26" s="2" t="s">
        <x:v>120</x:v>
      </x:c>
      <x:c r="B26" s="2" t="s">
        <x:v>10</x:v>
      </x:c>
      <x:c r="C26" s="2" t="s">
        <x:v>109</x:v>
      </x:c>
      <x:c r="D26" s="2" t="s">
        <x:v>121</x:v>
      </x:c>
      <x:c r="E26" s="2" t="s">
        <x:v>122</x:v>
      </x:c>
      <x:c r="F26" s="2" t="s">
        <x:v>123</x:v>
      </x:c>
      <x:c r="G26" s="3"/>
      <x:c r="H26" s="4" t="str">
        <x:f t="shared" si="0"/>
        <x:v>À conserver</x:v>
      </x:c>
      <x:c r="I26" s="5" t="s">
        <x:v>41</x:v>
      </x:c>
      <x:c r="J26" s="2"/>
    </x:row>
    <x:row r="27" ht="38.099998474121094" customHeight="1">
      <x:c r="A27" s="2" t="s">
        <x:v>124</x:v>
      </x:c>
      <x:c r="B27" s="2" t="s">
        <x:v>10</x:v>
      </x:c>
      <x:c r="C27" s="2" t="s">
        <x:v>109</x:v>
      </x:c>
      <x:c r="D27" s="2" t="s">
        <x:v>125</x:v>
      </x:c>
      <x:c r="E27" s="2" t="s">
        <x:v>126</x:v>
      </x:c>
      <x:c r="F27" s="2" t="s">
        <x:v>127</x:v>
      </x:c>
      <x:c r="G27" s="3"/>
      <x:c r="H27" s="4" t="str">
        <x:f t="shared" si="0"/>
        <x:v>À conserver</x:v>
      </x:c>
      <x:c r="I27" s="5" t="s">
        <x:v>41</x:v>
      </x:c>
      <x:c r="J27" s="2"/>
    </x:row>
    <x:row r="28" ht="38.099998474121094" customHeight="1">
      <x:c r="A28" s="2" t="s">
        <x:v>128</x:v>
      </x:c>
      <x:c r="B28" s="2" t="s">
        <x:v>10</x:v>
      </x:c>
      <x:c r="C28" s="2" t="s">
        <x:v>109</x:v>
      </x:c>
      <x:c r="D28" s="2" t="s">
        <x:v>129</x:v>
      </x:c>
      <x:c r="E28" s="2" t="s">
        <x:v>130</x:v>
      </x:c>
      <x:c r="F28" s="2" t="s">
        <x:v>116</x:v>
      </x:c>
      <x:c r="G28" s="3"/>
      <x:c r="H28" s="4" t="str">
        <x:f t="shared" si="0"/>
        <x:v>À conserver</x:v>
      </x:c>
      <x:c r="I28" s="5" t="s">
        <x:v>74</x:v>
      </x:c>
      <x:c r="J28" s="2"/>
    </x:row>
    <x:row r="29" ht="38.099998474121094" customHeight="1">
      <x:c r="A29" s="2" t="s">
        <x:v>131</x:v>
      </x:c>
      <x:c r="B29" s="2" t="s">
        <x:v>10</x:v>
      </x:c>
      <x:c r="C29" s="2" t="s">
        <x:v>109</x:v>
      </x:c>
      <x:c r="D29" s="2" t="s">
        <x:v>132</x:v>
      </x:c>
      <x:c r="E29" s="2" t="s">
        <x:v>133</x:v>
      </x:c>
      <x:c r="F29" s="2" t="s">
        <x:v>134</x:v>
      </x:c>
      <x:c r="G29" s="3"/>
      <x:c r="H29" s="4" t="str">
        <x:f t="shared" si="0"/>
        <x:v>À conserver</x:v>
      </x:c>
      <x:c r="I29" s="5" t="s">
        <x:v>41</x:v>
      </x:c>
      <x:c r="J29" s="2"/>
    </x:row>
    <x:row r="30" ht="38.099998474121094" customHeight="1">
      <x:c r="A30" s="2" t="s">
        <x:v>135</x:v>
      </x:c>
      <x:c r="B30" s="2" t="s">
        <x:v>10</x:v>
      </x:c>
      <x:c r="C30" s="2" t="s">
        <x:v>136</x:v>
      </x:c>
      <x:c r="D30" s="2" t="s">
        <x:v>137</x:v>
      </x:c>
      <x:c r="E30" s="2" t="s">
        <x:v>138</x:v>
      </x:c>
      <x:c r="F30" s="2" t="s">
        <x:v>139</x:v>
      </x:c>
      <x:c r="G30" s="3"/>
      <x:c r="H30" s="4" t="str">
        <x:f t="shared" si="0"/>
        <x:v>À conserver</x:v>
      </x:c>
      <x:c r="I30" s="5" t="s">
        <x:v>41</x:v>
      </x:c>
      <x:c r="J30" s="2"/>
    </x:row>
    <x:row r="31" ht="38.099998474121094" customHeight="1">
      <x:c r="A31" s="2" t="s">
        <x:v>140</x:v>
      </x:c>
      <x:c r="B31" s="2" t="s">
        <x:v>10</x:v>
      </x:c>
      <x:c r="C31" s="2" t="s">
        <x:v>136</x:v>
      </x:c>
      <x:c r="D31" s="2" t="s">
        <x:v>141</x:v>
      </x:c>
      <x:c r="E31" s="2" t="s">
        <x:v>142</x:v>
      </x:c>
      <x:c r="F31" s="2" t="s">
        <x:v>73</x:v>
      </x:c>
      <x:c r="G31" s="3"/>
      <x:c r="H31" s="4" t="str">
        <x:f t="shared" si="0"/>
        <x:v>À conserver</x:v>
      </x:c>
      <x:c r="I31" s="5" t="s">
        <x:v>41</x:v>
      </x:c>
      <x:c r="J31" s="2"/>
    </x:row>
    <x:row r="32" ht="38.099998474121094" customHeight="1">
      <x:c r="A32" s="2" t="s">
        <x:v>143</x:v>
      </x:c>
      <x:c r="B32" s="2" t="s">
        <x:v>10</x:v>
      </x:c>
      <x:c r="C32" s="2" t="s">
        <x:v>144</x:v>
      </x:c>
      <x:c r="D32" s="2" t="s">
        <x:v>145</x:v>
      </x:c>
      <x:c r="E32" s="2" t="s">
        <x:v>146</x:v>
      </x:c>
      <x:c r="F32" s="2" t="s">
        <x:v>147</x:v>
      </x:c>
      <x:c r="G32" s="3"/>
      <x:c r="H32" s="4" t="str">
        <x:f t="shared" si="0"/>
        <x:v>À conserver</x:v>
      </x:c>
      <x:c r="I32" s="5" t="s">
        <x:v>41</x:v>
      </x:c>
      <x:c r="J32" s="2"/>
    </x:row>
    <x:row r="33" ht="38.099998474121094" customHeight="1">
      <x:c r="A33" s="2" t="s">
        <x:v>148</x:v>
      </x:c>
      <x:c r="B33" s="2" t="s">
        <x:v>10</x:v>
      </x:c>
      <x:c r="C33" s="2" t="s">
        <x:v>144</x:v>
      </x:c>
      <x:c r="D33" s="2" t="s">
        <x:v>149</x:v>
      </x:c>
      <x:c r="E33" s="2" t="s">
        <x:v>150</x:v>
      </x:c>
      <x:c r="F33" s="2" t="s">
        <x:v>151</x:v>
      </x:c>
      <x:c r="G33" s="3"/>
      <x:c r="H33" s="4" t="str">
        <x:f t="shared" si="0"/>
        <x:v>À conserver</x:v>
      </x:c>
      <x:c r="I33" s="5" t="s">
        <x:v>41</x:v>
      </x:c>
      <x:c r="J33" s="2" t="s">
        <x:v>152</x:v>
      </x:c>
    </x:row>
    <x:row r="34" ht="38.099998474121094" customHeight="1">
      <x:c r="A34" s="2" t="s">
        <x:v>153</x:v>
      </x:c>
      <x:c r="B34" s="2" t="s">
        <x:v>10</x:v>
      </x:c>
      <x:c r="C34" s="2" t="s">
        <x:v>144</x:v>
      </x:c>
      <x:c r="D34" s="2" t="s">
        <x:v>154</x:v>
      </x:c>
      <x:c r="E34" s="2" t="s">
        <x:v>155</x:v>
      </x:c>
      <x:c r="F34" s="2" t="s">
        <x:v>156</x:v>
      </x:c>
      <x:c r="G34" s="3"/>
      <x:c r="H34" s="4" t="str">
        <x:f t="shared" si="0"/>
        <x:v>À conserver</x:v>
      </x:c>
      <x:c r="I34" s="5" t="s">
        <x:v>41</x:v>
      </x:c>
      <x:c r="J34" s="2"/>
    </x:row>
    <x:row r="35" ht="38.099998474121094" customHeight="1">
      <x:c r="A35" s="2" t="s">
        <x:v>157</x:v>
      </x:c>
      <x:c r="B35" s="2" t="s">
        <x:v>10</x:v>
      </x:c>
      <x:c r="C35" s="2" t="s">
        <x:v>144</x:v>
      </x:c>
      <x:c r="D35" s="2" t="s">
        <x:v>158</x:v>
      </x:c>
      <x:c r="E35" s="2" t="s">
        <x:v>159</x:v>
      </x:c>
      <x:c r="F35" s="2" t="s">
        <x:v>160</x:v>
      </x:c>
      <x:c r="G35" s="3"/>
      <x:c r="H35" s="4" t="str">
        <x:f t="shared" si="0"/>
        <x:v>À conserver</x:v>
      </x:c>
      <x:c r="I35" s="5" t="s">
        <x:v>41</x:v>
      </x:c>
      <x:c r="J35" s="2"/>
    </x:row>
    <x:row r="36" ht="38.099998474121094" customHeight="1">
      <x:c r="A36" s="2" t="s">
        <x:v>161</x:v>
      </x:c>
      <x:c r="B36" s="2" t="s">
        <x:v>10</x:v>
      </x:c>
      <x:c r="C36" s="2" t="s">
        <x:v>144</x:v>
      </x:c>
      <x:c r="D36" s="2" t="s">
        <x:v>162</x:v>
      </x:c>
      <x:c r="E36" s="2" t="s">
        <x:v>163</x:v>
      </x:c>
      <x:c r="F36" s="2" t="s">
        <x:v>164</x:v>
      </x:c>
      <x:c r="G36" s="3"/>
      <x:c r="H36" s="4" t="str">
        <x:f t="shared" si="0"/>
        <x:v>À conserver</x:v>
      </x:c>
      <x:c r="I36" s="5" t="s">
        <x:v>41</x:v>
      </x:c>
      <x:c r="J36" s="2"/>
    </x:row>
    <x:row r="37" ht="38.099998474121094" customHeight="1">
      <x:c r="A37" s="2" t="s">
        <x:v>165</x:v>
      </x:c>
      <x:c r="B37" s="2" t="s">
        <x:v>10</x:v>
      </x:c>
      <x:c r="C37" s="2" t="s">
        <x:v>144</x:v>
      </x:c>
      <x:c r="D37" s="2" t="s">
        <x:v>166</x:v>
      </x:c>
      <x:c r="E37" s="2" t="s">
        <x:v>167</x:v>
      </x:c>
      <x:c r="F37" s="2" t="s">
        <x:v>168</x:v>
      </x:c>
      <x:c r="G37" s="3" t="s">
        <x:v>99</x:v>
      </x:c>
      <x:c r="H37" s="4" t="str">
        <x:f t="shared" si="0"/>
        <x:v>À retirer</x:v>
      </x:c>
      <x:c r="I37" s="5" t="s">
        <x:v>74</x:v>
      </x:c>
      <x:c r="J37" s="2"/>
    </x:row>
    <x:row r="38" ht="38.099998474121094" customHeight="1">
      <x:c r="A38" s="2" t="s">
        <x:v>169</x:v>
      </x:c>
      <x:c r="B38" s="2" t="s">
        <x:v>10</x:v>
      </x:c>
      <x:c r="C38" s="2" t="s">
        <x:v>144</x:v>
      </x:c>
      <x:c r="D38" s="2" t="s">
        <x:v>170</x:v>
      </x:c>
      <x:c r="E38" s="2" t="s">
        <x:v>171</x:v>
      </x:c>
      <x:c r="F38" s="2" t="s">
        <x:v>172</x:v>
      </x:c>
      <x:c r="G38" s="3"/>
      <x:c r="H38" s="4" t="str">
        <x:f t="shared" ref="H38:H69" si="1">IF(UPPER(G38)="X","À retirer","À conserver")</x:f>
        <x:v>À conserver</x:v>
      </x:c>
      <x:c r="I38" s="5" t="s">
        <x:v>41</x:v>
      </x:c>
      <x:c r="J38" s="2"/>
    </x:row>
    <x:row r="39" ht="38.099998474121094" customHeight="1">
      <x:c r="A39" s="2" t="s">
        <x:v>173</x:v>
      </x:c>
      <x:c r="B39" s="2" t="s">
        <x:v>10</x:v>
      </x:c>
      <x:c r="C39" s="2" t="s">
        <x:v>144</x:v>
      </x:c>
      <x:c r="D39" s="2" t="s">
        <x:v>174</x:v>
      </x:c>
      <x:c r="E39" s="2" t="s">
        <x:v>175</x:v>
      </x:c>
      <x:c r="F39" s="2" t="s">
        <x:v>176</x:v>
      </x:c>
      <x:c r="G39" s="3" t="s">
        <x:v>99</x:v>
      </x:c>
      <x:c r="H39" s="4" t="str">
        <x:f t="shared" si="1"/>
        <x:v>À retirer</x:v>
      </x:c>
      <x:c r="I39" s="5" t="s">
        <x:v>74</x:v>
      </x:c>
      <x:c r="J39" s="2"/>
    </x:row>
    <x:row r="40" ht="38.099998474121094" customHeight="1">
      <x:c r="A40" s="2" t="s">
        <x:v>177</x:v>
      </x:c>
      <x:c r="B40" s="2" t="s">
        <x:v>10</x:v>
      </x:c>
      <x:c r="C40" s="2" t="s">
        <x:v>144</x:v>
      </x:c>
      <x:c r="D40" s="2" t="s">
        <x:v>178</x:v>
      </x:c>
      <x:c r="E40" s="2" t="s">
        <x:v>179</x:v>
      </x:c>
      <x:c r="F40" s="2" t="s">
        <x:v>180</x:v>
      </x:c>
      <x:c r="G40" s="3"/>
      <x:c r="H40" s="4" t="str">
        <x:f t="shared" si="1"/>
        <x:v>À conserver</x:v>
      </x:c>
      <x:c r="I40" s="5" t="s">
        <x:v>41</x:v>
      </x:c>
      <x:c r="J40" s="2"/>
    </x:row>
    <x:row r="41" ht="38.099998474121094" customHeight="1">
      <x:c r="A41" s="2" t="s">
        <x:v>181</x:v>
      </x:c>
      <x:c r="B41" s="2" t="s">
        <x:v>10</x:v>
      </x:c>
      <x:c r="C41" s="2" t="s">
        <x:v>144</x:v>
      </x:c>
      <x:c r="D41" s="2" t="s">
        <x:v>182</x:v>
      </x:c>
      <x:c r="E41" s="2" t="s">
        <x:v>183</x:v>
      </x:c>
      <x:c r="F41" s="2" t="s">
        <x:v>151</x:v>
      </x:c>
      <x:c r="G41" s="3"/>
      <x:c r="H41" s="4" t="str">
        <x:f t="shared" si="1"/>
        <x:v>À conserver</x:v>
      </x:c>
      <x:c r="I41" s="5" t="s">
        <x:v>74</x:v>
      </x:c>
      <x:c r="J41" s="2"/>
    </x:row>
    <x:row r="42" ht="38.099998474121094" customHeight="1">
      <x:c r="A42" s="2" t="s">
        <x:v>184</x:v>
      </x:c>
      <x:c r="B42" s="2" t="s">
        <x:v>10</x:v>
      </x:c>
      <x:c r="C42" s="2" t="s">
        <x:v>144</x:v>
      </x:c>
      <x:c r="D42" s="2" t="s">
        <x:v>185</x:v>
      </x:c>
      <x:c r="E42" s="2" t="s">
        <x:v>186</x:v>
      </x:c>
      <x:c r="F42" s="2" t="s">
        <x:v>78</x:v>
      </x:c>
      <x:c r="G42" s="3"/>
      <x:c r="H42" s="4" t="str">
        <x:f t="shared" si="1"/>
        <x:v>À conserver</x:v>
      </x:c>
      <x:c r="I42" s="5" t="s">
        <x:v>41</x:v>
      </x:c>
      <x:c r="J42" s="2"/>
    </x:row>
    <x:row r="43" ht="38.099998474121094" customHeight="1">
      <x:c r="A43" s="2" t="s">
        <x:v>187</x:v>
      </x:c>
      <x:c r="B43" s="2" t="s">
        <x:v>10</x:v>
      </x:c>
      <x:c r="C43" s="2" t="s">
        <x:v>188</x:v>
      </x:c>
      <x:c r="D43" s="2" t="s">
        <x:v>189</x:v>
      </x:c>
      <x:c r="E43" s="2" t="s">
        <x:v>190</x:v>
      </x:c>
      <x:c r="F43" s="2" t="s">
        <x:v>191</x:v>
      </x:c>
      <x:c r="G43" s="3"/>
      <x:c r="H43" s="4" t="str">
        <x:f t="shared" si="1"/>
        <x:v>À conserver</x:v>
      </x:c>
      <x:c r="I43" s="5" t="s">
        <x:v>41</x:v>
      </x:c>
      <x:c r="J43" s="2"/>
    </x:row>
    <x:row r="44" ht="38.099998474121094" customHeight="1">
      <x:c r="A44" s="2" t="s">
        <x:v>192</x:v>
      </x:c>
      <x:c r="B44" s="2" t="s">
        <x:v>10</x:v>
      </x:c>
      <x:c r="C44" s="2" t="s">
        <x:v>188</x:v>
      </x:c>
      <x:c r="D44" s="2" t="s">
        <x:v>193</x:v>
      </x:c>
      <x:c r="E44" s="2" t="s">
        <x:v>194</x:v>
      </x:c>
      <x:c r="F44" s="2" t="s">
        <x:v>195</x:v>
      </x:c>
      <x:c r="G44" s="3"/>
      <x:c r="H44" s="4" t="str">
        <x:f t="shared" si="1"/>
        <x:v>À conserver</x:v>
      </x:c>
      <x:c r="I44" s="5" t="s">
        <x:v>41</x:v>
      </x:c>
      <x:c r="J44" s="2"/>
    </x:row>
    <x:row r="45" ht="38.099998474121094" customHeight="1">
      <x:c r="A45" s="2" t="s">
        <x:v>196</x:v>
      </x:c>
      <x:c r="B45" s="2" t="s">
        <x:v>10</x:v>
      </x:c>
      <x:c r="C45" s="2" t="s">
        <x:v>188</x:v>
      </x:c>
      <x:c r="D45" s="2" t="s">
        <x:v>197</x:v>
      </x:c>
      <x:c r="E45" s="2" t="s">
        <x:v>198</x:v>
      </x:c>
      <x:c r="F45" s="2" t="s">
        <x:v>195</x:v>
      </x:c>
      <x:c r="G45" s="3"/>
      <x:c r="H45" s="4" t="str">
        <x:f t="shared" si="1"/>
        <x:v>À conserver</x:v>
      </x:c>
      <x:c r="I45" s="5" t="s">
        <x:v>41</x:v>
      </x:c>
      <x:c r="J45" s="2"/>
    </x:row>
    <x:row r="46" ht="38.099998474121094" customHeight="1">
      <x:c r="A46" s="2" t="s">
        <x:v>199</x:v>
      </x:c>
      <x:c r="B46" s="2" t="s">
        <x:v>10</x:v>
      </x:c>
      <x:c r="C46" s="2" t="s">
        <x:v>188</x:v>
      </x:c>
      <x:c r="D46" s="2" t="s">
        <x:v>200</x:v>
      </x:c>
      <x:c r="E46" s="2" t="s">
        <x:v>201</x:v>
      </x:c>
      <x:c r="F46" s="2" t="s">
        <x:v>202</x:v>
      </x:c>
      <x:c r="G46" s="3"/>
      <x:c r="H46" s="4" t="str">
        <x:f t="shared" si="1"/>
        <x:v>À conserver</x:v>
      </x:c>
      <x:c r="I46" s="5" t="s">
        <x:v>41</x:v>
      </x:c>
      <x:c r="J46" s="2"/>
    </x:row>
    <x:row r="47" ht="38.099998474121094" customHeight="1">
      <x:c r="A47" s="2" t="s">
        <x:v>203</x:v>
      </x:c>
      <x:c r="B47" s="2" t="s">
        <x:v>10</x:v>
      </x:c>
      <x:c r="C47" s="2" t="s">
        <x:v>188</x:v>
      </x:c>
      <x:c r="D47" s="2" t="s">
        <x:v>204</x:v>
      </x:c>
      <x:c r="E47" s="2" t="s">
        <x:v>205</x:v>
      </x:c>
      <x:c r="F47" s="2" t="s">
        <x:v>206</x:v>
      </x:c>
      <x:c r="G47" s="3"/>
      <x:c r="H47" s="4" t="str">
        <x:f t="shared" si="1"/>
        <x:v>À conserver</x:v>
      </x:c>
      <x:c r="I47" s="5" t="s">
        <x:v>41</x:v>
      </x:c>
      <x:c r="J47" s="2"/>
    </x:row>
    <x:row r="48" ht="38.099998474121094" customHeight="1">
      <x:c r="A48" s="2" t="s">
        <x:v>207</x:v>
      </x:c>
      <x:c r="B48" s="2" t="s">
        <x:v>10</x:v>
      </x:c>
      <x:c r="C48" s="2" t="s">
        <x:v>188</x:v>
      </x:c>
      <x:c r="D48" s="2" t="s">
        <x:v>208</x:v>
      </x:c>
      <x:c r="E48" s="2" t="s">
        <x:v>209</x:v>
      </x:c>
      <x:c r="F48" s="2" t="s">
        <x:v>210</x:v>
      </x:c>
      <x:c r="G48" s="3"/>
      <x:c r="H48" s="4" t="str">
        <x:f t="shared" si="1"/>
        <x:v>À conserver</x:v>
      </x:c>
      <x:c r="I48" s="5" t="s">
        <x:v>74</x:v>
      </x:c>
      <x:c r="J48" s="2"/>
    </x:row>
    <x:row r="49" ht="38.099998474121094" customHeight="1">
      <x:c r="A49" s="2" t="s">
        <x:v>211</x:v>
      </x:c>
      <x:c r="B49" s="2" t="s">
        <x:v>12</x:v>
      </x:c>
      <x:c r="C49" s="2" t="s">
        <x:v>212</x:v>
      </x:c>
      <x:c r="D49" s="2" t="s">
        <x:v>213</x:v>
      </x:c>
      <x:c r="E49" s="2" t="s">
        <x:v>214</x:v>
      </x:c>
      <x:c r="F49" s="2" t="s">
        <x:v>215</x:v>
      </x:c>
      <x:c r="G49" s="3"/>
      <x:c r="H49" s="4" t="str">
        <x:f t="shared" si="1"/>
        <x:v>À conserver</x:v>
      </x:c>
      <x:c r="I49" s="5" t="s">
        <x:v>41</x:v>
      </x:c>
      <x:c r="J49" s="2"/>
    </x:row>
    <x:row r="50" ht="38.099998474121094" customHeight="1">
      <x:c r="A50" s="2" t="s">
        <x:v>216</x:v>
      </x:c>
      <x:c r="B50" s="2" t="s">
        <x:v>12</x:v>
      </x:c>
      <x:c r="C50" s="2" t="s">
        <x:v>212</x:v>
      </x:c>
      <x:c r="D50" s="2" t="s">
        <x:v>217</x:v>
      </x:c>
      <x:c r="E50" s="2" t="s">
        <x:v>218</x:v>
      </x:c>
      <x:c r="F50" s="2" t="s">
        <x:v>219</x:v>
      </x:c>
      <x:c r="G50" s="3"/>
      <x:c r="H50" s="4" t="str">
        <x:f t="shared" si="1"/>
        <x:v>À conserver</x:v>
      </x:c>
      <x:c r="I50" s="5" t="s">
        <x:v>41</x:v>
      </x:c>
      <x:c r="J50" s="2"/>
    </x:row>
    <x:row r="51" ht="38.099998474121094" customHeight="1">
      <x:c r="A51" s="2" t="s">
        <x:v>220</x:v>
      </x:c>
      <x:c r="B51" s="2" t="s">
        <x:v>12</x:v>
      </x:c>
      <x:c r="C51" s="2" t="s">
        <x:v>212</x:v>
      </x:c>
      <x:c r="D51" s="2" t="s">
        <x:v>221</x:v>
      </x:c>
      <x:c r="E51" s="2" t="s">
        <x:v>222</x:v>
      </x:c>
      <x:c r="F51" s="2" t="s">
        <x:v>223</x:v>
      </x:c>
      <x:c r="G51" s="3"/>
      <x:c r="H51" s="4" t="str">
        <x:f t="shared" si="1"/>
        <x:v>À conserver</x:v>
      </x:c>
      <x:c r="I51" s="5" t="s">
        <x:v>41</x:v>
      </x:c>
      <x:c r="J51" s="2"/>
    </x:row>
    <x:row r="52" ht="38.099998474121094" customHeight="1">
      <x:c r="A52" s="2" t="s">
        <x:v>224</x:v>
      </x:c>
      <x:c r="B52" s="2" t="s">
        <x:v>12</x:v>
      </x:c>
      <x:c r="C52" s="2" t="s">
        <x:v>212</x:v>
      </x:c>
      <x:c r="D52" s="2" t="s">
        <x:v>225</x:v>
      </x:c>
      <x:c r="E52" s="2" t="s">
        <x:v>226</x:v>
      </x:c>
      <x:c r="F52" s="2" t="s">
        <x:v>227</x:v>
      </x:c>
      <x:c r="G52" s="3"/>
      <x:c r="H52" s="4" t="str">
        <x:f t="shared" si="1"/>
        <x:v>À conserver</x:v>
      </x:c>
      <x:c r="I52" s="5" t="s">
        <x:v>41</x:v>
      </x:c>
      <x:c r="J52" s="2"/>
    </x:row>
    <x:row r="53" ht="38.099998474121094" customHeight="1">
      <x:c r="A53" s="2" t="s">
        <x:v>228</x:v>
      </x:c>
      <x:c r="B53" s="2" t="s">
        <x:v>12</x:v>
      </x:c>
      <x:c r="C53" s="2" t="s">
        <x:v>212</x:v>
      </x:c>
      <x:c r="D53" s="2" t="s">
        <x:v>229</x:v>
      </x:c>
      <x:c r="E53" s="2" t="s">
        <x:v>230</x:v>
      </x:c>
      <x:c r="F53" s="2" t="s">
        <x:v>231</x:v>
      </x:c>
      <x:c r="G53" s="3"/>
      <x:c r="H53" s="4" t="str">
        <x:f t="shared" si="1"/>
        <x:v>À conserver</x:v>
      </x:c>
      <x:c r="I53" s="5" t="s">
        <x:v>41</x:v>
      </x:c>
      <x:c r="J53" s="2"/>
    </x:row>
    <x:row r="54" ht="38.099998474121094" customHeight="1">
      <x:c r="A54" s="2" t="s">
        <x:v>232</x:v>
      </x:c>
      <x:c r="B54" s="2" t="s">
        <x:v>12</x:v>
      </x:c>
      <x:c r="C54" s="2" t="s">
        <x:v>212</x:v>
      </x:c>
      <x:c r="D54" s="2" t="s">
        <x:v>233</x:v>
      </x:c>
      <x:c r="E54" s="2" t="s">
        <x:v>234</x:v>
      </x:c>
      <x:c r="F54" s="2" t="s">
        <x:v>235</x:v>
      </x:c>
      <x:c r="G54" s="3"/>
      <x:c r="H54" s="4" t="str">
        <x:f t="shared" si="1"/>
        <x:v>À conserver</x:v>
      </x:c>
      <x:c r="I54" s="5" t="s">
        <x:v>74</x:v>
      </x:c>
      <x:c r="J54" s="2"/>
    </x:row>
    <x:row r="55" ht="38.099998474121094" customHeight="1">
      <x:c r="A55" s="2" t="s">
        <x:v>236</x:v>
      </x:c>
      <x:c r="B55" s="2" t="s">
        <x:v>13</x:v>
      </x:c>
      <x:c r="C55" s="2" t="s">
        <x:v>237</x:v>
      </x:c>
      <x:c r="D55" s="2" t="s">
        <x:v>238</x:v>
      </x:c>
      <x:c r="E55" s="2" t="s">
        <x:v>239</x:v>
      </x:c>
      <x:c r="F55" s="2" t="s">
        <x:v>240</x:v>
      </x:c>
      <x:c r="G55" s="3"/>
      <x:c r="H55" s="4" t="str">
        <x:f t="shared" si="1"/>
        <x:v>À conserver</x:v>
      </x:c>
      <x:c r="I55" s="5" t="s">
        <x:v>41</x:v>
      </x:c>
      <x:c r="J55" s="2"/>
    </x:row>
    <x:row r="56" ht="38.099998474121094" customHeight="1">
      <x:c r="A56" s="2" t="s">
        <x:v>241</x:v>
      </x:c>
      <x:c r="B56" s="2" t="s">
        <x:v>13</x:v>
      </x:c>
      <x:c r="C56" s="2" t="s">
        <x:v>237</x:v>
      </x:c>
      <x:c r="D56" s="2" t="s">
        <x:v>242</x:v>
      </x:c>
      <x:c r="E56" s="2" t="s">
        <x:v>243</x:v>
      </x:c>
      <x:c r="F56" s="2" t="s">
        <x:v>244</x:v>
      </x:c>
      <x:c r="G56" s="3"/>
      <x:c r="H56" s="4" t="str">
        <x:f t="shared" si="1"/>
        <x:v>À conserver</x:v>
      </x:c>
      <x:c r="I56" s="5" t="s">
        <x:v>41</x:v>
      </x:c>
      <x:c r="J56" s="2"/>
    </x:row>
    <x:row r="57" ht="38.099998474121094" customHeight="1">
      <x:c r="A57" s="2" t="s">
        <x:v>245</x:v>
      </x:c>
      <x:c r="B57" s="2" t="s">
        <x:v>13</x:v>
      </x:c>
      <x:c r="C57" s="2" t="s">
        <x:v>237</x:v>
      </x:c>
      <x:c r="D57" s="2" t="s">
        <x:v>246</x:v>
      </x:c>
      <x:c r="E57" s="2" t="s">
        <x:v>247</x:v>
      </x:c>
      <x:c r="F57" s="2" t="s">
        <x:v>248</x:v>
      </x:c>
      <x:c r="G57" s="3"/>
      <x:c r="H57" s="4" t="str">
        <x:f t="shared" si="1"/>
        <x:v>À conserver</x:v>
      </x:c>
      <x:c r="I57" s="5" t="s">
        <x:v>41</x:v>
      </x:c>
      <x:c r="J57" s="2"/>
    </x:row>
    <x:row r="58" ht="38.099998474121094" customHeight="1">
      <x:c r="A58" s="2" t="s">
        <x:v>249</x:v>
      </x:c>
      <x:c r="B58" s="2" t="s">
        <x:v>13</x:v>
      </x:c>
      <x:c r="C58" s="2" t="s">
        <x:v>237</x:v>
      </x:c>
      <x:c r="D58" s="2" t="s">
        <x:v>250</x:v>
      </x:c>
      <x:c r="E58" s="2" t="s">
        <x:v>251</x:v>
      </x:c>
      <x:c r="F58" s="2" t="s">
        <x:v>252</x:v>
      </x:c>
      <x:c r="G58" s="3"/>
      <x:c r="H58" s="4" t="str">
        <x:f t="shared" si="1"/>
        <x:v>À conserver</x:v>
      </x:c>
      <x:c r="I58" s="5" t="s">
        <x:v>41</x:v>
      </x:c>
      <x:c r="J58" s="2"/>
    </x:row>
    <x:row r="59" ht="38.099998474121094" customHeight="1">
      <x:c r="A59" s="2" t="s">
        <x:v>253</x:v>
      </x:c>
      <x:c r="B59" s="2" t="s">
        <x:v>13</x:v>
      </x:c>
      <x:c r="C59" s="2" t="s">
        <x:v>237</x:v>
      </x:c>
      <x:c r="D59" s="2" t="s">
        <x:v>254</x:v>
      </x:c>
      <x:c r="E59" s="2" t="s">
        <x:v>255</x:v>
      </x:c>
      <x:c r="F59" s="2" t="s">
        <x:v>256</x:v>
      </x:c>
      <x:c r="G59" s="3"/>
      <x:c r="H59" s="4" t="str">
        <x:f t="shared" si="1"/>
        <x:v>À conserver</x:v>
      </x:c>
      <x:c r="I59" s="5" t="s">
        <x:v>41</x:v>
      </x:c>
      <x:c r="J59" s="2"/>
    </x:row>
    <x:row r="60" ht="38.099998474121094" customHeight="1">
      <x:c r="A60" s="2" t="s">
        <x:v>257</x:v>
      </x:c>
      <x:c r="B60" s="2" t="s">
        <x:v>13</x:v>
      </x:c>
      <x:c r="C60" s="2" t="s">
        <x:v>237</x:v>
      </x:c>
      <x:c r="D60" s="2" t="s">
        <x:v>258</x:v>
      </x:c>
      <x:c r="E60" s="2" t="s">
        <x:v>259</x:v>
      </x:c>
      <x:c r="F60" s="2" t="s">
        <x:v>260</x:v>
      </x:c>
      <x:c r="G60" s="3"/>
      <x:c r="H60" s="4" t="str">
        <x:f t="shared" si="1"/>
        <x:v>À conserver</x:v>
      </x:c>
      <x:c r="I60" s="5" t="s">
        <x:v>74</x:v>
      </x:c>
      <x:c r="J60" s="2"/>
    </x:row>
    <x:row r="61" ht="38.099998474121094" customHeight="1">
      <x:c r="A61" s="2" t="s">
        <x:v>261</x:v>
      </x:c>
      <x:c r="B61" s="2" t="s">
        <x:v>13</x:v>
      </x:c>
      <x:c r="C61" s="2" t="s">
        <x:v>237</x:v>
      </x:c>
      <x:c r="D61" s="2" t="s">
        <x:v>262</x:v>
      </x:c>
      <x:c r="E61" s="2" t="s">
        <x:v>263</x:v>
      </x:c>
      <x:c r="F61" s="2" t="s">
        <x:v>264</x:v>
      </x:c>
      <x:c r="G61" s="3"/>
      <x:c r="H61" s="4" t="str">
        <x:f t="shared" si="1"/>
        <x:v>À conserver</x:v>
      </x:c>
      <x:c r="I61" s="5" t="s">
        <x:v>41</x:v>
      </x:c>
      <x:c r="J61" s="2"/>
    </x:row>
    <x:row r="62" ht="38.099998474121094" customHeight="1">
      <x:c r="A62" s="2" t="s">
        <x:v>265</x:v>
      </x:c>
      <x:c r="B62" s="2" t="s">
        <x:v>13</x:v>
      </x:c>
      <x:c r="C62" s="2" t="s">
        <x:v>237</x:v>
      </x:c>
      <x:c r="D62" s="2" t="s">
        <x:v>266</x:v>
      </x:c>
      <x:c r="E62" s="2" t="s">
        <x:v>267</x:v>
      </x:c>
      <x:c r="F62" s="2" t="s">
        <x:v>268</x:v>
      </x:c>
      <x:c r="G62" s="3"/>
      <x:c r="H62" s="4" t="str">
        <x:f t="shared" si="1"/>
        <x:v>À conserver</x:v>
      </x:c>
      <x:c r="I62" s="5" t="s">
        <x:v>41</x:v>
      </x:c>
      <x:c r="J62" s="2"/>
    </x:row>
    <x:row r="63" ht="38.099998474121094" customHeight="1">
      <x:c r="A63" s="2" t="s">
        <x:v>269</x:v>
      </x:c>
      <x:c r="B63" s="2" t="s">
        <x:v>13</x:v>
      </x:c>
      <x:c r="C63" s="2" t="s">
        <x:v>237</x:v>
      </x:c>
      <x:c r="D63" s="2" t="s">
        <x:v>270</x:v>
      </x:c>
      <x:c r="E63" s="2" t="s">
        <x:v>271</x:v>
      </x:c>
      <x:c r="F63" s="2" t="s">
        <x:v>272</x:v>
      </x:c>
      <x:c r="G63" s="3"/>
      <x:c r="H63" s="4" t="str">
        <x:f t="shared" si="1"/>
        <x:v>À conserver</x:v>
      </x:c>
      <x:c r="I63" s="5" t="s">
        <x:v>41</x:v>
      </x:c>
      <x:c r="J63" s="2"/>
    </x:row>
    <x:row r="64" ht="38.099998474121094" customHeight="1">
      <x:c r="A64" s="2" t="s">
        <x:v>273</x:v>
      </x:c>
      <x:c r="B64" s="2" t="s">
        <x:v>13</x:v>
      </x:c>
      <x:c r="C64" s="2" t="s">
        <x:v>237</x:v>
      </x:c>
      <x:c r="D64" s="2" t="s">
        <x:v>274</x:v>
      </x:c>
      <x:c r="E64" s="2" t="s">
        <x:v>275</x:v>
      </x:c>
      <x:c r="F64" s="2" t="s">
        <x:v>276</x:v>
      </x:c>
      <x:c r="G64" s="3"/>
      <x:c r="H64" s="4" t="str">
        <x:f t="shared" si="1"/>
        <x:v>À conserver</x:v>
      </x:c>
      <x:c r="I64" s="5" t="s">
        <x:v>41</x:v>
      </x:c>
      <x:c r="J64" s="2"/>
    </x:row>
    <x:row r="65" ht="38.099998474121094" customHeight="1">
      <x:c r="A65" s="2" t="s">
        <x:v>277</x:v>
      </x:c>
      <x:c r="B65" s="2" t="s">
        <x:v>14</x:v>
      </x:c>
      <x:c r="C65" s="2" t="s">
        <x:v>278</x:v>
      </x:c>
      <x:c r="D65" s="2" t="s">
        <x:v>279</x:v>
      </x:c>
      <x:c r="E65" s="2" t="s">
        <x:v>280</x:v>
      </x:c>
      <x:c r="F65" s="2" t="s">
        <x:v>281</x:v>
      </x:c>
      <x:c r="G65" s="3"/>
      <x:c r="H65" s="4" t="str">
        <x:f t="shared" si="1"/>
        <x:v>À conserver</x:v>
      </x:c>
      <x:c r="I65" s="5" t="s">
        <x:v>41</x:v>
      </x:c>
      <x:c r="J65" s="2"/>
    </x:row>
    <x:row r="66" ht="38.099998474121094" customHeight="1">
      <x:c r="A66" s="2" t="s">
        <x:v>282</x:v>
      </x:c>
      <x:c r="B66" s="2" t="s">
        <x:v>14</x:v>
      </x:c>
      <x:c r="C66" s="2" t="s">
        <x:v>278</x:v>
      </x:c>
      <x:c r="D66" s="2" t="s">
        <x:v>283</x:v>
      </x:c>
      <x:c r="E66" s="2" t="s">
        <x:v>284</x:v>
      </x:c>
      <x:c r="F66" s="2" t="s">
        <x:v>285</x:v>
      </x:c>
      <x:c r="G66" s="3"/>
      <x:c r="H66" s="4" t="str">
        <x:f t="shared" si="1"/>
        <x:v>À conserver</x:v>
      </x:c>
      <x:c r="I66" s="5" t="s">
        <x:v>41</x:v>
      </x:c>
      <x:c r="J66" s="2"/>
    </x:row>
    <x:row r="67" ht="38.099998474121094" customHeight="1">
      <x:c r="A67" s="2" t="s">
        <x:v>286</x:v>
      </x:c>
      <x:c r="B67" s="2" t="s">
        <x:v>14</x:v>
      </x:c>
      <x:c r="C67" s="2" t="s">
        <x:v>278</x:v>
      </x:c>
      <x:c r="D67" s="2" t="s">
        <x:v>287</x:v>
      </x:c>
      <x:c r="E67" s="2" t="s">
        <x:v>288</x:v>
      </x:c>
      <x:c r="F67" s="2" t="s">
        <x:v>289</x:v>
      </x:c>
      <x:c r="G67" s="3"/>
      <x:c r="H67" s="4" t="str">
        <x:f t="shared" si="1"/>
        <x:v>À conserver</x:v>
      </x:c>
      <x:c r="I67" s="5" t="s">
        <x:v>41</x:v>
      </x:c>
      <x:c r="J67" s="2"/>
    </x:row>
    <x:row r="68" ht="38.099998474121094" customHeight="1">
      <x:c r="A68" s="2" t="s">
        <x:v>290</x:v>
      </x:c>
      <x:c r="B68" s="2" t="s">
        <x:v>14</x:v>
      </x:c>
      <x:c r="C68" s="2" t="s">
        <x:v>278</x:v>
      </x:c>
      <x:c r="D68" s="2" t="s">
        <x:v>291</x:v>
      </x:c>
      <x:c r="E68" s="2" t="s">
        <x:v>292</x:v>
      </x:c>
      <x:c r="F68" s="2" t="s">
        <x:v>293</x:v>
      </x:c>
      <x:c r="G68" s="3"/>
      <x:c r="H68" s="4" t="str">
        <x:f t="shared" si="1"/>
        <x:v>À conserver</x:v>
      </x:c>
      <x:c r="I68" s="5" t="s">
        <x:v>41</x:v>
      </x:c>
      <x:c r="J68" s="2"/>
    </x:row>
    <x:row r="69" ht="38.099998474121094" customHeight="1">
      <x:c r="A69" s="2" t="s">
        <x:v>294</x:v>
      </x:c>
      <x:c r="B69" s="2" t="s">
        <x:v>14</x:v>
      </x:c>
      <x:c r="C69" s="2" t="s">
        <x:v>278</x:v>
      </x:c>
      <x:c r="D69" s="2" t="s">
        <x:v>295</x:v>
      </x:c>
      <x:c r="E69" s="2" t="s">
        <x:v>296</x:v>
      </x:c>
      <x:c r="F69" s="2" t="s">
        <x:v>297</x:v>
      </x:c>
      <x:c r="G69" s="3"/>
      <x:c r="H69" s="4" t="str">
        <x:f t="shared" si="1"/>
        <x:v>À conserver</x:v>
      </x:c>
      <x:c r="I69" s="5" t="s">
        <x:v>41</x:v>
      </x:c>
      <x:c r="J69" s="2"/>
    </x:row>
    <x:row r="70" ht="38.099998474121094" customHeight="1">
      <x:c r="A70" s="2" t="s">
        <x:v>298</x:v>
      </x:c>
      <x:c r="B70" s="2" t="s">
        <x:v>14</x:v>
      </x:c>
      <x:c r="C70" s="2" t="s">
        <x:v>278</x:v>
      </x:c>
      <x:c r="D70" s="2" t="s">
        <x:v>299</x:v>
      </x:c>
      <x:c r="E70" s="2" t="s">
        <x:v>300</x:v>
      </x:c>
      <x:c r="F70" s="2" t="s">
        <x:v>301</x:v>
      </x:c>
      <x:c r="G70" s="3"/>
      <x:c r="H70" s="4" t="str">
        <x:f t="shared" ref="H70:H101" si="2">IF(UPPER(G70)="X","À retirer","À conserver")</x:f>
        <x:v>À conserver</x:v>
      </x:c>
      <x:c r="I70" s="5" t="s">
        <x:v>41</x:v>
      </x:c>
      <x:c r="J70" s="2"/>
    </x:row>
    <x:row r="71" ht="38.099998474121094" customHeight="1">
      <x:c r="A71" s="2" t="s">
        <x:v>302</x:v>
      </x:c>
      <x:c r="B71" s="2" t="s">
        <x:v>14</x:v>
      </x:c>
      <x:c r="C71" s="2" t="s">
        <x:v>278</x:v>
      </x:c>
      <x:c r="D71" s="2" t="s">
        <x:v>303</x:v>
      </x:c>
      <x:c r="E71" s="2" t="s">
        <x:v>304</x:v>
      </x:c>
      <x:c r="F71" s="2" t="s">
        <x:v>305</x:v>
      </x:c>
      <x:c r="G71" s="3"/>
      <x:c r="H71" s="4" t="str">
        <x:f t="shared" si="2"/>
        <x:v>À conserver</x:v>
      </x:c>
      <x:c r="I71" s="5" t="s">
        <x:v>41</x:v>
      </x:c>
      <x:c r="J71" s="2"/>
    </x:row>
    <x:row r="72" ht="38.099998474121094" customHeight="1">
      <x:c r="A72" s="2" t="s">
        <x:v>306</x:v>
      </x:c>
      <x:c r="B72" s="2" t="s">
        <x:v>14</x:v>
      </x:c>
      <x:c r="C72" s="2" t="s">
        <x:v>278</x:v>
      </x:c>
      <x:c r="D72" s="2" t="s">
        <x:v>307</x:v>
      </x:c>
      <x:c r="E72" s="2" t="s">
        <x:v>308</x:v>
      </x:c>
      <x:c r="F72" s="2" t="s">
        <x:v>309</x:v>
      </x:c>
      <x:c r="G72" s="3"/>
      <x:c r="H72" s="4" t="str">
        <x:f t="shared" si="2"/>
        <x:v>À conserver</x:v>
      </x:c>
      <x:c r="I72" s="5" t="s">
        <x:v>41</x:v>
      </x:c>
      <x:c r="J72" s="2"/>
    </x:row>
    <x:row r="73" ht="38.099998474121094" customHeight="1">
      <x:c r="A73" s="2" t="s">
        <x:v>310</x:v>
      </x:c>
      <x:c r="B73" s="2" t="s">
        <x:v>14</x:v>
      </x:c>
      <x:c r="C73" s="2" t="s">
        <x:v>278</x:v>
      </x:c>
      <x:c r="D73" s="2" t="s">
        <x:v>311</x:v>
      </x:c>
      <x:c r="E73" s="2" t="s">
        <x:v>312</x:v>
      </x:c>
      <x:c r="F73" s="2" t="s">
        <x:v>313</x:v>
      </x:c>
      <x:c r="G73" s="3"/>
      <x:c r="H73" s="4" t="str">
        <x:f t="shared" si="2"/>
        <x:v>À conserver</x:v>
      </x:c>
      <x:c r="I73" s="5" t="s">
        <x:v>41</x:v>
      </x:c>
      <x:c r="J73" s="2"/>
    </x:row>
    <x:row r="74" ht="38.099998474121094" customHeight="1">
      <x:c r="A74" s="2" t="s">
        <x:v>314</x:v>
      </x:c>
      <x:c r="B74" s="2" t="s">
        <x:v>14</x:v>
      </x:c>
      <x:c r="C74" s="2" t="s">
        <x:v>278</x:v>
      </x:c>
      <x:c r="D74" s="2" t="s">
        <x:v>315</x:v>
      </x:c>
      <x:c r="E74" s="2" t="s">
        <x:v>316</x:v>
      </x:c>
      <x:c r="F74" s="2" t="s">
        <x:v>317</x:v>
      </x:c>
      <x:c r="G74" s="3"/>
      <x:c r="H74" s="4" t="str">
        <x:f t="shared" si="2"/>
        <x:v>À conserver</x:v>
      </x:c>
      <x:c r="I74" s="5" t="s">
        <x:v>41</x:v>
      </x:c>
      <x:c r="J74" s="2"/>
    </x:row>
    <x:row r="75" ht="38.099998474121094" customHeight="1">
      <x:c r="A75" s="2" t="s">
        <x:v>318</x:v>
      </x:c>
      <x:c r="B75" s="2" t="s">
        <x:v>14</x:v>
      </x:c>
      <x:c r="C75" s="2" t="s">
        <x:v>278</x:v>
      </x:c>
      <x:c r="D75" s="2" t="s">
        <x:v>319</x:v>
      </x:c>
      <x:c r="E75" s="2" t="s">
        <x:v>320</x:v>
      </x:c>
      <x:c r="F75" s="2" t="s">
        <x:v>321</x:v>
      </x:c>
      <x:c r="G75" s="3"/>
      <x:c r="H75" s="4" t="str">
        <x:f t="shared" si="2"/>
        <x:v>À conserver</x:v>
      </x:c>
      <x:c r="I75" s="5" t="s">
        <x:v>41</x:v>
      </x:c>
      <x:c r="J75" s="2"/>
    </x:row>
    <x:row r="76" ht="38.099998474121094" customHeight="1">
      <x:c r="A76" s="2" t="s">
        <x:v>322</x:v>
      </x:c>
      <x:c r="B76" s="2" t="s">
        <x:v>14</x:v>
      </x:c>
      <x:c r="C76" s="2" t="s">
        <x:v>278</x:v>
      </x:c>
      <x:c r="D76" s="2" t="s">
        <x:v>323</x:v>
      </x:c>
      <x:c r="E76" s="2" t="s">
        <x:v>324</x:v>
      </x:c>
      <x:c r="F76" s="2" t="s">
        <x:v>325</x:v>
      </x:c>
      <x:c r="G76" s="3"/>
      <x:c r="H76" s="4" t="str">
        <x:f t="shared" si="2"/>
        <x:v>À conserver</x:v>
      </x:c>
      <x:c r="I76" s="5" t="s">
        <x:v>41</x:v>
      </x:c>
      <x:c r="J76" s="2"/>
    </x:row>
    <x:row r="77" ht="38.099998474121094" customHeight="1">
      <x:c r="A77" s="2" t="s">
        <x:v>326</x:v>
      </x:c>
      <x:c r="B77" s="2" t="s">
        <x:v>14</x:v>
      </x:c>
      <x:c r="C77" s="2" t="s">
        <x:v>278</x:v>
      </x:c>
      <x:c r="D77" s="2" t="s">
        <x:v>327</x:v>
      </x:c>
      <x:c r="E77" s="2" t="s">
        <x:v>328</x:v>
      </x:c>
      <x:c r="F77" s="2" t="s">
        <x:v>329</x:v>
      </x:c>
      <x:c r="G77" s="3"/>
      <x:c r="H77" s="4" t="str">
        <x:f t="shared" si="2"/>
        <x:v>À conserver</x:v>
      </x:c>
      <x:c r="I77" s="5" t="s">
        <x:v>41</x:v>
      </x:c>
      <x:c r="J77" s="2"/>
    </x:row>
    <x:row r="78" ht="38.099998474121094" customHeight="1">
      <x:c r="A78" s="2" t="s">
        <x:v>330</x:v>
      </x:c>
      <x:c r="B78" s="2" t="s">
        <x:v>14</x:v>
      </x:c>
      <x:c r="C78" s="2" t="s">
        <x:v>278</x:v>
      </x:c>
      <x:c r="D78" s="2" t="s">
        <x:v>331</x:v>
      </x:c>
      <x:c r="E78" s="2" t="s">
        <x:v>332</x:v>
      </x:c>
      <x:c r="F78" s="2" t="s">
        <x:v>333</x:v>
      </x:c>
      <x:c r="G78" s="3"/>
      <x:c r="H78" s="4" t="str">
        <x:f t="shared" si="2"/>
        <x:v>À conserver</x:v>
      </x:c>
      <x:c r="I78" s="5" t="s">
        <x:v>41</x:v>
      </x:c>
      <x:c r="J78" s="2"/>
    </x:row>
    <x:row r="79" ht="38.099998474121094" customHeight="1">
      <x:c r="A79" s="2" t="s">
        <x:v>334</x:v>
      </x:c>
      <x:c r="B79" s="2" t="s">
        <x:v>14</x:v>
      </x:c>
      <x:c r="C79" s="2" t="s">
        <x:v>278</x:v>
      </x:c>
      <x:c r="D79" s="2" t="s">
        <x:v>335</x:v>
      </x:c>
      <x:c r="E79" s="2" t="s">
        <x:v>336</x:v>
      </x:c>
      <x:c r="F79" s="2" t="s">
        <x:v>337</x:v>
      </x:c>
      <x:c r="G79" s="3"/>
      <x:c r="H79" s="4" t="str">
        <x:f t="shared" si="2"/>
        <x:v>À conserver</x:v>
      </x:c>
      <x:c r="I79" s="5" t="s">
        <x:v>41</x:v>
      </x:c>
      <x:c r="J79" s="2"/>
    </x:row>
    <x:row r="80" ht="38.099998474121094" customHeight="1">
      <x:c r="A80" s="2" t="s">
        <x:v>338</x:v>
      </x:c>
      <x:c r="B80" s="2" t="s">
        <x:v>14</x:v>
      </x:c>
      <x:c r="C80" s="2" t="s">
        <x:v>278</x:v>
      </x:c>
      <x:c r="D80" s="2" t="s">
        <x:v>339</x:v>
      </x:c>
      <x:c r="E80" s="2" t="s">
        <x:v>340</x:v>
      </x:c>
      <x:c r="F80" s="2" t="s">
        <x:v>341</x:v>
      </x:c>
      <x:c r="G80" s="3"/>
      <x:c r="H80" s="4" t="str">
        <x:f t="shared" si="2"/>
        <x:v>À conserver</x:v>
      </x:c>
      <x:c r="I80" s="5" t="s">
        <x:v>74</x:v>
      </x:c>
      <x:c r="J80" s="2"/>
    </x:row>
    <x:row r="81" ht="38.099998474121094" customHeight="1">
      <x:c r="A81" s="2" t="s">
        <x:v>342</x:v>
      </x:c>
      <x:c r="B81" s="2" t="s">
        <x:v>14</x:v>
      </x:c>
      <x:c r="C81" s="2" t="s">
        <x:v>278</x:v>
      </x:c>
      <x:c r="D81" s="2" t="s">
        <x:v>343</x:v>
      </x:c>
      <x:c r="E81" s="2" t="s">
        <x:v>344</x:v>
      </x:c>
      <x:c r="F81" s="2" t="s">
        <x:v>345</x:v>
      </x:c>
      <x:c r="G81" s="3"/>
      <x:c r="H81" s="4" t="str">
        <x:f t="shared" si="2"/>
        <x:v>À conserver</x:v>
      </x:c>
      <x:c r="I81" s="5" t="s">
        <x:v>41</x:v>
      </x:c>
      <x:c r="J81" s="2"/>
    </x:row>
    <x:row r="82" ht="38.099998474121094" customHeight="1">
      <x:c r="A82" s="2" t="s">
        <x:v>346</x:v>
      </x:c>
      <x:c r="B82" s="2" t="s">
        <x:v>14</x:v>
      </x:c>
      <x:c r="C82" s="2" t="s">
        <x:v>347</x:v>
      </x:c>
      <x:c r="D82" s="2" t="s">
        <x:v>348</x:v>
      </x:c>
      <x:c r="E82" s="2" t="s">
        <x:v>349</x:v>
      </x:c>
      <x:c r="F82" s="2" t="s">
        <x:v>350</x:v>
      </x:c>
      <x:c r="G82" s="3"/>
      <x:c r="H82" s="4" t="str">
        <x:f t="shared" si="2"/>
        <x:v>À conserver</x:v>
      </x:c>
      <x:c r="I82" s="5" t="s">
        <x:v>41</x:v>
      </x:c>
      <x:c r="J82" s="2"/>
    </x:row>
    <x:row r="83" ht="38.099998474121094" customHeight="1">
      <x:c r="A83" s="2" t="s">
        <x:v>351</x:v>
      </x:c>
      <x:c r="B83" s="2" t="s">
        <x:v>14</x:v>
      </x:c>
      <x:c r="C83" s="2" t="s">
        <x:v>347</x:v>
      </x:c>
      <x:c r="D83" s="2" t="s">
        <x:v>352</x:v>
      </x:c>
      <x:c r="E83" s="2" t="s">
        <x:v>353</x:v>
      </x:c>
      <x:c r="F83" s="2" t="s">
        <x:v>354</x:v>
      </x:c>
      <x:c r="G83" s="3"/>
      <x:c r="H83" s="4" t="str">
        <x:f t="shared" si="2"/>
        <x:v>À conserver</x:v>
      </x:c>
      <x:c r="I83" s="5" t="s">
        <x:v>41</x:v>
      </x:c>
      <x:c r="J83" s="2"/>
    </x:row>
    <x:row r="84" ht="38.099998474121094" customHeight="1">
      <x:c r="A84" s="2" t="s">
        <x:v>355</x:v>
      </x:c>
      <x:c r="B84" s="2" t="s">
        <x:v>14</x:v>
      </x:c>
      <x:c r="C84" s="2" t="s">
        <x:v>347</x:v>
      </x:c>
      <x:c r="D84" s="2" t="s">
        <x:v>356</x:v>
      </x:c>
      <x:c r="E84" s="2" t="s">
        <x:v>357</x:v>
      </x:c>
      <x:c r="F84" s="2" t="s">
        <x:v>358</x:v>
      </x:c>
      <x:c r="G84" s="3"/>
      <x:c r="H84" s="4" t="str">
        <x:f t="shared" si="2"/>
        <x:v>À conserver</x:v>
      </x:c>
      <x:c r="I84" s="5" t="s">
        <x:v>41</x:v>
      </x:c>
      <x:c r="J84" s="2"/>
    </x:row>
    <x:row r="85" ht="38.099998474121094" customHeight="1">
      <x:c r="A85" s="2" t="s">
        <x:v>359</x:v>
      </x:c>
      <x:c r="B85" s="2" t="s">
        <x:v>14</x:v>
      </x:c>
      <x:c r="C85" s="2" t="s">
        <x:v>347</x:v>
      </x:c>
      <x:c r="D85" s="2" t="s">
        <x:v>360</x:v>
      </x:c>
      <x:c r="E85" s="2" t="s">
        <x:v>361</x:v>
      </x:c>
      <x:c r="F85" s="2" t="s">
        <x:v>362</x:v>
      </x:c>
      <x:c r="G85" s="3"/>
      <x:c r="H85" s="4" t="str">
        <x:f t="shared" si="2"/>
        <x:v>À conserver</x:v>
      </x:c>
      <x:c r="I85" s="5" t="s">
        <x:v>41</x:v>
      </x:c>
      <x:c r="J85" s="2"/>
    </x:row>
    <x:row r="86" ht="38.099998474121094" customHeight="1">
      <x:c r="A86" s="2" t="s">
        <x:v>363</x:v>
      </x:c>
      <x:c r="B86" s="2" t="s">
        <x:v>14</x:v>
      </x:c>
      <x:c r="C86" s="2" t="s">
        <x:v>347</x:v>
      </x:c>
      <x:c r="D86" s="2" t="s">
        <x:v>364</x:v>
      </x:c>
      <x:c r="E86" s="2" t="s">
        <x:v>365</x:v>
      </x:c>
      <x:c r="F86" s="2" t="s">
        <x:v>366</x:v>
      </x:c>
      <x:c r="G86" s="3"/>
      <x:c r="H86" s="4" t="str">
        <x:f t="shared" si="2"/>
        <x:v>À conserver</x:v>
      </x:c>
      <x:c r="I86" s="5" t="s">
        <x:v>41</x:v>
      </x:c>
      <x:c r="J86" s="2" t="s">
        <x:v>367</x:v>
      </x:c>
    </x:row>
    <x:row r="87" ht="38.099998474121094" customHeight="1">
      <x:c r="A87" s="2" t="s">
        <x:v>368</x:v>
      </x:c>
      <x:c r="B87" s="2" t="s">
        <x:v>14</x:v>
      </x:c>
      <x:c r="C87" s="2" t="s">
        <x:v>347</x:v>
      </x:c>
      <x:c r="D87" s="2" t="s">
        <x:v>369</x:v>
      </x:c>
      <x:c r="E87" s="2" t="s">
        <x:v>370</x:v>
      </x:c>
      <x:c r="F87" s="2" t="s">
        <x:v>371</x:v>
      </x:c>
      <x:c r="G87" s="3"/>
      <x:c r="H87" s="4" t="str">
        <x:f t="shared" si="2"/>
        <x:v>À conserver</x:v>
      </x:c>
      <x:c r="I87" s="5" t="s">
        <x:v>41</x:v>
      </x:c>
      <x:c r="J87" s="2"/>
    </x:row>
    <x:row r="88" ht="38.099998474121094" customHeight="1">
      <x:c r="A88" s="2" t="s">
        <x:v>372</x:v>
      </x:c>
      <x:c r="B88" s="2" t="s">
        <x:v>14</x:v>
      </x:c>
      <x:c r="C88" s="2" t="s">
        <x:v>347</x:v>
      </x:c>
      <x:c r="D88" s="2" t="s">
        <x:v>373</x:v>
      </x:c>
      <x:c r="E88" s="2" t="s">
        <x:v>374</x:v>
      </x:c>
      <x:c r="F88" s="2" t="s">
        <x:v>375</x:v>
      </x:c>
      <x:c r="G88" s="3"/>
      <x:c r="H88" s="4" t="str">
        <x:f t="shared" si="2"/>
        <x:v>À conserver</x:v>
      </x:c>
      <x:c r="I88" s="5" t="s">
        <x:v>74</x:v>
      </x:c>
      <x:c r="J88" s="2" t="s">
        <x:v>376</x:v>
      </x:c>
    </x:row>
    <x:row r="89" ht="38.099998474121094" customHeight="1">
      <x:c r="A89" s="2" t="s">
        <x:v>377</x:v>
      </x:c>
      <x:c r="B89" s="2" t="s">
        <x:v>14</x:v>
      </x:c>
      <x:c r="C89" s="2" t="s">
        <x:v>347</x:v>
      </x:c>
      <x:c r="D89" s="2" t="s">
        <x:v>378</x:v>
      </x:c>
      <x:c r="E89" s="2" t="s">
        <x:v>379</x:v>
      </x:c>
      <x:c r="F89" s="2" t="s">
        <x:v>380</x:v>
      </x:c>
      <x:c r="G89" s="3"/>
      <x:c r="H89" s="4" t="str">
        <x:f t="shared" si="2"/>
        <x:v>À conserver</x:v>
      </x:c>
      <x:c r="I89" s="5" t="s">
        <x:v>74</x:v>
      </x:c>
      <x:c r="J89" s="2"/>
    </x:row>
    <x:row r="90" ht="38.099998474121094" customHeight="1">
      <x:c r="A90" s="2" t="s">
        <x:v>381</x:v>
      </x:c>
      <x:c r="B90" s="2" t="s">
        <x:v>14</x:v>
      </x:c>
      <x:c r="C90" s="2" t="s">
        <x:v>347</x:v>
      </x:c>
      <x:c r="D90" s="2" t="s">
        <x:v>382</x:v>
      </x:c>
      <x:c r="E90" s="2" t="s">
        <x:v>383</x:v>
      </x:c>
      <x:c r="F90" s="2" t="s">
        <x:v>384</x:v>
      </x:c>
      <x:c r="G90" s="3"/>
      <x:c r="H90" s="4" t="str">
        <x:f t="shared" si="2"/>
        <x:v>À conserver</x:v>
      </x:c>
      <x:c r="I90" s="5" t="s">
        <x:v>74</x:v>
      </x:c>
      <x:c r="J90" s="2"/>
    </x:row>
    <x:row r="91" ht="38.099998474121094" customHeight="1">
      <x:c r="A91" s="2" t="s">
        <x:v>385</x:v>
      </x:c>
      <x:c r="B91" s="2" t="s">
        <x:v>15</x:v>
      </x:c>
      <x:c r="C91" s="2" t="s">
        <x:v>386</x:v>
      </x:c>
      <x:c r="D91" s="2" t="s">
        <x:v>387</x:v>
      </x:c>
      <x:c r="E91" s="2" t="s">
        <x:v>388</x:v>
      </x:c>
      <x:c r="F91" s="2" t="s">
        <x:v>389</x:v>
      </x:c>
      <x:c r="G91" s="3"/>
      <x:c r="H91" s="4" t="str">
        <x:f t="shared" si="2"/>
        <x:v>À conserver</x:v>
      </x:c>
      <x:c r="I91" s="5" t="s">
        <x:v>41</x:v>
      </x:c>
      <x:c r="J91" s="2"/>
    </x:row>
    <x:row r="92" ht="38.099998474121094" customHeight="1">
      <x:c r="A92" s="2" t="s">
        <x:v>390</x:v>
      </x:c>
      <x:c r="B92" s="2" t="s">
        <x:v>15</x:v>
      </x:c>
      <x:c r="C92" s="2" t="s">
        <x:v>386</x:v>
      </x:c>
      <x:c r="D92" s="2" t="s">
        <x:v>391</x:v>
      </x:c>
      <x:c r="E92" s="2" t="s">
        <x:v>392</x:v>
      </x:c>
      <x:c r="F92" s="2" t="s">
        <x:v>393</x:v>
      </x:c>
      <x:c r="G92" s="3"/>
      <x:c r="H92" s="4" t="str">
        <x:f t="shared" si="2"/>
        <x:v>À conserver</x:v>
      </x:c>
      <x:c r="I92" s="5" t="s">
        <x:v>41</x:v>
      </x:c>
      <x:c r="J92" s="2"/>
    </x:row>
    <x:row r="93" ht="38.099998474121094" customHeight="1">
      <x:c r="A93" s="2" t="s">
        <x:v>394</x:v>
      </x:c>
      <x:c r="B93" s="2" t="s">
        <x:v>15</x:v>
      </x:c>
      <x:c r="C93" s="2" t="s">
        <x:v>386</x:v>
      </x:c>
      <x:c r="D93" s="2" t="s">
        <x:v>395</x:v>
      </x:c>
      <x:c r="E93" s="2" t="s">
        <x:v>396</x:v>
      </x:c>
      <x:c r="F93" s="2" t="s">
        <x:v>397</x:v>
      </x:c>
      <x:c r="G93" s="3"/>
      <x:c r="H93" s="4" t="str">
        <x:f t="shared" si="2"/>
        <x:v>À conserver</x:v>
      </x:c>
      <x:c r="I93" s="5" t="s">
        <x:v>41</x:v>
      </x:c>
      <x:c r="J93" s="2"/>
    </x:row>
    <x:row r="94" ht="38.099998474121094" customHeight="1">
      <x:c r="A94" s="2" t="s">
        <x:v>398</x:v>
      </x:c>
      <x:c r="B94" s="2" t="s">
        <x:v>15</x:v>
      </x:c>
      <x:c r="C94" s="2" t="s">
        <x:v>386</x:v>
      </x:c>
      <x:c r="D94" s="2" t="s">
        <x:v>399</x:v>
      </x:c>
      <x:c r="E94" s="2" t="s">
        <x:v>400</x:v>
      </x:c>
      <x:c r="F94" s="2" t="s">
        <x:v>401</x:v>
      </x:c>
      <x:c r="G94" s="3"/>
      <x:c r="H94" s="4" t="str">
        <x:f t="shared" si="2"/>
        <x:v>À conserver</x:v>
      </x:c>
      <x:c r="I94" s="5" t="s">
        <x:v>41</x:v>
      </x:c>
      <x:c r="J94" s="2"/>
    </x:row>
    <x:row r="95" ht="38.099998474121094" customHeight="1">
      <x:c r="A95" s="2" t="s">
        <x:v>402</x:v>
      </x:c>
      <x:c r="B95" s="2" t="s">
        <x:v>15</x:v>
      </x:c>
      <x:c r="C95" s="2" t="s">
        <x:v>386</x:v>
      </x:c>
      <x:c r="D95" s="2" t="s">
        <x:v>403</x:v>
      </x:c>
      <x:c r="E95" s="2" t="s">
        <x:v>404</x:v>
      </x:c>
      <x:c r="F95" s="2" t="s">
        <x:v>405</x:v>
      </x:c>
      <x:c r="G95" s="3"/>
      <x:c r="H95" s="4" t="str">
        <x:f t="shared" si="2"/>
        <x:v>À conserver</x:v>
      </x:c>
      <x:c r="I95" s="5" t="s">
        <x:v>41</x:v>
      </x:c>
      <x:c r="J95" s="2"/>
    </x:row>
    <x:row r="96" ht="38.099998474121094" customHeight="1">
      <x:c r="A96" s="2" t="s">
        <x:v>406</x:v>
      </x:c>
      <x:c r="B96" s="2" t="s">
        <x:v>15</x:v>
      </x:c>
      <x:c r="C96" s="2" t="s">
        <x:v>386</x:v>
      </x:c>
      <x:c r="D96" s="2" t="s">
        <x:v>407</x:v>
      </x:c>
      <x:c r="E96" s="2" t="s">
        <x:v>408</x:v>
      </x:c>
      <x:c r="F96" s="2" t="s">
        <x:v>409</x:v>
      </x:c>
      <x:c r="G96" s="3"/>
      <x:c r="H96" s="4" t="str">
        <x:f t="shared" si="2"/>
        <x:v>À conserver</x:v>
      </x:c>
      <x:c r="I96" s="5" t="s">
        <x:v>41</x:v>
      </x:c>
      <x:c r="J96" s="2"/>
    </x:row>
    <x:row r="97" ht="38.099998474121094" customHeight="1">
      <x:c r="A97" s="2" t="s">
        <x:v>410</x:v>
      </x:c>
      <x:c r="B97" s="2" t="s">
        <x:v>15</x:v>
      </x:c>
      <x:c r="C97" s="2" t="s">
        <x:v>386</x:v>
      </x:c>
      <x:c r="D97" s="2" t="s">
        <x:v>411</x:v>
      </x:c>
      <x:c r="E97" s="2" t="s">
        <x:v>412</x:v>
      </x:c>
      <x:c r="F97" s="2" t="s">
        <x:v>413</x:v>
      </x:c>
      <x:c r="G97" s="3"/>
      <x:c r="H97" s="4" t="str">
        <x:f t="shared" si="2"/>
        <x:v>À conserver</x:v>
      </x:c>
      <x:c r="I97" s="5" t="s">
        <x:v>41</x:v>
      </x:c>
      <x:c r="J97" s="2"/>
    </x:row>
    <x:row r="98" ht="38.099998474121094" customHeight="1">
      <x:c r="A98" s="2" t="s">
        <x:v>414</x:v>
      </x:c>
      <x:c r="B98" s="2" t="s">
        <x:v>15</x:v>
      </x:c>
      <x:c r="C98" s="2" t="s">
        <x:v>386</x:v>
      </x:c>
      <x:c r="D98" s="2" t="s">
        <x:v>415</x:v>
      </x:c>
      <x:c r="E98" s="2" t="s">
        <x:v>416</x:v>
      </x:c>
      <x:c r="F98" s="2" t="s">
        <x:v>417</x:v>
      </x:c>
      <x:c r="G98" s="3"/>
      <x:c r="H98" s="4" t="str">
        <x:f t="shared" si="2"/>
        <x:v>À conserver</x:v>
      </x:c>
      <x:c r="I98" s="5" t="s">
        <x:v>41</x:v>
      </x:c>
      <x:c r="J98" s="2"/>
    </x:row>
    <x:row r="99" ht="38.099998474121094" customHeight="1">
      <x:c r="A99" s="2" t="s">
        <x:v>418</x:v>
      </x:c>
      <x:c r="B99" s="2" t="s">
        <x:v>15</x:v>
      </x:c>
      <x:c r="C99" s="2" t="s">
        <x:v>386</x:v>
      </x:c>
      <x:c r="D99" s="2" t="s">
        <x:v>419</x:v>
      </x:c>
      <x:c r="E99" s="2" t="s">
        <x:v>420</x:v>
      </x:c>
      <x:c r="F99" s="2" t="s">
        <x:v>421</x:v>
      </x:c>
      <x:c r="G99" s="3"/>
      <x:c r="H99" s="4" t="str">
        <x:f t="shared" si="2"/>
        <x:v>À conserver</x:v>
      </x:c>
      <x:c r="I99" s="5" t="s">
        <x:v>41</x:v>
      </x:c>
      <x:c r="J99" s="2"/>
    </x:row>
    <x:row r="100" ht="38.099998474121094" customHeight="1">
      <x:c r="A100" s="2" t="s">
        <x:v>422</x:v>
      </x:c>
      <x:c r="B100" s="2" t="s">
        <x:v>15</x:v>
      </x:c>
      <x:c r="C100" s="2" t="s">
        <x:v>386</x:v>
      </x:c>
      <x:c r="D100" s="2" t="s">
        <x:v>423</x:v>
      </x:c>
      <x:c r="E100" s="2" t="s">
        <x:v>424</x:v>
      </x:c>
      <x:c r="F100" s="2" t="s">
        <x:v>425</x:v>
      </x:c>
      <x:c r="G100" s="3"/>
      <x:c r="H100" s="4" t="str">
        <x:f t="shared" si="2"/>
        <x:v>À conserver</x:v>
      </x:c>
      <x:c r="I100" s="5" t="s">
        <x:v>41</x:v>
      </x:c>
      <x:c r="J100" s="2" t="s">
        <x:v>367</x:v>
      </x:c>
    </x:row>
    <x:row r="101" ht="38.099998474121094" customHeight="1">
      <x:c r="A101" s="2" t="s">
        <x:v>426</x:v>
      </x:c>
      <x:c r="B101" s="2" t="s">
        <x:v>15</x:v>
      </x:c>
      <x:c r="C101" s="2" t="s">
        <x:v>386</x:v>
      </x:c>
      <x:c r="D101" s="2" t="s">
        <x:v>427</x:v>
      </x:c>
      <x:c r="E101" s="2" t="s">
        <x:v>428</x:v>
      </x:c>
      <x:c r="F101" s="2" t="s">
        <x:v>371</x:v>
      </x:c>
      <x:c r="G101" s="3"/>
      <x:c r="H101" s="4" t="str">
        <x:f t="shared" si="2"/>
        <x:v>À conserver</x:v>
      </x:c>
      <x:c r="I101" s="5" t="s">
        <x:v>41</x:v>
      </x:c>
      <x:c r="J101" s="2"/>
    </x:row>
    <x:row r="102" ht="38.099998474121094" customHeight="1">
      <x:c r="A102" s="2" t="s">
        <x:v>429</x:v>
      </x:c>
      <x:c r="B102" s="2" t="s">
        <x:v>15</x:v>
      </x:c>
      <x:c r="C102" s="2" t="s">
        <x:v>386</x:v>
      </x:c>
      <x:c r="D102" s="2" t="s">
        <x:v>430</x:v>
      </x:c>
      <x:c r="E102" s="2" t="s">
        <x:v>431</x:v>
      </x:c>
      <x:c r="F102" s="2" t="s">
        <x:v>272</x:v>
      </x:c>
      <x:c r="G102" s="3"/>
      <x:c r="H102" s="4" t="str">
        <x:f t="shared" ref="H102:H133" si="3">IF(UPPER(G102)="X","À retirer","À conserver")</x:f>
        <x:v>À conserver</x:v>
      </x:c>
      <x:c r="I102" s="5" t="s">
        <x:v>41</x:v>
      </x:c>
      <x:c r="J102" s="2"/>
    </x:row>
    <x:row r="103" ht="38.099998474121094" customHeight="1">
      <x:c r="A103" s="2" t="s">
        <x:v>432</x:v>
      </x:c>
      <x:c r="B103" s="2" t="s">
        <x:v>15</x:v>
      </x:c>
      <x:c r="C103" s="2" t="s">
        <x:v>386</x:v>
      </x:c>
      <x:c r="D103" s="2" t="s">
        <x:v>433</x:v>
      </x:c>
      <x:c r="E103" s="2" t="s">
        <x:v>434</x:v>
      </x:c>
      <x:c r="F103" s="2" t="s">
        <x:v>435</x:v>
      </x:c>
      <x:c r="G103" s="3"/>
      <x:c r="H103" s="4" t="str">
        <x:f t="shared" si="3"/>
        <x:v>À conserver</x:v>
      </x:c>
      <x:c r="I103" s="5" t="s">
        <x:v>41</x:v>
      </x:c>
      <x:c r="J103" s="2"/>
    </x:row>
    <x:row r="104" ht="38.099998474121094" customHeight="1">
      <x:c r="A104" s="2" t="s">
        <x:v>436</x:v>
      </x:c>
      <x:c r="B104" s="2" t="s">
        <x:v>16</x:v>
      </x:c>
      <x:c r="C104" s="2" t="s">
        <x:v>437</x:v>
      </x:c>
      <x:c r="D104" s="2" t="s">
        <x:v>438</x:v>
      </x:c>
      <x:c r="E104" s="2" t="s">
        <x:v>439</x:v>
      </x:c>
      <x:c r="F104" s="2" t="s">
        <x:v>440</x:v>
      </x:c>
      <x:c r="G104" s="3"/>
      <x:c r="H104" s="4" t="str">
        <x:f t="shared" si="3"/>
        <x:v>À conserver</x:v>
      </x:c>
      <x:c r="I104" s="5" t="s">
        <x:v>41</x:v>
      </x:c>
      <x:c r="J104" s="2"/>
    </x:row>
    <x:row r="105" ht="38.099998474121094" customHeight="1">
      <x:c r="A105" s="2" t="s">
        <x:v>441</x:v>
      </x:c>
      <x:c r="B105" s="2" t="s">
        <x:v>16</x:v>
      </x:c>
      <x:c r="C105" s="2" t="s">
        <x:v>437</x:v>
      </x:c>
      <x:c r="D105" s="2" t="s">
        <x:v>442</x:v>
      </x:c>
      <x:c r="E105" s="2" t="s">
        <x:v>443</x:v>
      </x:c>
      <x:c r="F105" s="2" t="s">
        <x:v>444</x:v>
      </x:c>
      <x:c r="G105" s="3"/>
      <x:c r="H105" s="4" t="str">
        <x:f t="shared" si="3"/>
        <x:v>À conserver</x:v>
      </x:c>
      <x:c r="I105" s="5" t="s">
        <x:v>41</x:v>
      </x:c>
      <x:c r="J105" s="2"/>
    </x:row>
    <x:row r="106" ht="38.099998474121094" customHeight="1">
      <x:c r="A106" s="2" t="s">
        <x:v>445</x:v>
      </x:c>
      <x:c r="B106" s="2" t="s">
        <x:v>16</x:v>
      </x:c>
      <x:c r="C106" s="2" t="s">
        <x:v>437</x:v>
      </x:c>
      <x:c r="D106" s="2" t="s">
        <x:v>446</x:v>
      </x:c>
      <x:c r="E106" s="2" t="s">
        <x:v>447</x:v>
      </x:c>
      <x:c r="F106" s="2" t="s">
        <x:v>448</x:v>
      </x:c>
      <x:c r="G106" s="3"/>
      <x:c r="H106" s="4" t="str">
        <x:f t="shared" si="3"/>
        <x:v>À conserver</x:v>
      </x:c>
      <x:c r="I106" s="5" t="s">
        <x:v>41</x:v>
      </x:c>
      <x:c r="J106" s="2" t="s">
        <x:v>449</x:v>
      </x:c>
    </x:row>
    <x:row r="107" ht="38.099998474121094" customHeight="1">
      <x:c r="A107" s="2" t="s">
        <x:v>450</x:v>
      </x:c>
      <x:c r="B107" s="2" t="s">
        <x:v>16</x:v>
      </x:c>
      <x:c r="C107" s="2" t="s">
        <x:v>437</x:v>
      </x:c>
      <x:c r="D107" s="2" t="s">
        <x:v>451</x:v>
      </x:c>
      <x:c r="E107" s="2" t="s">
        <x:v>452</x:v>
      </x:c>
      <x:c r="F107" s="2" t="s">
        <x:v>453</x:v>
      </x:c>
      <x:c r="G107" s="3"/>
      <x:c r="H107" s="4" t="str">
        <x:f t="shared" si="3"/>
        <x:v>À conserver</x:v>
      </x:c>
      <x:c r="I107" s="5" t="s">
        <x:v>41</x:v>
      </x:c>
      <x:c r="J107" s="2"/>
    </x:row>
    <x:row r="108" ht="38.099998474121094" customHeight="1">
      <x:c r="A108" s="2" t="s">
        <x:v>454</x:v>
      </x:c>
      <x:c r="B108" s="2" t="s">
        <x:v>16</x:v>
      </x:c>
      <x:c r="C108" s="2" t="s">
        <x:v>437</x:v>
      </x:c>
      <x:c r="D108" s="2" t="s">
        <x:v>455</x:v>
      </x:c>
      <x:c r="E108" s="2" t="s">
        <x:v>456</x:v>
      </x:c>
      <x:c r="F108" s="2" t="s">
        <x:v>457</x:v>
      </x:c>
      <x:c r="G108" s="3"/>
      <x:c r="H108" s="4" t="str">
        <x:f t="shared" si="3"/>
        <x:v>À conserver</x:v>
      </x:c>
      <x:c r="I108" s="5" t="s">
        <x:v>41</x:v>
      </x:c>
      <x:c r="J108" s="2"/>
    </x:row>
    <x:row r="109" ht="38.099998474121094" customHeight="1">
      <x:c r="A109" s="2" t="s">
        <x:v>458</x:v>
      </x:c>
      <x:c r="B109" s="2" t="s">
        <x:v>16</x:v>
      </x:c>
      <x:c r="C109" s="2" t="s">
        <x:v>459</x:v>
      </x:c>
      <x:c r="D109" s="2" t="s">
        <x:v>460</x:v>
      </x:c>
      <x:c r="E109" s="2" t="s">
        <x:v>461</x:v>
      </x:c>
      <x:c r="F109" s="2" t="s">
        <x:v>462</x:v>
      </x:c>
      <x:c r="G109" s="3"/>
      <x:c r="H109" s="4" t="str">
        <x:f t="shared" si="3"/>
        <x:v>À conserver</x:v>
      </x:c>
      <x:c r="I109" s="5" t="s">
        <x:v>41</x:v>
      </x:c>
      <x:c r="J109" s="2"/>
    </x:row>
    <x:row r="110" ht="38.099998474121094" customHeight="1">
      <x:c r="A110" s="2" t="s">
        <x:v>463</x:v>
      </x:c>
      <x:c r="B110" s="2" t="s">
        <x:v>16</x:v>
      </x:c>
      <x:c r="C110" s="2" t="s">
        <x:v>459</x:v>
      </x:c>
      <x:c r="D110" s="2" t="s">
        <x:v>464</x:v>
      </x:c>
      <x:c r="E110" s="2" t="s">
        <x:v>465</x:v>
      </x:c>
      <x:c r="F110" s="2" t="s">
        <x:v>466</x:v>
      </x:c>
      <x:c r="G110" s="3"/>
      <x:c r="H110" s="4" t="str">
        <x:f t="shared" si="3"/>
        <x:v>À conserver</x:v>
      </x:c>
      <x:c r="I110" s="5" t="s">
        <x:v>41</x:v>
      </x:c>
      <x:c r="J110" s="2"/>
    </x:row>
    <x:row r="111" ht="38.099998474121094" customHeight="1">
      <x:c r="A111" s="2" t="s">
        <x:v>467</x:v>
      </x:c>
      <x:c r="B111" s="2" t="s">
        <x:v>16</x:v>
      </x:c>
      <x:c r="C111" s="2" t="s">
        <x:v>459</x:v>
      </x:c>
      <x:c r="D111" s="2" t="s">
        <x:v>468</x:v>
      </x:c>
      <x:c r="E111" s="2" t="s">
        <x:v>469</x:v>
      </x:c>
      <x:c r="F111" s="2" t="s">
        <x:v>470</x:v>
      </x:c>
      <x:c r="G111" s="3"/>
      <x:c r="H111" s="4" t="str">
        <x:f t="shared" si="3"/>
        <x:v>À conserver</x:v>
      </x:c>
      <x:c r="I111" s="5" t="s">
        <x:v>41</x:v>
      </x:c>
      <x:c r="J111" s="2"/>
    </x:row>
    <x:row r="112" ht="38.099998474121094" customHeight="1">
      <x:c r="A112" s="2" t="s">
        <x:v>471</x:v>
      </x:c>
      <x:c r="B112" s="2" t="s">
        <x:v>16</x:v>
      </x:c>
      <x:c r="C112" s="2" t="s">
        <x:v>459</x:v>
      </x:c>
      <x:c r="D112" s="2" t="s">
        <x:v>472</x:v>
      </x:c>
      <x:c r="E112" s="2" t="s">
        <x:v>473</x:v>
      </x:c>
      <x:c r="F112" s="2" t="s">
        <x:v>474</x:v>
      </x:c>
      <x:c r="G112" s="3"/>
      <x:c r="H112" s="4" t="str">
        <x:f t="shared" si="3"/>
        <x:v>À conserver</x:v>
      </x:c>
      <x:c r="I112" s="5" t="s">
        <x:v>41</x:v>
      </x:c>
      <x:c r="J112" s="2"/>
    </x:row>
    <x:row r="113" ht="38.099998474121094" customHeight="1">
      <x:c r="A113" s="2" t="s">
        <x:v>475</x:v>
      </x:c>
      <x:c r="B113" s="2" t="s">
        <x:v>16</x:v>
      </x:c>
      <x:c r="C113" s="2" t="s">
        <x:v>459</x:v>
      </x:c>
      <x:c r="D113" s="2" t="s">
        <x:v>476</x:v>
      </x:c>
      <x:c r="E113" s="2" t="s">
        <x:v>477</x:v>
      </x:c>
      <x:c r="F113" s="2" t="s">
        <x:v>478</x:v>
      </x:c>
      <x:c r="G113" s="3"/>
      <x:c r="H113" s="4" t="str">
        <x:f t="shared" si="3"/>
        <x:v>À conserver</x:v>
      </x:c>
      <x:c r="I113" s="5" t="s">
        <x:v>41</x:v>
      </x:c>
      <x:c r="J113" s="2"/>
    </x:row>
    <x:row r="114" ht="38.099998474121094" customHeight="1">
      <x:c r="A114" s="2" t="s">
        <x:v>479</x:v>
      </x:c>
      <x:c r="B114" s="2" t="s">
        <x:v>16</x:v>
      </x:c>
      <x:c r="C114" s="2" t="s">
        <x:v>459</x:v>
      </x:c>
      <x:c r="D114" s="2" t="s">
        <x:v>480</x:v>
      </x:c>
      <x:c r="E114" s="2" t="s">
        <x:v>481</x:v>
      </x:c>
      <x:c r="F114" s="2" t="s">
        <x:v>482</x:v>
      </x:c>
      <x:c r="G114" s="3"/>
      <x:c r="H114" s="4" t="str">
        <x:f t="shared" si="3"/>
        <x:v>À conserver</x:v>
      </x:c>
      <x:c r="I114" s="5" t="s">
        <x:v>41</x:v>
      </x:c>
      <x:c r="J114" s="2"/>
    </x:row>
    <x:row r="115" ht="38.099998474121094" customHeight="1">
      <x:c r="A115" s="2" t="s">
        <x:v>483</x:v>
      </x:c>
      <x:c r="B115" s="2" t="s">
        <x:v>16</x:v>
      </x:c>
      <x:c r="C115" s="2" t="s">
        <x:v>484</x:v>
      </x:c>
      <x:c r="D115" s="2" t="s">
        <x:v>485</x:v>
      </x:c>
      <x:c r="E115" s="2" t="s">
        <x:v>486</x:v>
      </x:c>
      <x:c r="F115" s="2" t="s">
        <x:v>487</x:v>
      </x:c>
      <x:c r="G115" s="3"/>
      <x:c r="H115" s="4" t="str">
        <x:f t="shared" si="3"/>
        <x:v>À conserver</x:v>
      </x:c>
      <x:c r="I115" s="5" t="s">
        <x:v>41</x:v>
      </x:c>
      <x:c r="J115" s="2"/>
    </x:row>
    <x:row r="116" ht="38.099998474121094" customHeight="1">
      <x:c r="A116" s="2" t="s">
        <x:v>488</x:v>
      </x:c>
      <x:c r="B116" s="2" t="s">
        <x:v>16</x:v>
      </x:c>
      <x:c r="C116" s="2" t="s">
        <x:v>484</x:v>
      </x:c>
      <x:c r="D116" s="2" t="s">
        <x:v>489</x:v>
      </x:c>
      <x:c r="E116" s="2" t="s">
        <x:v>490</x:v>
      </x:c>
      <x:c r="F116" s="2" t="s">
        <x:v>491</x:v>
      </x:c>
      <x:c r="G116" s="3"/>
      <x:c r="H116" s="4" t="str">
        <x:f t="shared" si="3"/>
        <x:v>À conserver</x:v>
      </x:c>
      <x:c r="I116" s="5" t="s">
        <x:v>41</x:v>
      </x:c>
      <x:c r="J116" s="2"/>
    </x:row>
    <x:row r="117" ht="38.099998474121094" customHeight="1">
      <x:c r="A117" s="2" t="s">
        <x:v>492</x:v>
      </x:c>
      <x:c r="B117" s="2" t="s">
        <x:v>16</x:v>
      </x:c>
      <x:c r="C117" s="2" t="s">
        <x:v>484</x:v>
      </x:c>
      <x:c r="D117" s="2" t="s">
        <x:v>493</x:v>
      </x:c>
      <x:c r="E117" s="2" t="s">
        <x:v>494</x:v>
      </x:c>
      <x:c r="F117" s="2" t="s">
        <x:v>495</x:v>
      </x:c>
      <x:c r="G117" s="3"/>
      <x:c r="H117" s="4" t="str">
        <x:f t="shared" si="3"/>
        <x:v>À conserver</x:v>
      </x:c>
      <x:c r="I117" s="5" t="s">
        <x:v>41</x:v>
      </x:c>
      <x:c r="J117" s="2"/>
    </x:row>
    <x:row r="118" ht="38.099998474121094" customHeight="1">
      <x:c r="A118" s="2" t="s">
        <x:v>496</x:v>
      </x:c>
      <x:c r="B118" s="2" t="s">
        <x:v>17</x:v>
      </x:c>
      <x:c r="C118" s="2" t="s">
        <x:v>497</x:v>
      </x:c>
      <x:c r="D118" s="2" t="s">
        <x:v>498</x:v>
      </x:c>
      <x:c r="E118" s="2" t="s">
        <x:v>499</x:v>
      </x:c>
      <x:c r="F118" s="2" t="s">
        <x:v>500</x:v>
      </x:c>
      <x:c r="G118" s="3"/>
      <x:c r="H118" s="4" t="str">
        <x:f t="shared" si="3"/>
        <x:v>À conserver</x:v>
      </x:c>
      <x:c r="I118" s="5" t="s">
        <x:v>41</x:v>
      </x:c>
      <x:c r="J118" s="2"/>
    </x:row>
    <x:row r="119" ht="38.099998474121094" customHeight="1">
      <x:c r="A119" s="2" t="s">
        <x:v>501</x:v>
      </x:c>
      <x:c r="B119" s="2" t="s">
        <x:v>17</x:v>
      </x:c>
      <x:c r="C119" s="2" t="s">
        <x:v>497</x:v>
      </x:c>
      <x:c r="D119" s="2" t="s">
        <x:v>502</x:v>
      </x:c>
      <x:c r="E119" s="2" t="s">
        <x:v>503</x:v>
      </x:c>
      <x:c r="F119" s="2" t="s">
        <x:v>504</x:v>
      </x:c>
      <x:c r="G119" s="3"/>
      <x:c r="H119" s="4" t="str">
        <x:f t="shared" si="3"/>
        <x:v>À conserver</x:v>
      </x:c>
      <x:c r="I119" s="5" t="s">
        <x:v>41</x:v>
      </x:c>
      <x:c r="J119" s="2"/>
    </x:row>
    <x:row r="120" ht="38.099998474121094" customHeight="1">
      <x:c r="A120" s="2" t="s">
        <x:v>505</x:v>
      </x:c>
      <x:c r="B120" s="2" t="s">
        <x:v>17</x:v>
      </x:c>
      <x:c r="C120" s="2" t="s">
        <x:v>497</x:v>
      </x:c>
      <x:c r="D120" s="2" t="s">
        <x:v>506</x:v>
      </x:c>
      <x:c r="E120" s="2" t="s">
        <x:v>507</x:v>
      </x:c>
      <x:c r="F120" s="2" t="s">
        <x:v>508</x:v>
      </x:c>
      <x:c r="G120" s="3"/>
      <x:c r="H120" s="4" t="str">
        <x:f t="shared" si="3"/>
        <x:v>À conserver</x:v>
      </x:c>
      <x:c r="I120" s="5" t="s">
        <x:v>41</x:v>
      </x:c>
      <x:c r="J120" s="2"/>
    </x:row>
    <x:row r="121" ht="38.099998474121094" customHeight="1">
      <x:c r="A121" s="2" t="s">
        <x:v>509</x:v>
      </x:c>
      <x:c r="B121" s="2" t="s">
        <x:v>17</x:v>
      </x:c>
      <x:c r="C121" s="2" t="s">
        <x:v>497</x:v>
      </x:c>
      <x:c r="D121" s="2" t="s">
        <x:v>510</x:v>
      </x:c>
      <x:c r="E121" s="2" t="s">
        <x:v>511</x:v>
      </x:c>
      <x:c r="F121" s="2" t="s">
        <x:v>512</x:v>
      </x:c>
      <x:c r="G121" s="3"/>
      <x:c r="H121" s="4" t="str">
        <x:f t="shared" si="3"/>
        <x:v>À conserver</x:v>
      </x:c>
      <x:c r="I121" s="5" t="s">
        <x:v>41</x:v>
      </x:c>
      <x:c r="J121" s="2"/>
    </x:row>
    <x:row r="122" ht="38.099998474121094" customHeight="1">
      <x:c r="A122" s="2" t="s">
        <x:v>513</x:v>
      </x:c>
      <x:c r="B122" s="2" t="s">
        <x:v>17</x:v>
      </x:c>
      <x:c r="C122" s="2" t="s">
        <x:v>497</x:v>
      </x:c>
      <x:c r="D122" s="2" t="s">
        <x:v>514</x:v>
      </x:c>
      <x:c r="E122" s="2" t="s">
        <x:v>515</x:v>
      </x:c>
      <x:c r="F122" s="2" t="s">
        <x:v>516</x:v>
      </x:c>
      <x:c r="G122" s="3"/>
      <x:c r="H122" s="4" t="str">
        <x:f t="shared" si="3"/>
        <x:v>À conserver</x:v>
      </x:c>
      <x:c r="I122" s="5" t="s">
        <x:v>74</x:v>
      </x:c>
      <x:c r="J122" s="2"/>
    </x:row>
    <x:row r="123" ht="38.099998474121094" customHeight="1">
      <x:c r="A123" s="2" t="s">
        <x:v>517</x:v>
      </x:c>
      <x:c r="B123" s="2" t="s">
        <x:v>17</x:v>
      </x:c>
      <x:c r="C123" s="2" t="s">
        <x:v>497</x:v>
      </x:c>
      <x:c r="D123" s="2" t="s">
        <x:v>518</x:v>
      </x:c>
      <x:c r="E123" s="2" t="s">
        <x:v>519</x:v>
      </x:c>
      <x:c r="F123" s="2" t="s">
        <x:v>520</x:v>
      </x:c>
      <x:c r="G123" s="3"/>
      <x:c r="H123" s="4" t="str">
        <x:f t="shared" si="3"/>
        <x:v>À conserver</x:v>
      </x:c>
      <x:c r="I123" s="5" t="s">
        <x:v>41</x:v>
      </x:c>
      <x:c r="J123" s="2"/>
    </x:row>
    <x:row r="124" ht="38.099998474121094" customHeight="1">
      <x:c r="A124" s="2" t="s">
        <x:v>521</x:v>
      </x:c>
      <x:c r="B124" s="2" t="s">
        <x:v>17</x:v>
      </x:c>
      <x:c r="C124" s="2" t="s">
        <x:v>497</x:v>
      </x:c>
      <x:c r="D124" s="2" t="s">
        <x:v>522</x:v>
      </x:c>
      <x:c r="E124" s="2" t="s">
        <x:v>523</x:v>
      </x:c>
      <x:c r="F124" s="2" t="s">
        <x:v>524</x:v>
      </x:c>
      <x:c r="G124" s="3"/>
      <x:c r="H124" s="4" t="str">
        <x:f t="shared" si="3"/>
        <x:v>À conserver</x:v>
      </x:c>
      <x:c r="I124" s="5" t="s">
        <x:v>41</x:v>
      </x:c>
      <x:c r="J124" s="2"/>
    </x:row>
    <x:row r="125" ht="38.099998474121094" customHeight="1">
      <x:c r="A125" s="2" t="s">
        <x:v>525</x:v>
      </x:c>
      <x:c r="B125" s="2" t="s">
        <x:v>17</x:v>
      </x:c>
      <x:c r="C125" s="2" t="s">
        <x:v>497</x:v>
      </x:c>
      <x:c r="D125" s="2" t="s">
        <x:v>526</x:v>
      </x:c>
      <x:c r="E125" s="2" t="s">
        <x:v>527</x:v>
      </x:c>
      <x:c r="F125" s="2" t="s">
        <x:v>528</x:v>
      </x:c>
      <x:c r="G125" s="3"/>
      <x:c r="H125" s="4" t="str">
        <x:f t="shared" si="3"/>
        <x:v>À conserver</x:v>
      </x:c>
      <x:c r="I125" s="5" t="s">
        <x:v>41</x:v>
      </x:c>
      <x:c r="J125" s="2"/>
    </x:row>
    <x:row r="126" ht="38.099998474121094" customHeight="1">
      <x:c r="A126" s="2" t="s">
        <x:v>529</x:v>
      </x:c>
      <x:c r="B126" s="2" t="s">
        <x:v>17</x:v>
      </x:c>
      <x:c r="C126" s="2" t="s">
        <x:v>497</x:v>
      </x:c>
      <x:c r="D126" s="2" t="s">
        <x:v>530</x:v>
      </x:c>
      <x:c r="E126" s="2" t="s">
        <x:v>531</x:v>
      </x:c>
      <x:c r="F126" s="2" t="s">
        <x:v>532</x:v>
      </x:c>
      <x:c r="G126" s="3"/>
      <x:c r="H126" s="4" t="str">
        <x:f t="shared" si="3"/>
        <x:v>À conserver</x:v>
      </x:c>
      <x:c r="I126" s="5" t="s">
        <x:v>41</x:v>
      </x:c>
      <x:c r="J126" s="2"/>
    </x:row>
    <x:row r="127" ht="38.099998474121094" customHeight="1">
      <x:c r="A127" s="2" t="s">
        <x:v>533</x:v>
      </x:c>
      <x:c r="B127" s="2" t="s">
        <x:v>17</x:v>
      </x:c>
      <x:c r="C127" s="2" t="s">
        <x:v>497</x:v>
      </x:c>
      <x:c r="D127" s="2" t="s">
        <x:v>534</x:v>
      </x:c>
      <x:c r="E127" s="2" t="s">
        <x:v>535</x:v>
      </x:c>
      <x:c r="F127" s="2" t="s">
        <x:v>536</x:v>
      </x:c>
      <x:c r="G127" s="3"/>
      <x:c r="H127" s="4" t="str">
        <x:f t="shared" si="3"/>
        <x:v>À conserver</x:v>
      </x:c>
      <x:c r="I127" s="5" t="s">
        <x:v>41</x:v>
      </x:c>
      <x:c r="J127" s="2"/>
    </x:row>
    <x:row r="128" ht="38.099998474121094" customHeight="1">
      <x:c r="A128" s="2" t="s">
        <x:v>537</x:v>
      </x:c>
      <x:c r="B128" s="2" t="s">
        <x:v>17</x:v>
      </x:c>
      <x:c r="C128" s="2" t="s">
        <x:v>497</x:v>
      </x:c>
      <x:c r="D128" s="2" t="s">
        <x:v>538</x:v>
      </x:c>
      <x:c r="E128" s="2" t="s">
        <x:v>539</x:v>
      </x:c>
      <x:c r="F128" s="2" t="s">
        <x:v>540</x:v>
      </x:c>
      <x:c r="G128" s="3"/>
      <x:c r="H128" s="4" t="str">
        <x:f t="shared" si="3"/>
        <x:v>À conserver</x:v>
      </x:c>
      <x:c r="I128" s="5" t="s">
        <x:v>41</x:v>
      </x:c>
      <x:c r="J128" s="2"/>
    </x:row>
    <x:row r="129" ht="38.099998474121094" customHeight="1">
      <x:c r="A129" s="2" t="s">
        <x:v>541</x:v>
      </x:c>
      <x:c r="B129" s="2" t="s">
        <x:v>17</x:v>
      </x:c>
      <x:c r="C129" s="2" t="s">
        <x:v>497</x:v>
      </x:c>
      <x:c r="D129" s="2" t="s">
        <x:v>542</x:v>
      </x:c>
      <x:c r="E129" s="2" t="s">
        <x:v>543</x:v>
      </x:c>
      <x:c r="F129" s="2" t="s">
        <x:v>544</x:v>
      </x:c>
      <x:c r="G129" s="3"/>
      <x:c r="H129" s="4" t="str">
        <x:f t="shared" si="3"/>
        <x:v>À conserver</x:v>
      </x:c>
      <x:c r="I129" s="5" t="s">
        <x:v>41</x:v>
      </x:c>
      <x:c r="J129" s="2"/>
    </x:row>
    <x:row r="130" ht="38.099998474121094" customHeight="1">
      <x:c r="A130" s="2" t="s">
        <x:v>545</x:v>
      </x:c>
      <x:c r="B130" s="2" t="s">
        <x:v>17</x:v>
      </x:c>
      <x:c r="C130" s="2" t="s">
        <x:v>497</x:v>
      </x:c>
      <x:c r="D130" s="2" t="s">
        <x:v>546</x:v>
      </x:c>
      <x:c r="E130" s="2" t="s">
        <x:v>547</x:v>
      </x:c>
      <x:c r="F130" s="2" t="s">
        <x:v>548</x:v>
      </x:c>
      <x:c r="G130" s="3"/>
      <x:c r="H130" s="4" t="str">
        <x:f t="shared" si="3"/>
        <x:v>À conserver</x:v>
      </x:c>
      <x:c r="I130" s="5" t="s">
        <x:v>41</x:v>
      </x:c>
      <x:c r="J130" s="2"/>
    </x:row>
    <x:row r="131" ht="38.099998474121094" customHeight="1">
      <x:c r="A131" s="2" t="s">
        <x:v>549</x:v>
      </x:c>
      <x:c r="B131" s="2" t="s">
        <x:v>17</x:v>
      </x:c>
      <x:c r="C131" s="2" t="s">
        <x:v>497</x:v>
      </x:c>
      <x:c r="D131" s="2" t="s">
        <x:v>550</x:v>
      </x:c>
      <x:c r="E131" s="2" t="s">
        <x:v>551</x:v>
      </x:c>
      <x:c r="F131" s="2" t="s">
        <x:v>552</x:v>
      </x:c>
      <x:c r="G131" s="3"/>
      <x:c r="H131" s="4" t="str">
        <x:f t="shared" si="3"/>
        <x:v>À conserver</x:v>
      </x:c>
      <x:c r="I131" s="5" t="s">
        <x:v>41</x:v>
      </x:c>
      <x:c r="J131" s="2"/>
    </x:row>
    <x:row r="132" ht="38.099998474121094" customHeight="1">
      <x:c r="A132" s="2" t="s">
        <x:v>553</x:v>
      </x:c>
      <x:c r="B132" s="2" t="s">
        <x:v>17</x:v>
      </x:c>
      <x:c r="C132" s="2" t="s">
        <x:v>497</x:v>
      </x:c>
      <x:c r="D132" s="2" t="s">
        <x:v>554</x:v>
      </x:c>
      <x:c r="E132" s="2" t="s">
        <x:v>555</x:v>
      </x:c>
      <x:c r="F132" s="2" t="s">
        <x:v>556</x:v>
      </x:c>
      <x:c r="G132" s="3"/>
      <x:c r="H132" s="4" t="str">
        <x:f t="shared" si="3"/>
        <x:v>À conserver</x:v>
      </x:c>
      <x:c r="I132" s="5" t="s">
        <x:v>41</x:v>
      </x:c>
      <x:c r="J132" s="2"/>
    </x:row>
    <x:row r="133" ht="38.099998474121094" customHeight="1">
      <x:c r="A133" s="2" t="s">
        <x:v>557</x:v>
      </x:c>
      <x:c r="B133" s="2" t="s">
        <x:v>17</x:v>
      </x:c>
      <x:c r="C133" s="2" t="s">
        <x:v>497</x:v>
      </x:c>
      <x:c r="D133" s="2" t="s">
        <x:v>558</x:v>
      </x:c>
      <x:c r="E133" s="2" t="s">
        <x:v>559</x:v>
      </x:c>
      <x:c r="F133" s="2" t="s">
        <x:v>560</x:v>
      </x:c>
      <x:c r="G133" s="3"/>
      <x:c r="H133" s="4" t="str">
        <x:f t="shared" si="3"/>
        <x:v>À conserver</x:v>
      </x:c>
      <x:c r="I133" s="5" t="s">
        <x:v>74</x:v>
      </x:c>
      <x:c r="J133" s="2"/>
    </x:row>
    <x:row r="134" ht="38.099998474121094" customHeight="1">
      <x:c r="A134" s="2" t="s">
        <x:v>561</x:v>
      </x:c>
      <x:c r="B134" s="2" t="s">
        <x:v>17</x:v>
      </x:c>
      <x:c r="C134" s="2" t="s">
        <x:v>562</x:v>
      </x:c>
      <x:c r="D134" s="2" t="s">
        <x:v>563</x:v>
      </x:c>
      <x:c r="E134" s="2" t="s">
        <x:v>564</x:v>
      </x:c>
      <x:c r="F134" s="2" t="s">
        <x:v>565</x:v>
      </x:c>
      <x:c r="G134" s="3"/>
      <x:c r="H134" s="4" t="str">
        <x:f t="shared" ref="H134:H165" si="4">IF(UPPER(G134)="X","À retirer","À conserver")</x:f>
        <x:v>À conserver</x:v>
      </x:c>
      <x:c r="I134" s="5" t="s">
        <x:v>41</x:v>
      </x:c>
      <x:c r="J134" s="2"/>
    </x:row>
    <x:row r="135" ht="38.099998474121094" customHeight="1">
      <x:c r="A135" s="2" t="s">
        <x:v>566</x:v>
      </x:c>
      <x:c r="B135" s="2" t="s">
        <x:v>17</x:v>
      </x:c>
      <x:c r="C135" s="2" t="s">
        <x:v>562</x:v>
      </x:c>
      <x:c r="D135" s="2" t="s">
        <x:v>567</x:v>
      </x:c>
      <x:c r="E135" s="2" t="s">
        <x:v>568</x:v>
      </x:c>
      <x:c r="F135" s="2" t="s">
        <x:v>569</x:v>
      </x:c>
      <x:c r="G135" s="3"/>
      <x:c r="H135" s="4" t="str">
        <x:f t="shared" si="4"/>
        <x:v>À conserver</x:v>
      </x:c>
      <x:c r="I135" s="5" t="s">
        <x:v>41</x:v>
      </x:c>
      <x:c r="J135" s="2"/>
    </x:row>
    <x:row r="136" ht="38.099998474121094" customHeight="1">
      <x:c r="A136" s="2" t="s">
        <x:v>570</x:v>
      </x:c>
      <x:c r="B136" s="2" t="s">
        <x:v>17</x:v>
      </x:c>
      <x:c r="C136" s="2" t="s">
        <x:v>562</x:v>
      </x:c>
      <x:c r="D136" s="2" t="s">
        <x:v>571</x:v>
      </x:c>
      <x:c r="E136" s="2" t="s">
        <x:v>572</x:v>
      </x:c>
      <x:c r="F136" s="2" t="s">
        <x:v>573</x:v>
      </x:c>
      <x:c r="G136" s="3"/>
      <x:c r="H136" s="4" t="str">
        <x:f t="shared" si="4"/>
        <x:v>À conserver</x:v>
      </x:c>
      <x:c r="I136" s="5" t="s">
        <x:v>41</x:v>
      </x:c>
      <x:c r="J136" s="2"/>
    </x:row>
    <x:row r="137" ht="38.099998474121094" customHeight="1">
      <x:c r="A137" s="2" t="s">
        <x:v>574</x:v>
      </x:c>
      <x:c r="B137" s="2" t="s">
        <x:v>17</x:v>
      </x:c>
      <x:c r="C137" s="2" t="s">
        <x:v>562</x:v>
      </x:c>
      <x:c r="D137" s="2" t="s">
        <x:v>575</x:v>
      </x:c>
      <x:c r="E137" s="2" t="s">
        <x:v>576</x:v>
      </x:c>
      <x:c r="F137" s="2" t="s">
        <x:v>577</x:v>
      </x:c>
      <x:c r="G137" s="3"/>
      <x:c r="H137" s="4" t="str">
        <x:f t="shared" si="4"/>
        <x:v>À conserver</x:v>
      </x:c>
      <x:c r="I137" s="5" t="s">
        <x:v>41</x:v>
      </x:c>
      <x:c r="J137" s="2"/>
    </x:row>
    <x:row r="138" ht="38.099998474121094" customHeight="1">
      <x:c r="A138" s="2" t="s">
        <x:v>578</x:v>
      </x:c>
      <x:c r="B138" s="2" t="s">
        <x:v>17</x:v>
      </x:c>
      <x:c r="C138" s="2" t="s">
        <x:v>562</x:v>
      </x:c>
      <x:c r="D138" s="2" t="s">
        <x:v>579</x:v>
      </x:c>
      <x:c r="E138" s="2" t="s">
        <x:v>580</x:v>
      </x:c>
      <x:c r="F138" s="2" t="s">
        <x:v>581</x:v>
      </x:c>
      <x:c r="G138" s="3"/>
      <x:c r="H138" s="4" t="str">
        <x:f t="shared" si="4"/>
        <x:v>À conserver</x:v>
      </x:c>
      <x:c r="I138" s="5" t="s">
        <x:v>41</x:v>
      </x:c>
      <x:c r="J138" s="2"/>
    </x:row>
    <x:row r="139" ht="38.099998474121094" customHeight="1">
      <x:c r="A139" s="2" t="s">
        <x:v>582</x:v>
      </x:c>
      <x:c r="B139" s="2" t="s">
        <x:v>17</x:v>
      </x:c>
      <x:c r="C139" s="2" t="s">
        <x:v>562</x:v>
      </x:c>
      <x:c r="D139" s="2" t="s">
        <x:v>583</x:v>
      </x:c>
      <x:c r="E139" s="2" t="s">
        <x:v>584</x:v>
      </x:c>
      <x:c r="F139" s="2" t="s">
        <x:v>585</x:v>
      </x:c>
      <x:c r="G139" s="3"/>
      <x:c r="H139" s="4" t="str">
        <x:f t="shared" si="4"/>
        <x:v>À conserver</x:v>
      </x:c>
      <x:c r="I139" s="5" t="s">
        <x:v>41</x:v>
      </x:c>
      <x:c r="J139" s="2"/>
    </x:row>
    <x:row r="140" ht="38.099998474121094" customHeight="1">
      <x:c r="A140" s="2" t="s">
        <x:v>586</x:v>
      </x:c>
      <x:c r="B140" s="2" t="s">
        <x:v>18</x:v>
      </x:c>
      <x:c r="C140" s="2" t="s">
        <x:v>587</x:v>
      </x:c>
      <x:c r="D140" s="2" t="s">
        <x:v>588</x:v>
      </x:c>
      <x:c r="E140" s="2" t="s">
        <x:v>589</x:v>
      </x:c>
      <x:c r="F140" s="2" t="s">
        <x:v>590</x:v>
      </x:c>
      <x:c r="G140" s="3"/>
      <x:c r="H140" s="4" t="str">
        <x:f t="shared" si="4"/>
        <x:v>À conserver</x:v>
      </x:c>
      <x:c r="I140" s="5" t="s">
        <x:v>41</x:v>
      </x:c>
      <x:c r="J140" s="2"/>
    </x:row>
    <x:row r="141" ht="38.099998474121094" customHeight="1">
      <x:c r="A141" s="2" t="s">
        <x:v>591</x:v>
      </x:c>
      <x:c r="B141" s="2" t="s">
        <x:v>18</x:v>
      </x:c>
      <x:c r="C141" s="2" t="s">
        <x:v>587</x:v>
      </x:c>
      <x:c r="D141" s="2" t="s">
        <x:v>592</x:v>
      </x:c>
      <x:c r="E141" s="2" t="s">
        <x:v>593</x:v>
      </x:c>
      <x:c r="F141" s="2" t="s">
        <x:v>594</x:v>
      </x:c>
      <x:c r="G141" s="3"/>
      <x:c r="H141" s="4" t="str">
        <x:f t="shared" si="4"/>
        <x:v>À conserver</x:v>
      </x:c>
      <x:c r="I141" s="5" t="s">
        <x:v>41</x:v>
      </x:c>
      <x:c r="J141" s="2"/>
    </x:row>
    <x:row r="142" ht="38.099998474121094" customHeight="1">
      <x:c r="A142" s="2" t="s">
        <x:v>595</x:v>
      </x:c>
      <x:c r="B142" s="2" t="s">
        <x:v>18</x:v>
      </x:c>
      <x:c r="C142" s="2" t="s">
        <x:v>596</x:v>
      </x:c>
      <x:c r="D142" s="2" t="s">
        <x:v>597</x:v>
      </x:c>
      <x:c r="E142" s="2" t="s">
        <x:v>598</x:v>
      </x:c>
      <x:c r="F142" s="2" t="s">
        <x:v>599</x:v>
      </x:c>
      <x:c r="G142" s="3"/>
      <x:c r="H142" s="4" t="str">
        <x:f t="shared" si="4"/>
        <x:v>À conserver</x:v>
      </x:c>
      <x:c r="I142" s="5" t="s">
        <x:v>41</x:v>
      </x:c>
      <x:c r="J142" s="2"/>
    </x:row>
    <x:row r="143" ht="38.099998474121094" customHeight="1">
      <x:c r="A143" s="2" t="s">
        <x:v>600</x:v>
      </x:c>
      <x:c r="B143" s="2" t="s">
        <x:v>18</x:v>
      </x:c>
      <x:c r="C143" s="2" t="s">
        <x:v>596</x:v>
      </x:c>
      <x:c r="D143" s="2" t="s">
        <x:v>601</x:v>
      </x:c>
      <x:c r="E143" s="2" t="s">
        <x:v>602</x:v>
      </x:c>
      <x:c r="F143" s="2" t="s">
        <x:v>603</x:v>
      </x:c>
      <x:c r="G143" s="3"/>
      <x:c r="H143" s="4" t="str">
        <x:f t="shared" si="4"/>
        <x:v>À conserver</x:v>
      </x:c>
      <x:c r="I143" s="5" t="s">
        <x:v>41</x:v>
      </x:c>
      <x:c r="J143" s="2"/>
    </x:row>
    <x:row r="144" ht="38.099998474121094" customHeight="1">
      <x:c r="A144" s="2" t="s">
        <x:v>604</x:v>
      </x:c>
      <x:c r="B144" s="2" t="s">
        <x:v>18</x:v>
      </x:c>
      <x:c r="C144" s="2" t="s">
        <x:v>596</x:v>
      </x:c>
      <x:c r="D144" s="2" t="s">
        <x:v>605</x:v>
      </x:c>
      <x:c r="E144" s="2" t="s">
        <x:v>606</x:v>
      </x:c>
      <x:c r="F144" s="2" t="s">
        <x:v>607</x:v>
      </x:c>
      <x:c r="G144" s="3"/>
      <x:c r="H144" s="4" t="str">
        <x:f t="shared" si="4"/>
        <x:v>À conserver</x:v>
      </x:c>
      <x:c r="I144" s="5" t="s">
        <x:v>41</x:v>
      </x:c>
      <x:c r="J144" s="2"/>
    </x:row>
    <x:row r="145" ht="38.099998474121094" customHeight="1">
      <x:c r="A145" s="2" t="s">
        <x:v>608</x:v>
      </x:c>
      <x:c r="B145" s="2" t="s">
        <x:v>18</x:v>
      </x:c>
      <x:c r="C145" s="2" t="s">
        <x:v>596</x:v>
      </x:c>
      <x:c r="D145" s="2" t="s">
        <x:v>609</x:v>
      </x:c>
      <x:c r="E145" s="2" t="s">
        <x:v>610</x:v>
      </x:c>
      <x:c r="F145" s="2" t="s">
        <x:v>611</x:v>
      </x:c>
      <x:c r="G145" s="3"/>
      <x:c r="H145" s="4" t="str">
        <x:f t="shared" si="4"/>
        <x:v>À conserver</x:v>
      </x:c>
      <x:c r="I145" s="5" t="s">
        <x:v>41</x:v>
      </x:c>
      <x:c r="J145" s="2"/>
    </x:row>
    <x:row r="146" ht="38.099998474121094" customHeight="1">
      <x:c r="A146" s="2" t="s">
        <x:v>612</x:v>
      </x:c>
      <x:c r="B146" s="2" t="s">
        <x:v>18</x:v>
      </x:c>
      <x:c r="C146" s="2" t="s">
        <x:v>596</x:v>
      </x:c>
      <x:c r="D146" s="2" t="s">
        <x:v>613</x:v>
      </x:c>
      <x:c r="E146" s="2" t="s">
        <x:v>614</x:v>
      </x:c>
      <x:c r="F146" s="2" t="s">
        <x:v>615</x:v>
      </x:c>
      <x:c r="G146" s="3"/>
      <x:c r="H146" s="4" t="str">
        <x:f t="shared" si="4"/>
        <x:v>À conserver</x:v>
      </x:c>
      <x:c r="I146" s="5" t="s">
        <x:v>41</x:v>
      </x:c>
      <x:c r="J146" s="2"/>
    </x:row>
    <x:row r="147" ht="38.099998474121094" customHeight="1">
      <x:c r="A147" s="2" t="s">
        <x:v>616</x:v>
      </x:c>
      <x:c r="B147" s="2" t="s">
        <x:v>18</x:v>
      </x:c>
      <x:c r="C147" s="2" t="s">
        <x:v>596</x:v>
      </x:c>
      <x:c r="D147" s="2" t="s">
        <x:v>617</x:v>
      </x:c>
      <x:c r="E147" s="2" t="s">
        <x:v>618</x:v>
      </x:c>
      <x:c r="F147" s="2" t="s">
        <x:v>619</x:v>
      </x:c>
      <x:c r="G147" s="3"/>
      <x:c r="H147" s="4" t="str">
        <x:f t="shared" si="4"/>
        <x:v>À conserver</x:v>
      </x:c>
      <x:c r="I147" s="5" t="s">
        <x:v>41</x:v>
      </x:c>
      <x:c r="J147" s="2"/>
    </x:row>
    <x:row r="148" ht="38.099998474121094" customHeight="1">
      <x:c r="A148" s="2" t="s">
        <x:v>620</x:v>
      </x:c>
      <x:c r="B148" s="2" t="s">
        <x:v>18</x:v>
      </x:c>
      <x:c r="C148" s="2" t="s">
        <x:v>596</x:v>
      </x:c>
      <x:c r="D148" s="2" t="s">
        <x:v>621</x:v>
      </x:c>
      <x:c r="E148" s="2" t="s">
        <x:v>622</x:v>
      </x:c>
      <x:c r="F148" s="2" t="s">
        <x:v>623</x:v>
      </x:c>
      <x:c r="G148" s="3" t="s">
        <x:v>99</x:v>
      </x:c>
      <x:c r="H148" s="4" t="str">
        <x:f t="shared" si="4"/>
        <x:v>À retirer</x:v>
      </x:c>
      <x:c r="I148" s="5" t="s">
        <x:v>74</x:v>
      </x:c>
      <x:c r="J148" s="2"/>
    </x:row>
    <x:row r="149" ht="38.099998474121094" customHeight="1">
      <x:c r="A149" s="2" t="s">
        <x:v>624</x:v>
      </x:c>
      <x:c r="B149" s="2" t="s">
        <x:v>18</x:v>
      </x:c>
      <x:c r="C149" s="2" t="s">
        <x:v>596</x:v>
      </x:c>
      <x:c r="D149" s="2" t="s">
        <x:v>625</x:v>
      </x:c>
      <x:c r="E149" s="2" t="s">
        <x:v>626</x:v>
      </x:c>
      <x:c r="F149" s="2" t="s">
        <x:v>627</x:v>
      </x:c>
      <x:c r="G149" s="3" t="s">
        <x:v>99</x:v>
      </x:c>
      <x:c r="H149" s="4" t="str">
        <x:f t="shared" si="4"/>
        <x:v>À retirer</x:v>
      </x:c>
      <x:c r="I149" s="5" t="s">
        <x:v>74</x:v>
      </x:c>
      <x:c r="J149" s="2" t="s">
        <x:v>628</x:v>
      </x:c>
    </x:row>
    <x:row r="150" ht="38.099998474121094" customHeight="1">
      <x:c r="A150" s="2" t="s">
        <x:v>629</x:v>
      </x:c>
      <x:c r="B150" s="2" t="s">
        <x:v>19</x:v>
      </x:c>
      <x:c r="C150" s="2" t="s">
        <x:v>630</x:v>
      </x:c>
      <x:c r="D150" s="2" t="s">
        <x:v>631</x:v>
      </x:c>
      <x:c r="E150" s="2" t="s">
        <x:v>632</x:v>
      </x:c>
      <x:c r="F150" s="2" t="s">
        <x:v>633</x:v>
      </x:c>
      <x:c r="G150" s="3"/>
      <x:c r="H150" s="4" t="str">
        <x:f t="shared" si="4"/>
        <x:v>À conserver</x:v>
      </x:c>
      <x:c r="I150" s="5" t="s">
        <x:v>41</x:v>
      </x:c>
      <x:c r="J150" s="2"/>
    </x:row>
    <x:row r="151" ht="38.099998474121094" customHeight="1">
      <x:c r="A151" s="2" t="s">
        <x:v>634</x:v>
      </x:c>
      <x:c r="B151" s="2" t="s">
        <x:v>19</x:v>
      </x:c>
      <x:c r="C151" s="2" t="s">
        <x:v>630</x:v>
      </x:c>
      <x:c r="D151" s="2" t="s">
        <x:v>635</x:v>
      </x:c>
      <x:c r="E151" s="2" t="s">
        <x:v>636</x:v>
      </x:c>
      <x:c r="F151" s="2" t="s">
        <x:v>637</x:v>
      </x:c>
      <x:c r="G151" s="3"/>
      <x:c r="H151" s="4" t="str">
        <x:f t="shared" si="4"/>
        <x:v>À conserver</x:v>
      </x:c>
      <x:c r="I151" s="5" t="s">
        <x:v>41</x:v>
      </x:c>
      <x:c r="J151" s="2"/>
    </x:row>
    <x:row r="152" ht="38.099998474121094" customHeight="1">
      <x:c r="A152" s="2" t="s">
        <x:v>638</x:v>
      </x:c>
      <x:c r="B152" s="2" t="s">
        <x:v>19</x:v>
      </x:c>
      <x:c r="C152" s="2" t="s">
        <x:v>630</x:v>
      </x:c>
      <x:c r="D152" s="2" t="s">
        <x:v>639</x:v>
      </x:c>
      <x:c r="E152" s="2" t="s">
        <x:v>640</x:v>
      </x:c>
      <x:c r="F152" s="2" t="s">
        <x:v>641</x:v>
      </x:c>
      <x:c r="G152" s="3"/>
      <x:c r="H152" s="4" t="str">
        <x:f t="shared" si="4"/>
        <x:v>À conserver</x:v>
      </x:c>
      <x:c r="I152" s="5" t="s">
        <x:v>41</x:v>
      </x:c>
      <x:c r="J152" s="2"/>
    </x:row>
    <x:row r="153" ht="38.099998474121094" customHeight="1">
      <x:c r="A153" s="2" t="s">
        <x:v>642</x:v>
      </x:c>
      <x:c r="B153" s="2" t="s">
        <x:v>19</x:v>
      </x:c>
      <x:c r="C153" s="2" t="s">
        <x:v>630</x:v>
      </x:c>
      <x:c r="D153" s="2" t="s">
        <x:v>643</x:v>
      </x:c>
      <x:c r="E153" s="2" t="s">
        <x:v>644</x:v>
      </x:c>
      <x:c r="F153" s="2" t="s">
        <x:v>641</x:v>
      </x:c>
      <x:c r="G153" s="3"/>
      <x:c r="H153" s="4" t="str">
        <x:f t="shared" si="4"/>
        <x:v>À conserver</x:v>
      </x:c>
      <x:c r="I153" s="5" t="s">
        <x:v>41</x:v>
      </x:c>
      <x:c r="J153" s="2"/>
    </x:row>
    <x:row r="154" ht="38.099998474121094" customHeight="1">
      <x:c r="A154" s="2" t="s">
        <x:v>645</x:v>
      </x:c>
      <x:c r="B154" s="2" t="s">
        <x:v>19</x:v>
      </x:c>
      <x:c r="C154" s="2" t="s">
        <x:v>630</x:v>
      </x:c>
      <x:c r="D154" s="2" t="s">
        <x:v>646</x:v>
      </x:c>
      <x:c r="E154" s="2" t="s">
        <x:v>647</x:v>
      </x:c>
      <x:c r="F154" s="2" t="s">
        <x:v>648</x:v>
      </x:c>
      <x:c r="G154" s="3"/>
      <x:c r="H154" s="4" t="str">
        <x:f t="shared" si="4"/>
        <x:v>À conserver</x:v>
      </x:c>
      <x:c r="I154" s="5" t="s">
        <x:v>41</x:v>
      </x:c>
      <x:c r="J154" s="2"/>
    </x:row>
    <x:row r="155" ht="38.099998474121094" customHeight="1">
      <x:c r="A155" s="2" t="s">
        <x:v>649</x:v>
      </x:c>
      <x:c r="B155" s="2" t="s">
        <x:v>19</x:v>
      </x:c>
      <x:c r="C155" s="2" t="s">
        <x:v>630</x:v>
      </x:c>
      <x:c r="D155" s="2" t="s">
        <x:v>650</x:v>
      </x:c>
      <x:c r="E155" s="2" t="s">
        <x:v>651</x:v>
      </x:c>
      <x:c r="F155" s="2" t="s">
        <x:v>652</x:v>
      </x:c>
      <x:c r="G155" s="3"/>
      <x:c r="H155" s="4" t="str">
        <x:f t="shared" si="4"/>
        <x:v>À conserver</x:v>
      </x:c>
      <x:c r="I155" s="5" t="s">
        <x:v>41</x:v>
      </x:c>
      <x:c r="J155" s="2"/>
    </x:row>
    <x:row r="156" ht="38.099998474121094" customHeight="1">
      <x:c r="A156" s="2" t="s">
        <x:v>653</x:v>
      </x:c>
      <x:c r="B156" s="2" t="s">
        <x:v>19</x:v>
      </x:c>
      <x:c r="C156" s="2" t="s">
        <x:v>630</x:v>
      </x:c>
      <x:c r="D156" s="2" t="s">
        <x:v>654</x:v>
      </x:c>
      <x:c r="E156" s="2" t="s">
        <x:v>655</x:v>
      </x:c>
      <x:c r="F156" s="2" t="s">
        <x:v>656</x:v>
      </x:c>
      <x:c r="G156" s="3"/>
      <x:c r="H156" s="4" t="str">
        <x:f t="shared" si="4"/>
        <x:v>À conserver</x:v>
      </x:c>
      <x:c r="I156" s="5" t="s">
        <x:v>74</x:v>
      </x:c>
      <x:c r="J156" s="2"/>
    </x:row>
    <x:row r="157" ht="38.099998474121094" customHeight="1">
      <x:c r="A157" s="2" t="s">
        <x:v>657</x:v>
      </x:c>
      <x:c r="B157" s="2" t="s">
        <x:v>20</x:v>
      </x:c>
      <x:c r="C157" s="2" t="s">
        <x:v>658</x:v>
      </x:c>
      <x:c r="D157" s="2" t="s">
        <x:v>659</x:v>
      </x:c>
      <x:c r="E157" s="2" t="s">
        <x:v>660</x:v>
      </x:c>
      <x:c r="F157" s="2" t="s">
        <x:v>661</x:v>
      </x:c>
      <x:c r="G157" s="3"/>
      <x:c r="H157" s="4" t="str">
        <x:f t="shared" si="4"/>
        <x:v>À conserver</x:v>
      </x:c>
      <x:c r="I157" s="5" t="s">
        <x:v>41</x:v>
      </x:c>
      <x:c r="J157" s="2"/>
    </x:row>
    <x:row r="158" ht="38.099998474121094" customHeight="1">
      <x:c r="A158" s="2" t="s">
        <x:v>662</x:v>
      </x:c>
      <x:c r="B158" s="2" t="s">
        <x:v>20</x:v>
      </x:c>
      <x:c r="C158" s="2" t="s">
        <x:v>658</x:v>
      </x:c>
      <x:c r="D158" s="2" t="s">
        <x:v>663</x:v>
      </x:c>
      <x:c r="E158" s="2" t="s">
        <x:v>664</x:v>
      </x:c>
      <x:c r="F158" s="2" t="s">
        <x:v>665</x:v>
      </x:c>
      <x:c r="G158" s="3"/>
      <x:c r="H158" s="4" t="str">
        <x:f t="shared" si="4"/>
        <x:v>À conserver</x:v>
      </x:c>
      <x:c r="I158" s="5" t="s">
        <x:v>41</x:v>
      </x:c>
      <x:c r="J158" s="2"/>
    </x:row>
    <x:row r="159" ht="38.099998474121094" customHeight="1">
      <x:c r="A159" s="2" t="s">
        <x:v>666</x:v>
      </x:c>
      <x:c r="B159" s="2" t="s">
        <x:v>20</x:v>
      </x:c>
      <x:c r="C159" s="2" t="s">
        <x:v>658</x:v>
      </x:c>
      <x:c r="D159" s="2" t="s">
        <x:v>667</x:v>
      </x:c>
      <x:c r="E159" s="2" t="s">
        <x:v>668</x:v>
      </x:c>
      <x:c r="F159" s="2" t="s">
        <x:v>669</x:v>
      </x:c>
      <x:c r="G159" s="3"/>
      <x:c r="H159" s="4" t="str">
        <x:f t="shared" si="4"/>
        <x:v>À conserver</x:v>
      </x:c>
      <x:c r="I159" s="5" t="s">
        <x:v>41</x:v>
      </x:c>
      <x:c r="J159" s="2"/>
    </x:row>
    <x:row r="160" ht="38.099998474121094" customHeight="1">
      <x:c r="A160" s="2" t="s">
        <x:v>670</x:v>
      </x:c>
      <x:c r="B160" s="2" t="s">
        <x:v>20</x:v>
      </x:c>
      <x:c r="C160" s="2" t="s">
        <x:v>658</x:v>
      </x:c>
      <x:c r="D160" s="2" t="s">
        <x:v>671</x:v>
      </x:c>
      <x:c r="E160" s="2" t="s">
        <x:v>672</x:v>
      </x:c>
      <x:c r="F160" s="2" t="s">
        <x:v>673</x:v>
      </x:c>
      <x:c r="G160" s="3"/>
      <x:c r="H160" s="4" t="str">
        <x:f t="shared" si="4"/>
        <x:v>À conserver</x:v>
      </x:c>
      <x:c r="I160" s="5" t="s">
        <x:v>41</x:v>
      </x:c>
      <x:c r="J160" s="2"/>
    </x:row>
    <x:row r="161" ht="38.099998474121094" customHeight="1">
      <x:c r="A161" s="2" t="s">
        <x:v>674</x:v>
      </x:c>
      <x:c r="B161" s="2" t="s">
        <x:v>20</x:v>
      </x:c>
      <x:c r="C161" s="2" t="s">
        <x:v>658</x:v>
      </x:c>
      <x:c r="D161" s="2" t="s">
        <x:v>675</x:v>
      </x:c>
      <x:c r="E161" s="2" t="s">
        <x:v>676</x:v>
      </x:c>
      <x:c r="F161" s="2" t="s">
        <x:v>677</x:v>
      </x:c>
      <x:c r="G161" s="3"/>
      <x:c r="H161" s="4" t="str">
        <x:f t="shared" si="4"/>
        <x:v>À conserver</x:v>
      </x:c>
      <x:c r="I161" s="5" t="s">
        <x:v>41</x:v>
      </x:c>
      <x:c r="J161" s="2"/>
    </x:row>
    <x:row r="162" ht="38.099998474121094" customHeight="1">
      <x:c r="A162" s="2" t="s">
        <x:v>678</x:v>
      </x:c>
      <x:c r="B162" s="2" t="s">
        <x:v>20</x:v>
      </x:c>
      <x:c r="C162" s="2" t="s">
        <x:v>658</x:v>
      </x:c>
      <x:c r="D162" s="2" t="s">
        <x:v>679</x:v>
      </x:c>
      <x:c r="E162" s="2" t="s">
        <x:v>680</x:v>
      </x:c>
      <x:c r="F162" s="2" t="s">
        <x:v>681</x:v>
      </x:c>
      <x:c r="G162" s="3"/>
      <x:c r="H162" s="4" t="str">
        <x:f t="shared" si="4"/>
        <x:v>À conserver</x:v>
      </x:c>
      <x:c r="I162" s="5" t="s">
        <x:v>41</x:v>
      </x:c>
      <x:c r="J162" s="2"/>
    </x:row>
    <x:row r="163" ht="38.099998474121094" customHeight="1">
      <x:c r="A163" s="2" t="s">
        <x:v>682</x:v>
      </x:c>
      <x:c r="B163" s="2" t="s">
        <x:v>20</x:v>
      </x:c>
      <x:c r="C163" s="2" t="s">
        <x:v>658</x:v>
      </x:c>
      <x:c r="D163" s="2" t="s">
        <x:v>683</x:v>
      </x:c>
      <x:c r="E163" s="2" t="s">
        <x:v>684</x:v>
      </x:c>
      <x:c r="F163" s="2" t="s">
        <x:v>685</x:v>
      </x:c>
      <x:c r="G163" s="3"/>
      <x:c r="H163" s="4" t="str">
        <x:f t="shared" si="4"/>
        <x:v>À conserver</x:v>
      </x:c>
      <x:c r="I163" s="5" t="s">
        <x:v>74</x:v>
      </x:c>
      <x:c r="J163" s="2"/>
    </x:row>
    <x:row r="164" ht="38.099998474121094" customHeight="1">
      <x:c r="A164" s="2" t="s">
        <x:v>686</x:v>
      </x:c>
      <x:c r="B164" s="2" t="s">
        <x:v>20</x:v>
      </x:c>
      <x:c r="C164" s="2" t="s">
        <x:v>658</x:v>
      </x:c>
      <x:c r="D164" s="2" t="s">
        <x:v>687</x:v>
      </x:c>
      <x:c r="E164" s="2" t="s">
        <x:v>688</x:v>
      </x:c>
      <x:c r="F164" s="2" t="s">
        <x:v>495</x:v>
      </x:c>
      <x:c r="G164" s="3"/>
      <x:c r="H164" s="4" t="str">
        <x:f t="shared" si="4"/>
        <x:v>À conserver</x:v>
      </x:c>
      <x:c r="I164" s="5" t="s">
        <x:v>41</x:v>
      </x:c>
      <x:c r="J164" s="2"/>
    </x:row>
    <x:row r="165" ht="38.099998474121094" customHeight="1">
      <x:c r="A165" s="2" t="s">
        <x:v>689</x:v>
      </x:c>
      <x:c r="B165" s="2" t="s">
        <x:v>21</x:v>
      </x:c>
      <x:c r="C165" s="2" t="s">
        <x:v>690</x:v>
      </x:c>
      <x:c r="D165" s="2" t="s">
        <x:v>691</x:v>
      </x:c>
      <x:c r="E165" s="2" t="s">
        <x:v>692</x:v>
      </x:c>
      <x:c r="F165" s="2" t="s">
        <x:v>693</x:v>
      </x:c>
      <x:c r="G165" s="3"/>
      <x:c r="H165" s="4" t="str">
        <x:f t="shared" si="4"/>
        <x:v>À conserver</x:v>
      </x:c>
      <x:c r="I165" s="5" t="s">
        <x:v>41</x:v>
      </x:c>
      <x:c r="J165" s="2"/>
    </x:row>
    <x:row r="166" ht="38.099998474121094" customHeight="1">
      <x:c r="A166" s="2" t="s">
        <x:v>694</x:v>
      </x:c>
      <x:c r="B166" s="2" t="s">
        <x:v>21</x:v>
      </x:c>
      <x:c r="C166" s="2" t="s">
        <x:v>690</x:v>
      </x:c>
      <x:c r="D166" s="2" t="s">
        <x:v>695</x:v>
      </x:c>
      <x:c r="E166" s="2" t="s">
        <x:v>696</x:v>
      </x:c>
      <x:c r="F166" s="2" t="s">
        <x:v>697</x:v>
      </x:c>
      <x:c r="G166" s="3"/>
      <x:c r="H166" s="4" t="str">
        <x:f t="shared" ref="H166:H189" si="5">IF(UPPER(G166)="X","À retirer","À conserver")</x:f>
        <x:v>À conserver</x:v>
      </x:c>
      <x:c r="I166" s="5" t="s">
        <x:v>41</x:v>
      </x:c>
      <x:c r="J166" s="2"/>
    </x:row>
    <x:row r="167" ht="38.099998474121094" customHeight="1">
      <x:c r="A167" s="2" t="s">
        <x:v>698</x:v>
      </x:c>
      <x:c r="B167" s="2" t="s">
        <x:v>21</x:v>
      </x:c>
      <x:c r="C167" s="2" t="s">
        <x:v>690</x:v>
      </x:c>
      <x:c r="D167" s="2" t="s">
        <x:v>699</x:v>
      </x:c>
      <x:c r="E167" s="2" t="s">
        <x:v>700</x:v>
      </x:c>
      <x:c r="F167" s="2" t="s">
        <x:v>701</x:v>
      </x:c>
      <x:c r="G167" s="3"/>
      <x:c r="H167" s="4" t="str">
        <x:f t="shared" si="5"/>
        <x:v>À conserver</x:v>
      </x:c>
      <x:c r="I167" s="5" t="s">
        <x:v>41</x:v>
      </x:c>
      <x:c r="J167" s="2"/>
    </x:row>
    <x:row r="168" ht="38.099998474121094" customHeight="1">
      <x:c r="A168" s="2" t="s">
        <x:v>702</x:v>
      </x:c>
      <x:c r="B168" s="2" t="s">
        <x:v>21</x:v>
      </x:c>
      <x:c r="C168" s="2" t="s">
        <x:v>690</x:v>
      </x:c>
      <x:c r="D168" s="2" t="s">
        <x:v>703</x:v>
      </x:c>
      <x:c r="E168" s="2" t="s">
        <x:v>704</x:v>
      </x:c>
      <x:c r="F168" s="2" t="s">
        <x:v>705</x:v>
      </x:c>
      <x:c r="G168" s="3"/>
      <x:c r="H168" s="4" t="str">
        <x:f t="shared" si="5"/>
        <x:v>À conserver</x:v>
      </x:c>
      <x:c r="I168" s="5" t="s">
        <x:v>41</x:v>
      </x:c>
      <x:c r="J168" s="2"/>
    </x:row>
    <x:row r="169" ht="38.099998474121094" customHeight="1">
      <x:c r="A169" s="2" t="s">
        <x:v>706</x:v>
      </x:c>
      <x:c r="B169" s="2" t="s">
        <x:v>21</x:v>
      </x:c>
      <x:c r="C169" s="2" t="s">
        <x:v>690</x:v>
      </x:c>
      <x:c r="D169" s="2" t="s">
        <x:v>707</x:v>
      </x:c>
      <x:c r="E169" s="2" t="s">
        <x:v>708</x:v>
      </x:c>
      <x:c r="F169" s="2" t="s">
        <x:v>709</x:v>
      </x:c>
      <x:c r="G169" s="3"/>
      <x:c r="H169" s="4" t="str">
        <x:f t="shared" si="5"/>
        <x:v>À conserver</x:v>
      </x:c>
      <x:c r="I169" s="5" t="s">
        <x:v>41</x:v>
      </x:c>
      <x:c r="J169" s="2"/>
    </x:row>
    <x:row r="170" ht="38.099998474121094" customHeight="1">
      <x:c r="A170" s="2" t="s">
        <x:v>710</x:v>
      </x:c>
      <x:c r="B170" s="2" t="s">
        <x:v>21</x:v>
      </x:c>
      <x:c r="C170" s="2" t="s">
        <x:v>690</x:v>
      </x:c>
      <x:c r="D170" s="2" t="s">
        <x:v>711</x:v>
      </x:c>
      <x:c r="E170" s="2" t="s">
        <x:v>712</x:v>
      </x:c>
      <x:c r="F170" s="2" t="s">
        <x:v>713</x:v>
      </x:c>
      <x:c r="G170" s="3"/>
      <x:c r="H170" s="4" t="str">
        <x:f t="shared" si="5"/>
        <x:v>À conserver</x:v>
      </x:c>
      <x:c r="I170" s="5" t="s">
        <x:v>41</x:v>
      </x:c>
      <x:c r="J170" s="2"/>
    </x:row>
    <x:row r="171" ht="38.099998474121094" customHeight="1">
      <x:c r="A171" s="2" t="s">
        <x:v>714</x:v>
      </x:c>
      <x:c r="B171" s="2" t="s">
        <x:v>21</x:v>
      </x:c>
      <x:c r="C171" s="2" t="s">
        <x:v>690</x:v>
      </x:c>
      <x:c r="D171" s="2" t="s">
        <x:v>715</x:v>
      </x:c>
      <x:c r="E171" s="2" t="s">
        <x:v>716</x:v>
      </x:c>
      <x:c r="F171" s="2" t="s">
        <x:v>717</x:v>
      </x:c>
      <x:c r="G171" s="3"/>
      <x:c r="H171" s="4" t="str">
        <x:f t="shared" si="5"/>
        <x:v>À conserver</x:v>
      </x:c>
      <x:c r="I171" s="5" t="s">
        <x:v>41</x:v>
      </x:c>
      <x:c r="J171" s="2"/>
    </x:row>
    <x:row r="172" ht="38.099998474121094" customHeight="1">
      <x:c r="A172" s="2" t="s">
        <x:v>718</x:v>
      </x:c>
      <x:c r="B172" s="2" t="s">
        <x:v>21</x:v>
      </x:c>
      <x:c r="C172" s="2" t="s">
        <x:v>690</x:v>
      </x:c>
      <x:c r="D172" s="2" t="s">
        <x:v>719</x:v>
      </x:c>
      <x:c r="E172" s="2" t="s">
        <x:v>720</x:v>
      </x:c>
      <x:c r="F172" s="2" t="s">
        <x:v>721</x:v>
      </x:c>
      <x:c r="G172" s="3"/>
      <x:c r="H172" s="4" t="str">
        <x:f t="shared" si="5"/>
        <x:v>À conserver</x:v>
      </x:c>
      <x:c r="I172" s="5" t="s">
        <x:v>41</x:v>
      </x:c>
      <x:c r="J172" s="2"/>
    </x:row>
    <x:row r="173" ht="38.099998474121094" customHeight="1">
      <x:c r="A173" s="2" t="s">
        <x:v>722</x:v>
      </x:c>
      <x:c r="B173" s="2" t="s">
        <x:v>21</x:v>
      </x:c>
      <x:c r="C173" s="2" t="s">
        <x:v>690</x:v>
      </x:c>
      <x:c r="D173" s="2" t="s">
        <x:v>723</x:v>
      </x:c>
      <x:c r="E173" s="2" t="s">
        <x:v>724</x:v>
      </x:c>
      <x:c r="F173" s="2" t="s">
        <x:v>725</x:v>
      </x:c>
      <x:c r="G173" s="3"/>
      <x:c r="H173" s="4" t="str">
        <x:f t="shared" si="5"/>
        <x:v>À conserver</x:v>
      </x:c>
      <x:c r="I173" s="5" t="s">
        <x:v>41</x:v>
      </x:c>
      <x:c r="J173" s="2"/>
    </x:row>
    <x:row r="174" ht="38.099998474121094" customHeight="1">
      <x:c r="A174" s="2" t="s">
        <x:v>726</x:v>
      </x:c>
      <x:c r="B174" s="2" t="s">
        <x:v>21</x:v>
      </x:c>
      <x:c r="C174" s="2" t="s">
        <x:v>690</x:v>
      </x:c>
      <x:c r="D174" s="2" t="s">
        <x:v>727</x:v>
      </x:c>
      <x:c r="E174" s="2" t="s">
        <x:v>728</x:v>
      </x:c>
      <x:c r="F174" s="2" t="s">
        <x:v>729</x:v>
      </x:c>
      <x:c r="G174" s="3"/>
      <x:c r="H174" s="4" t="str">
        <x:f t="shared" si="5"/>
        <x:v>À conserver</x:v>
      </x:c>
      <x:c r="I174" s="5" t="s">
        <x:v>41</x:v>
      </x:c>
      <x:c r="J174" s="2"/>
    </x:row>
    <x:row r="175" ht="38.099998474121094" customHeight="1">
      <x:c r="A175" s="2" t="s">
        <x:v>730</x:v>
      </x:c>
      <x:c r="B175" s="2" t="s">
        <x:v>21</x:v>
      </x:c>
      <x:c r="C175" s="2" t="s">
        <x:v>690</x:v>
      </x:c>
      <x:c r="D175" s="2" t="s">
        <x:v>731</x:v>
      </x:c>
      <x:c r="E175" s="2" t="s">
        <x:v>732</x:v>
      </x:c>
      <x:c r="F175" s="2" t="s">
        <x:v>733</x:v>
      </x:c>
      <x:c r="G175" s="3"/>
      <x:c r="H175" s="4" t="str">
        <x:f t="shared" si="5"/>
        <x:v>À conserver</x:v>
      </x:c>
      <x:c r="I175" s="5" t="s">
        <x:v>74</x:v>
      </x:c>
      <x:c r="J175" s="2"/>
    </x:row>
    <x:row r="176" ht="38.099998474121094" customHeight="1">
      <x:c r="A176" s="2" t="s">
        <x:v>734</x:v>
      </x:c>
      <x:c r="B176" s="2" t="s">
        <x:v>22</x:v>
      </x:c>
      <x:c r="C176" s="2" t="s">
        <x:v>735</x:v>
      </x:c>
      <x:c r="D176" s="2" t="s">
        <x:v>736</x:v>
      </x:c>
      <x:c r="E176" s="2" t="s">
        <x:v>737</x:v>
      </x:c>
      <x:c r="F176" s="2" t="s">
        <x:v>738</x:v>
      </x:c>
      <x:c r="G176" s="3"/>
      <x:c r="H176" s="4" t="str">
        <x:f t="shared" si="5"/>
        <x:v>À conserver</x:v>
      </x:c>
      <x:c r="I176" s="5" t="s">
        <x:v>41</x:v>
      </x:c>
      <x:c r="J176" s="2"/>
    </x:row>
    <x:row r="177" ht="38.099998474121094" customHeight="1">
      <x:c r="A177" s="2" t="s">
        <x:v>739</x:v>
      </x:c>
      <x:c r="B177" s="2" t="s">
        <x:v>22</x:v>
      </x:c>
      <x:c r="C177" s="2" t="s">
        <x:v>735</x:v>
      </x:c>
      <x:c r="D177" s="2" t="s">
        <x:v>740</x:v>
      </x:c>
      <x:c r="E177" s="2" t="s">
        <x:v>741</x:v>
      </x:c>
      <x:c r="F177" s="2" t="s">
        <x:v>742</x:v>
      </x:c>
      <x:c r="G177" s="3"/>
      <x:c r="H177" s="4" t="str">
        <x:f t="shared" si="5"/>
        <x:v>À conserver</x:v>
      </x:c>
      <x:c r="I177" s="5" t="s">
        <x:v>41</x:v>
      </x:c>
      <x:c r="J177" s="2"/>
    </x:row>
    <x:row r="178" ht="38.099998474121094" customHeight="1">
      <x:c r="A178" s="2" t="s">
        <x:v>743</x:v>
      </x:c>
      <x:c r="B178" s="2" t="s">
        <x:v>22</x:v>
      </x:c>
      <x:c r="C178" s="2" t="s">
        <x:v>735</x:v>
      </x:c>
      <x:c r="D178" s="2" t="s">
        <x:v>744</x:v>
      </x:c>
      <x:c r="E178" s="2" t="s">
        <x:v>745</x:v>
      </x:c>
      <x:c r="F178" s="2" t="s">
        <x:v>746</x:v>
      </x:c>
      <x:c r="G178" s="3"/>
      <x:c r="H178" s="4" t="str">
        <x:f t="shared" si="5"/>
        <x:v>À conserver</x:v>
      </x:c>
      <x:c r="I178" s="5" t="s">
        <x:v>41</x:v>
      </x:c>
      <x:c r="J178" s="2"/>
    </x:row>
    <x:row r="179" ht="38.099998474121094" customHeight="1">
      <x:c r="A179" s="2" t="s">
        <x:v>747</x:v>
      </x:c>
      <x:c r="B179" s="2" t="s">
        <x:v>22</x:v>
      </x:c>
      <x:c r="C179" s="2" t="s">
        <x:v>735</x:v>
      </x:c>
      <x:c r="D179" s="2" t="s">
        <x:v>748</x:v>
      </x:c>
      <x:c r="E179" s="2" t="s">
        <x:v>749</x:v>
      </x:c>
      <x:c r="F179" s="2" t="s">
        <x:v>750</x:v>
      </x:c>
      <x:c r="G179" s="3"/>
      <x:c r="H179" s="4" t="str">
        <x:f t="shared" si="5"/>
        <x:v>À conserver</x:v>
      </x:c>
      <x:c r="I179" s="5" t="s">
        <x:v>41</x:v>
      </x:c>
      <x:c r="J179" s="2"/>
    </x:row>
    <x:row r="180" ht="38.099998474121094" customHeight="1">
      <x:c r="A180" s="2" t="s">
        <x:v>751</x:v>
      </x:c>
      <x:c r="B180" s="2" t="s">
        <x:v>22</x:v>
      </x:c>
      <x:c r="C180" s="2" t="s">
        <x:v>735</x:v>
      </x:c>
      <x:c r="D180" s="2" t="s">
        <x:v>752</x:v>
      </x:c>
      <x:c r="E180" s="2" t="s">
        <x:v>753</x:v>
      </x:c>
      <x:c r="F180" s="2" t="s">
        <x:v>754</x:v>
      </x:c>
      <x:c r="G180" s="3"/>
      <x:c r="H180" s="4" t="str">
        <x:f t="shared" si="5"/>
        <x:v>À conserver</x:v>
      </x:c>
      <x:c r="I180" s="5" t="s">
        <x:v>41</x:v>
      </x:c>
      <x:c r="J180" s="2"/>
    </x:row>
    <x:row r="181" ht="38.099998474121094" customHeight="1">
      <x:c r="A181" s="2" t="s">
        <x:v>755</x:v>
      </x:c>
      <x:c r="B181" s="2" t="s">
        <x:v>22</x:v>
      </x:c>
      <x:c r="C181" s="2" t="s">
        <x:v>735</x:v>
      </x:c>
      <x:c r="D181" s="2" t="s">
        <x:v>756</x:v>
      </x:c>
      <x:c r="E181" s="2" t="s">
        <x:v>757</x:v>
      </x:c>
      <x:c r="F181" s="2" t="s">
        <x:v>758</x:v>
      </x:c>
      <x:c r="G181" s="3"/>
      <x:c r="H181" s="4" t="str">
        <x:f t="shared" si="5"/>
        <x:v>À conserver</x:v>
      </x:c>
      <x:c r="I181" s="5" t="s">
        <x:v>74</x:v>
      </x:c>
      <x:c r="J181" s="2"/>
    </x:row>
    <x:row r="182" ht="38.099998474121094" customHeight="1">
      <x:c r="A182" s="2" t="s">
        <x:v>759</x:v>
      </x:c>
      <x:c r="B182" s="2" t="s">
        <x:v>22</x:v>
      </x:c>
      <x:c r="C182" s="2" t="s">
        <x:v>735</x:v>
      </x:c>
      <x:c r="D182" s="2" t="s">
        <x:v>760</x:v>
      </x:c>
      <x:c r="E182" s="2" t="s">
        <x:v>761</x:v>
      </x:c>
      <x:c r="F182" s="2" t="s">
        <x:v>762</x:v>
      </x:c>
      <x:c r="G182" s="3"/>
      <x:c r="H182" s="4" t="str">
        <x:f t="shared" si="5"/>
        <x:v>À conserver</x:v>
      </x:c>
      <x:c r="I182" s="5" t="s">
        <x:v>74</x:v>
      </x:c>
      <x:c r="J182" s="2"/>
    </x:row>
    <x:row r="183" ht="38.099998474121094" customHeight="1">
      <x:c r="A183" s="2" t="s">
        <x:v>763</x:v>
      </x:c>
      <x:c r="B183" s="2" t="s">
        <x:v>23</x:v>
      </x:c>
      <x:c r="C183" s="2" t="s">
        <x:v>764</x:v>
      </x:c>
      <x:c r="D183" s="2" t="s">
        <x:v>765</x:v>
      </x:c>
      <x:c r="E183" s="2" t="s">
        <x:v>766</x:v>
      </x:c>
      <x:c r="F183" s="2" t="s">
        <x:v>767</x:v>
      </x:c>
      <x:c r="G183" s="3"/>
      <x:c r="H183" s="4" t="str">
        <x:f t="shared" si="5"/>
        <x:v>À conserver</x:v>
      </x:c>
      <x:c r="I183" s="5" t="s">
        <x:v>41</x:v>
      </x:c>
      <x:c r="J183" s="2"/>
    </x:row>
    <x:row r="184" ht="38.099998474121094" customHeight="1">
      <x:c r="A184" s="2" t="s">
        <x:v>768</x:v>
      </x:c>
      <x:c r="B184" s="2" t="s">
        <x:v>23</x:v>
      </x:c>
      <x:c r="C184" s="2" t="s">
        <x:v>764</x:v>
      </x:c>
      <x:c r="D184" s="2" t="s">
        <x:v>769</x:v>
      </x:c>
      <x:c r="E184" s="2" t="s">
        <x:v>770</x:v>
      </x:c>
      <x:c r="F184" s="2" t="s">
        <x:v>771</x:v>
      </x:c>
      <x:c r="G184" s="3"/>
      <x:c r="H184" s="4" t="str">
        <x:f t="shared" si="5"/>
        <x:v>À conserver</x:v>
      </x:c>
      <x:c r="I184" s="5" t="s">
        <x:v>41</x:v>
      </x:c>
      <x:c r="J184" s="2"/>
    </x:row>
    <x:row r="185" ht="38.099998474121094" customHeight="1">
      <x:c r="A185" s="2" t="s">
        <x:v>772</x:v>
      </x:c>
      <x:c r="B185" s="2" t="s">
        <x:v>23</x:v>
      </x:c>
      <x:c r="C185" s="2" t="s">
        <x:v>764</x:v>
      </x:c>
      <x:c r="D185" s="2" t="s">
        <x:v>773</x:v>
      </x:c>
      <x:c r="E185" s="2" t="s">
        <x:v>774</x:v>
      </x:c>
      <x:c r="F185" s="2" t="s">
        <x:v>775</x:v>
      </x:c>
      <x:c r="G185" s="3"/>
      <x:c r="H185" s="4" t="str">
        <x:f t="shared" si="5"/>
        <x:v>À conserver</x:v>
      </x:c>
      <x:c r="I185" s="5" t="s">
        <x:v>74</x:v>
      </x:c>
      <x:c r="J185" s="2"/>
    </x:row>
    <x:row r="186" ht="38.099998474121094" customHeight="1">
      <x:c r="A186" s="2" t="s">
        <x:v>776</x:v>
      </x:c>
      <x:c r="B186" s="2" t="s">
        <x:v>23</x:v>
      </x:c>
      <x:c r="C186" s="2" t="s">
        <x:v>777</x:v>
      </x:c>
      <x:c r="D186" s="2" t="s">
        <x:v>778</x:v>
      </x:c>
      <x:c r="E186" s="2" t="s">
        <x:v>779</x:v>
      </x:c>
      <x:c r="F186" s="2" t="s">
        <x:v>780</x:v>
      </x:c>
      <x:c r="G186" s="3"/>
      <x:c r="H186" s="4" t="str">
        <x:f t="shared" si="5"/>
        <x:v>À conserver</x:v>
      </x:c>
      <x:c r="I186" s="5" t="s">
        <x:v>41</x:v>
      </x:c>
      <x:c r="J186" s="2"/>
    </x:row>
    <x:row r="187" ht="38.099998474121094" customHeight="1">
      <x:c r="A187" s="2" t="s">
        <x:v>781</x:v>
      </x:c>
      <x:c r="B187" s="2" t="s">
        <x:v>23</x:v>
      </x:c>
      <x:c r="C187" s="2" t="s">
        <x:v>777</x:v>
      </x:c>
      <x:c r="D187" s="2" t="s">
        <x:v>782</x:v>
      </x:c>
      <x:c r="E187" s="2" t="s">
        <x:v>783</x:v>
      </x:c>
      <x:c r="F187" s="2" t="s">
        <x:v>784</x:v>
      </x:c>
      <x:c r="G187" s="3"/>
      <x:c r="H187" s="4" t="str">
        <x:f t="shared" si="5"/>
        <x:v>À conserver</x:v>
      </x:c>
      <x:c r="I187" s="5" t="s">
        <x:v>41</x:v>
      </x:c>
      <x:c r="J187" s="2"/>
    </x:row>
    <x:row r="188" ht="38.099998474121094" customHeight="1">
      <x:c r="A188" s="2" t="s">
        <x:v>785</x:v>
      </x:c>
      <x:c r="B188" s="2" t="s">
        <x:v>23</x:v>
      </x:c>
      <x:c r="C188" s="2" t="s">
        <x:v>786</x:v>
      </x:c>
      <x:c r="D188" s="2" t="s">
        <x:v>787</x:v>
      </x:c>
      <x:c r="E188" s="2" t="s">
        <x:v>788</x:v>
      </x:c>
      <x:c r="F188" s="2" t="s">
        <x:v>789</x:v>
      </x:c>
      <x:c r="G188" s="3"/>
      <x:c r="H188" s="4" t="str">
        <x:f t="shared" si="5"/>
        <x:v>À conserver</x:v>
      </x:c>
      <x:c r="I188" s="5" t="s">
        <x:v>41</x:v>
      </x:c>
      <x:c r="J188" s="2"/>
    </x:row>
    <x:row r="189" ht="38.099998474121094" customHeight="1">
      <x:c r="A189" s="2" t="s">
        <x:v>790</x:v>
      </x:c>
      <x:c r="B189" s="2" t="s">
        <x:v>23</x:v>
      </x:c>
      <x:c r="C189" s="2" t="s">
        <x:v>786</x:v>
      </x:c>
      <x:c r="D189" s="2" t="s">
        <x:v>791</x:v>
      </x:c>
      <x:c r="E189" s="2" t="s">
        <x:v>792</x:v>
      </x:c>
      <x:c r="F189" s="2" t="s">
        <x:v>793</x:v>
      </x:c>
      <x:c r="G189" s="3"/>
      <x:c r="H189" s="4" t="str">
        <x:f t="shared" si="5"/>
        <x:v>À conserver</x:v>
      </x:c>
      <x:c r="I189" s="5" t="s">
        <x:v>41</x:v>
      </x:c>
      <x:c r="J189" s="2"/>
    </x:row>
  </x:sheetData>
  <x:mergeCells>
    <x:mergeCell ref="A1:J1"/>
    <x:mergeCell ref="A2:J2"/>
    <x:mergeCell ref="A3:J3"/>
  </x:mergeCells>
  <x:conditionalFormatting sqref="G6:G189">
    <x:cfRule type="expression" dxfId="4" priority="1">
      <x:formula>UPPER(G6)="X"</x:formula>
    </x:cfRule>
  </x:conditionalFormatting>
  <x:conditionalFormatting sqref="H6:H189">
    <x:cfRule type="expression" dxfId="3" priority="2">
      <x:formula>H6="À retirer"</x:formula>
    </x:cfRule>
    <x:cfRule type="expression" dxfId="2" priority="3">
      <x:formula>H6="À conserver"</x:formula>
    </x:cfRule>
  </x:conditionalFormatting>
  <x:conditionalFormatting sqref="I6:I189">
    <x:cfRule type="expression" dxfId="1" priority="4">
      <x:formula>I6="MVP"</x:formula>
    </x:cfRule>
    <x:cfRule type="expression" dxfId="0" priority="5">
      <x:formula>I6="V2"</x:formula>
    </x:cfRule>
  </x:conditionalFormatting>
  <x:dataValidations count="1">
    <x:dataValidation type="list" sqref="G6:G189">
      <x:formula1>"X"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cbf8923bfc4826"/>
  </x:tableParts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14" customWidth="1"/>
    <x:col min="2" max="2" width="22" customWidth="1"/>
    <x:col min="3" max="3" width="52" customWidth="1"/>
    <x:col min="4" max="4" width="54" customWidth="1"/>
  </x:cols>
  <x:sheetData>
    <x:row r="1" ht="27.950000762939453" customHeight="1">
      <x:c r="A1" s="19" t="s">
        <x:v>794</x:v>
      </x:c>
      <x:c r="B1" s="11"/>
      <x:c r="C1" s="11"/>
      <x:c r="D1" s="11"/>
    </x:row>
    <x:row r="2" ht="27.950000762939453" customHeight="1">
      <x:c r="A2" s="20" t="s">
        <x:v>795</x:v>
      </x:c>
      <x:c r="B2" s="11"/>
      <x:c r="C2" s="11"/>
      <x:c r="D2" s="11"/>
    </x:row>
    <x:row r="4" ht="30" customHeight="1">
      <x:c r="A4" s="1" t="s">
        <x:v>796</x:v>
      </x:c>
      <x:c r="B4" s="1" t="s">
        <x:v>797</x:v>
      </x:c>
      <x:c r="C4" s="1" t="s">
        <x:v>798</x:v>
      </x:c>
      <x:c r="D4" s="1" t="s">
        <x:v>799</x:v>
      </x:c>
    </x:row>
    <x:row r="5" ht="44.099998474121094" customHeight="1">
      <x:c r="A5" s="9" t="s">
        <x:v>800</x:v>
      </x:c>
      <x:c r="B5" s="9" t="s">
        <x:v>801</x:v>
      </x:c>
      <x:c r="C5" s="9" t="s">
        <x:v>802</x:v>
      </x:c>
      <x:c r="D5" s="9" t="s">
        <x:v>803</x:v>
      </x:c>
    </x:row>
    <x:row r="6" ht="44.099998474121094" customHeight="1">
      <x:c r="A6" s="9" t="s">
        <x:v>804</x:v>
      </x:c>
      <x:c r="B6" s="9" t="s">
        <x:v>805</x:v>
      </x:c>
      <x:c r="C6" s="9" t="s">
        <x:v>806</x:v>
      </x:c>
      <x:c r="D6" s="9" t="s">
        <x:v>807</x:v>
      </x:c>
    </x:row>
    <x:row r="7" ht="44.099998474121094" customHeight="1">
      <x:c r="A7" s="9" t="s">
        <x:v>808</x:v>
      </x:c>
      <x:c r="B7" s="9" t="s">
        <x:v>809</x:v>
      </x:c>
      <x:c r="C7" s="9" t="s">
        <x:v>810</x:v>
      </x:c>
      <x:c r="D7" s="9" t="s">
        <x:v>811</x:v>
      </x:c>
    </x:row>
    <x:row r="8" ht="44.099998474121094" customHeight="1">
      <x:c r="A8" s="9" t="s">
        <x:v>812</x:v>
      </x:c>
      <x:c r="B8" s="9" t="s">
        <x:v>813</x:v>
      </x:c>
      <x:c r="C8" s="9" t="s">
        <x:v>814</x:v>
      </x:c>
      <x:c r="D8" s="9" t="s">
        <x:v>815</x:v>
      </x:c>
    </x:row>
    <x:row r="9" ht="44.099998474121094" customHeight="1">
      <x:c r="A9" s="9" t="s">
        <x:v>816</x:v>
      </x:c>
      <x:c r="B9" s="9" t="s">
        <x:v>817</x:v>
      </x:c>
      <x:c r="C9" s="9" t="s">
        <x:v>818</x:v>
      </x:c>
      <x:c r="D9" s="9" t="s">
        <x:v>819</x:v>
      </x:c>
    </x:row>
    <x:row r="10" ht="44.099998474121094" customHeight="1">
      <x:c r="A10" s="9" t="s">
        <x:v>820</x:v>
      </x:c>
      <x:c r="B10" s="9" t="s">
        <x:v>821</x:v>
      </x:c>
      <x:c r="C10" s="9" t="s">
        <x:v>822</x:v>
      </x:c>
      <x:c r="D10" s="9" t="s">
        <x:v>823</x:v>
      </x:c>
    </x:row>
    <x:row r="11" ht="44.099998474121094" customHeight="1">
      <x:c r="A11" s="9" t="s">
        <x:v>824</x:v>
      </x:c>
      <x:c r="B11" s="9" t="s">
        <x:v>109</x:v>
      </x:c>
      <x:c r="C11" s="9" t="s">
        <x:v>825</x:v>
      </x:c>
      <x:c r="D11" s="9" t="s">
        <x:v>826</x:v>
      </x:c>
    </x:row>
    <x:row r="12" ht="44.099998474121094" customHeight="1">
      <x:c r="A12" s="9" t="s">
        <x:v>827</x:v>
      </x:c>
      <x:c r="B12" s="9" t="s">
        <x:v>14</x:v>
      </x:c>
      <x:c r="C12" s="9" t="s">
        <x:v>828</x:v>
      </x:c>
      <x:c r="D12" s="9" t="s">
        <x:v>829</x:v>
      </x:c>
    </x:row>
    <x:row r="13" ht="44.099998474121094" customHeight="1">
      <x:c r="A13" s="9" t="s">
        <x:v>830</x:v>
      </x:c>
      <x:c r="B13" s="9" t="s">
        <x:v>831</x:v>
      </x:c>
      <x:c r="C13" s="9" t="s">
        <x:v>832</x:v>
      </x:c>
      <x:c r="D13" s="9" t="s">
        <x:v>833</x:v>
      </x:c>
    </x:row>
    <x:row r="14" ht="44.099998474121094" customHeight="1">
      <x:c r="A14" s="9" t="s">
        <x:v>834</x:v>
      </x:c>
      <x:c r="B14" s="9" t="s">
        <x:v>497</x:v>
      </x:c>
      <x:c r="C14" s="9" t="s">
        <x:v>835</x:v>
      </x:c>
      <x:c r="D14" s="9" t="s">
        <x:v>836</x:v>
      </x:c>
    </x:row>
    <x:row r="15" ht="44.099998474121094" customHeight="1">
      <x:c r="A15" s="9" t="s">
        <x:v>837</x:v>
      </x:c>
      <x:c r="B15" s="9" t="s">
        <x:v>16</x:v>
      </x:c>
      <x:c r="C15" s="9" t="s">
        <x:v>838</x:v>
      </x:c>
      <x:c r="D15" s="9" t="s">
        <x:v>839</x:v>
      </x:c>
    </x:row>
    <x:row r="16" ht="44.099998474121094" customHeight="1">
      <x:c r="A16" s="9" t="s">
        <x:v>840</x:v>
      </x:c>
      <x:c r="B16" s="9" t="s">
        <x:v>21</x:v>
      </x:c>
      <x:c r="C16" s="9" t="s">
        <x:v>841</x:v>
      </x:c>
      <x:c r="D16" s="9" t="s">
        <x:v>842</x:v>
      </x:c>
    </x:row>
    <x:row r="17" ht="44.099998474121094" customHeight="1">
      <x:c r="A17" s="9" t="s">
        <x:v>843</x:v>
      </x:c>
      <x:c r="B17" s="9" t="s">
        <x:v>844</x:v>
      </x:c>
      <x:c r="C17" s="9" t="s">
        <x:v>845</x:v>
      </x:c>
      <x:c r="D17" s="9" t="s">
        <x:v>846</x:v>
      </x:c>
    </x:row>
    <x:row r="18" ht="44.099998474121094" customHeight="1">
      <x:c r="A18" s="9" t="s">
        <x:v>847</x:v>
      </x:c>
      <x:c r="B18" s="9" t="s">
        <x:v>848</x:v>
      </x:c>
      <x:c r="C18" s="9" t="s">
        <x:v>849</x:v>
      </x:c>
      <x:c r="D18" s="9" t="s">
        <x:v>850</x:v>
      </x:c>
    </x:row>
    <x:row r="19" ht="44.099998474121094" customHeight="1">
      <x:c r="A19" s="9" t="s">
        <x:v>851</x:v>
      </x:c>
      <x:c r="B19" s="9" t="s">
        <x:v>852</x:v>
      </x:c>
      <x:c r="C19" s="9" t="s">
        <x:v>853</x:v>
      </x:c>
      <x:c r="D19" s="9" t="s">
        <x:v>854</x:v>
      </x:c>
    </x:row>
    <x:row r="20" ht="44.099998474121094" customHeight="1">
      <x:c r="A20" s="9" t="s">
        <x:v>855</x:v>
      </x:c>
      <x:c r="B20" s="9" t="s">
        <x:v>856</x:v>
      </x:c>
      <x:c r="C20" s="9" t="s">
        <x:v>857</x:v>
      </x:c>
      <x:c r="D20" s="9" t="s">
        <x:v>858</x:v>
      </x:c>
    </x:row>
    <x:row r="21" ht="44.099998474121094" customHeight="1">
      <x:c r="A21" s="9" t="s">
        <x:v>859</x:v>
      </x:c>
      <x:c r="B21" s="9" t="s">
        <x:v>860</x:v>
      </x:c>
      <x:c r="C21" s="9" t="s">
        <x:v>861</x:v>
      </x:c>
      <x:c r="D21" s="9" t="s">
        <x:v>862</x:v>
      </x:c>
    </x:row>
    <x:row r="22" ht="44.099998474121094" customHeight="1">
      <x:c r="A22" s="9" t="s">
        <x:v>863</x:v>
      </x:c>
      <x:c r="B22" s="9" t="s">
        <x:v>864</x:v>
      </x:c>
      <x:c r="C22" s="9" t="s">
        <x:v>865</x:v>
      </x:c>
      <x:c r="D22" s="9" t="s">
        <x:v>866</x:v>
      </x:c>
    </x:row>
    <x:row r="24">
      <x:c r="A24" s="21" t="s">
        <x:v>867</x:v>
      </x:c>
      <x:c r="B24" s="11"/>
      <x:c r="C24" s="11"/>
      <x:c r="D24" s="11"/>
    </x:row>
  </x:sheetData>
  <x:mergeCells>
    <x:mergeCell ref="A1:D1"/>
    <x:mergeCell ref="A2:D2"/>
    <x:mergeCell ref="A24:D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" hidden="0" customWidth="1"/>
    <x:col min="3" max="3" width="7" hidden="0" customWidth="1"/>
    <x:col min="4" max="4" width="18" hidden="0" customWidth="1"/>
    <x:col min="5" max="5" width="10" hidden="0" customWidth="1"/>
    <x:col min="6" max="6" width="10" hidden="0" customWidth="1"/>
    <x:col min="7" max="7" width="4" hidden="0" customWidth="1"/>
    <x:col min="8" max="8" width="18" hidden="0" customWidth="1"/>
    <x:col min="9" max="9" width="10" hidden="0" customWidth="1"/>
    <x:col min="10" max="10" width="10" hidden="0" customWidth="1"/>
    <x:col min="11" max="11" width="4" hidden="0" customWidth="1"/>
    <x:col min="12" max="12" width="18" hidden="0" customWidth="1"/>
    <x:col min="13" max="13" width="10" hidden="0" customWidth="1"/>
    <x:col min="14" max="14" width="10" hidden="0" customWidth="1"/>
  </x:cols>
  <x:sheetData>
    <x:row r="1" ht="28" customHeight="1">
      <x:c r="A1" s="47" t="str">
        <x:v>Carte de navigation cible — application de conciergerie</x:v>
      </x:c>
    </x:row>
    <x:row r="2" ht="26" customHeight="1">
      <x:c r="A2" s="56" t="str">
        <x:v>Navigation desktop prioritaire : 7 rubriques fixes, deux niveaux maximum, recherche et période accessibles depuis chaque écran.</x:v>
      </x:c>
    </x:row>
    <x:row r="4" ht="26" customHeight="1">
      <x:c r="A4" s="64" t="str">
        <x:v>BARRE LATERALE FIXE</x:v>
      </x:c>
      <x:c r="D4" s="71" t="str">
        <x:v>EN-TÊTE FIXE  |  Recherche globale  |  Période sélectionnée  |  Alertes  |  + Ajouter</x:v>
      </x:c>
    </x:row>
    <x:row r="5" ht="22" customHeight="1">
      <x:c r="A5" s="78" t="str">
        <x:v>Accueil</x:v>
      </x:c>
      <x:c r="B5" s="78"/>
      <x:c r="C5" s="78"/>
    </x:row>
    <x:row r="6" ht="26" customHeight="1">
      <x:c r="A6" s="85" t="str">
        <x:v>Activité</x:v>
      </x:c>
      <x:c r="B6" s="85"/>
      <x:c r="C6" s="85"/>
      <x:c r="D6" s="98" t="str">
        <x:v>ACCUEIL — période : Juin 2026</x:v>
      </x:c>
    </x:row>
    <x:row r="7" ht="22" customHeight="1">
      <x:c r="A7" s="92" t="str">
        <x:v>  Réservations hors Hostaway</x:v>
      </x:c>
      <x:c r="B7" s="92"/>
      <x:c r="C7" s="92"/>
    </x:row>
    <x:row r="8" ht="22" customHeight="1">
      <x:c r="A8" s="92" t="str">
        <x:v>  Ménages</x:v>
      </x:c>
      <x:c r="B8" s="92"/>
      <x:c r="C8" s="92"/>
      <x:c r="D8" s="105" t="str">
        <x:v>À TRAITER
Anomalies, rapprochements et clôture</x:v>
      </x:c>
      <x:c r="E8" s="105"/>
      <x:c r="F8" s="105"/>
      <x:c r="H8" s="105" t="str">
        <x:v>CLIENTS À RECEVOIR
Créances ouvertes et retards</x:v>
      </x:c>
      <x:c r="I8" s="105"/>
      <x:c r="J8" s="105"/>
      <x:c r="L8" s="105" t="str">
        <x:v>FOURNISSEURS À PAYER
Échéances proches ou dépassées</x:v>
      </x:c>
      <x:c r="M8" s="105"/>
      <x:c r="N8" s="105"/>
    </x:row>
    <x:row r="9" ht="22" customHeight="1">
      <x:c r="A9" s="85" t="str">
        <x:v>Facturation &amp; paiements</x:v>
      </x:c>
      <x:c r="B9" s="85"/>
      <x:c r="C9" s="85"/>
      <x:c r="D9" s="105"/>
      <x:c r="E9" s="105"/>
      <x:c r="F9" s="105"/>
      <x:c r="H9" s="105"/>
      <x:c r="I9" s="105"/>
      <x:c r="J9" s="105"/>
      <x:c r="L9" s="105"/>
      <x:c r="M9" s="105"/>
      <x:c r="N9" s="105"/>
    </x:row>
    <x:row r="10" ht="22" customHeight="1">
      <x:c r="A10" s="92" t="str">
        <x:v>  Relevés propriétaires</x:v>
      </x:c>
      <x:c r="B10" s="92"/>
      <x:c r="C10" s="92"/>
      <x:c r="D10" s="105"/>
      <x:c r="E10" s="105"/>
      <x:c r="F10" s="105"/>
      <x:c r="H10" s="105"/>
      <x:c r="I10" s="105"/>
      <x:c r="J10" s="105"/>
      <x:c r="L10" s="105"/>
      <x:c r="M10" s="105"/>
      <x:c r="N10" s="105"/>
    </x:row>
    <x:row r="11" ht="22" customHeight="1">
      <x:c r="A11" s="92" t="str">
        <x:v>  Factures clients</x:v>
      </x:c>
      <x:c r="B11" s="92"/>
      <x:c r="C11" s="92"/>
      <x:c r="D11" s="105"/>
      <x:c r="E11" s="105"/>
      <x:c r="F11" s="105"/>
      <x:c r="H11" s="105"/>
      <x:c r="I11" s="105"/>
      <x:c r="J11" s="105"/>
      <x:c r="L11" s="105"/>
      <x:c r="M11" s="105"/>
      <x:c r="N11" s="105"/>
    </x:row>
    <x:row r="12" ht="22" customHeight="1">
      <x:c r="A12" s="92" t="str">
        <x:v>  Fournisseurs &amp; charges</x:v>
      </x:c>
      <x:c r="B12" s="92"/>
      <x:c r="C12" s="92"/>
    </x:row>
    <x:row r="13" ht="22" customHeight="1">
      <x:c r="A13" s="85" t="str">
        <x:v>Banque &amp; trésorerie</x:v>
      </x:c>
      <x:c r="B13" s="85"/>
      <x:c r="C13" s="85"/>
      <x:c r="D13" s="105" t="str">
        <x:v>REVERSEMENTS PROPRIÉTAIRES
Documents validés non payés</x:v>
      </x:c>
      <x:c r="E13" s="105"/>
      <x:c r="F13" s="105"/>
      <x:c r="H13" s="105" t="str">
        <x:v>SOLDE BANQUE + CAISSE
Solde réel à la dernière date importée</x:v>
      </x:c>
      <x:c r="I13" s="105"/>
      <x:c r="J13" s="105"/>
      <x:c r="L13" s="105" t="str">
        <x:v>CLÔTURE DU MOIS
Blocages, dérogations et état d’avancement</x:v>
      </x:c>
      <x:c r="M13" s="105"/>
      <x:c r="N13" s="105"/>
    </x:row>
    <x:row r="14" ht="22" customHeight="1">
      <x:c r="A14" s="92" t="str">
        <x:v>  Banque</x:v>
      </x:c>
      <x:c r="B14" s="92"/>
      <x:c r="C14" s="92"/>
      <x:c r="D14" s="105"/>
      <x:c r="E14" s="105"/>
      <x:c r="F14" s="105"/>
      <x:c r="H14" s="105"/>
      <x:c r="I14" s="105"/>
      <x:c r="J14" s="105"/>
      <x:c r="L14" s="105"/>
      <x:c r="M14" s="105"/>
      <x:c r="N14" s="105"/>
    </x:row>
    <x:row r="15" ht="22" customHeight="1">
      <x:c r="A15" s="92" t="str">
        <x:v>  Caisse</x:v>
      </x:c>
      <x:c r="B15" s="92"/>
      <x:c r="C15" s="92"/>
      <x:c r="D15" s="105"/>
      <x:c r="E15" s="105"/>
      <x:c r="F15" s="105"/>
      <x:c r="H15" s="105"/>
      <x:c r="I15" s="105"/>
      <x:c r="J15" s="105"/>
      <x:c r="L15" s="105"/>
      <x:c r="M15" s="105"/>
      <x:c r="N15" s="105"/>
    </x:row>
    <x:row r="16" ht="22" customHeight="1">
      <x:c r="A16" s="92" t="str">
        <x:v>  Prévisions de trésorerie</x:v>
      </x:c>
      <x:c r="B16" s="92"/>
      <x:c r="C16" s="92"/>
      <x:c r="D16" s="105"/>
      <x:c r="E16" s="105"/>
      <x:c r="F16" s="105"/>
      <x:c r="H16" s="105"/>
      <x:c r="I16" s="105"/>
      <x:c r="J16" s="105"/>
      <x:c r="L16" s="105"/>
      <x:c r="M16" s="105"/>
      <x:c r="N16" s="105"/>
    </x:row>
    <x:row r="17" ht="22" customHeight="1">
      <x:c r="A17" s="92" t="str">
        <x:v>  Associés / avances</x:v>
      </x:c>
      <x:c r="B17" s="92"/>
      <x:c r="C17" s="92"/>
    </x:row>
    <x:row r="18" ht="22" customHeight="1">
      <x:c r="A18" s="85" t="str">
        <x:v>Pilotage &amp; clôture</x:v>
      </x:c>
      <x:c r="B18" s="85"/>
      <x:c r="C18" s="85"/>
      <x:c r="D18" s="114" t="str">
        <x:v>ACTIONS RAPIDES CONTEXTUELLES</x:v>
      </x:c>
    </x:row>
    <x:row r="19" ht="22" customHeight="1">
      <x:c r="A19" s="92" t="str">
        <x:v>  À traiter</x:v>
      </x:c>
      <x:c r="B19" s="92"/>
      <x:c r="C19" s="92"/>
    </x:row>
    <x:row r="20" ht="22" customHeight="1">
      <x:c r="A20" s="92" t="str">
        <x:v>  Précomptabilité</x:v>
      </x:c>
      <x:c r="B20" s="92"/>
      <x:c r="C20" s="92"/>
      <x:c r="D20" s="122" t="str">
        <x:v>+ Réservation hors Hostaway</x:v>
      </x:c>
      <x:c r="E20" s="122"/>
      <x:c r="F20" s="122"/>
      <x:c r="H20" s="122" t="str">
        <x:v>+ Facture fournisseur / charge</x:v>
      </x:c>
      <x:c r="I20" s="122"/>
      <x:c r="J20" s="122"/>
      <x:c r="L20" s="122" t="str">
        <x:v>Importer un relevé bancaire</x:v>
      </x:c>
      <x:c r="M20" s="122"/>
      <x:c r="N20" s="122"/>
    </x:row>
    <x:row r="21" ht="22" customHeight="1">
      <x:c r="A21" s="92" t="str">
        <x:v>  Clôture mensuelle</x:v>
      </x:c>
      <x:c r="B21" s="92"/>
      <x:c r="C21" s="92"/>
      <x:c r="D21" s="122"/>
      <x:c r="E21" s="122"/>
      <x:c r="F21" s="122"/>
      <x:c r="H21" s="122"/>
      <x:c r="I21" s="122"/>
      <x:c r="J21" s="122"/>
      <x:c r="L21" s="122"/>
      <x:c r="M21" s="122"/>
      <x:c r="N21" s="122"/>
    </x:row>
    <x:row r="22" ht="22" customHeight="1">
      <x:c r="A22" s="92" t="str">
        <x:v>  Sauvegardes &amp; archives</x:v>
      </x:c>
      <x:c r="B22" s="92"/>
      <x:c r="C22" s="92"/>
      <x:c r="D22" s="122"/>
      <x:c r="E22" s="122"/>
      <x:c r="F22" s="122"/>
      <x:c r="H22" s="122"/>
      <x:c r="I22" s="122"/>
      <x:c r="J22" s="122"/>
      <x:c r="L22" s="122"/>
      <x:c r="M22" s="122"/>
      <x:c r="N22" s="122"/>
    </x:row>
    <x:row r="23" ht="22" customHeight="1">
      <x:c r="A23" s="85" t="str">
        <x:v>Référentiels</x:v>
      </x:c>
      <x:c r="B23" s="85"/>
      <x:c r="C23" s="85"/>
    </x:row>
    <x:row r="24" ht="22" customHeight="1">
      <x:c r="A24" s="92" t="str">
        <x:v>  Acteurs</x:v>
      </x:c>
      <x:c r="B24" s="92"/>
      <x:c r="C24" s="92"/>
      <x:c r="D24" s="122" t="str">
        <x:v>Générer les relevés propriétaires</x:v>
      </x:c>
      <x:c r="E24" s="122"/>
      <x:c r="F24" s="122"/>
      <x:c r="H24" s="122" t="str">
        <x:v>Lancer le matching ménages</x:v>
      </x:c>
      <x:c r="I24" s="122"/>
      <x:c r="J24" s="122"/>
      <x:c r="L24" s="122" t="str">
        <x:v>Préparer la clôture</x:v>
      </x:c>
      <x:c r="M24" s="122"/>
      <x:c r="N24" s="122"/>
    </x:row>
    <x:row r="25" ht="22" customHeight="1">
      <x:c r="A25" s="92" t="str">
        <x:v>  Logements</x:v>
      </x:c>
      <x:c r="B25" s="92"/>
      <x:c r="C25" s="92"/>
      <x:c r="D25" s="122"/>
      <x:c r="E25" s="122"/>
      <x:c r="F25" s="122"/>
      <x:c r="H25" s="122"/>
      <x:c r="I25" s="122"/>
      <x:c r="J25" s="122"/>
      <x:c r="L25" s="122"/>
      <x:c r="M25" s="122"/>
      <x:c r="N25" s="122"/>
    </x:row>
    <x:row r="26" ht="22" customHeight="1">
      <x:c r="A26" s="92" t="str">
        <x:v>  Paramètres</x:v>
      </x:c>
      <x:c r="B26" s="92"/>
      <x:c r="C26" s="92"/>
      <x:c r="D26" s="122"/>
      <x:c r="E26" s="122"/>
      <x:c r="F26" s="122"/>
      <x:c r="H26" s="122"/>
      <x:c r="I26" s="122"/>
      <x:c r="J26" s="122"/>
      <x:c r="L26" s="122"/>
      <x:c r="M26" s="122"/>
      <x:c r="N26" s="122"/>
    </x:row>
    <x:row r="27" ht="22" customHeight="1">
      <x:c r="A27" s="85" t="str">
        <x:v>Outils &amp; sources</x:v>
      </x:c>
      <x:c r="B27" s="85"/>
      <x:c r="C27" s="85"/>
    </x:row>
    <x:row r="28" ht="22" customHeight="1">
      <x:c r="A28" s="92" t="str">
        <x:v>  Hostaway &amp; calculs</x:v>
      </x:c>
      <x:c r="B28" s="92"/>
      <x:c r="C28" s="92"/>
      <x:c r="D28" s="130" t="str">
        <x:v>Règle d’ergonomie : la barre latérale sert uniquement à choisir un domaine. Les actions de création sont dans le bouton « + Ajouter » ou dans l’en-tête de l’écran. Les corrections, suppressions logiques, forçages et réouvertures restent dans la fiche concernée, sous « Actions avancées ».</x:v>
      </x:c>
      <x:c r="E28" s="130"/>
      <x:c r="F28" s="130"/>
      <x:c r="G28" s="130"/>
      <x:c r="H28" s="130"/>
      <x:c r="I28" s="130"/>
      <x:c r="J28" s="130"/>
      <x:c r="K28" s="130"/>
      <x:c r="L28" s="130"/>
      <x:c r="M28" s="130"/>
      <x:c r="N28" s="130"/>
    </x:row>
    <x:row r="29">
      <x:c r="D29" s="130"/>
      <x:c r="E29" s="130"/>
      <x:c r="F29" s="130"/>
      <x:c r="G29" s="130"/>
      <x:c r="H29" s="130"/>
      <x:c r="I29" s="130"/>
      <x:c r="J29" s="130"/>
      <x:c r="K29" s="130"/>
      <x:c r="L29" s="130"/>
      <x:c r="M29" s="130"/>
      <x:c r="N29" s="130"/>
    </x:row>
    <x:row r="30">
      <x:c r="D30" s="130"/>
      <x:c r="E30" s="130"/>
      <x:c r="F30" s="130"/>
      <x:c r="G30" s="130"/>
      <x:c r="H30" s="130"/>
      <x:c r="I30" s="130"/>
      <x:c r="J30" s="130"/>
      <x:c r="K30" s="130"/>
      <x:c r="L30" s="130"/>
      <x:c r="M30" s="130"/>
      <x:c r="N30" s="130"/>
    </x:row>
  </x:sheetData>
  <x:mergeCells>
    <x:mergeCell ref="A1:N1"/>
    <x:mergeCell ref="A2:N2"/>
    <x:mergeCell ref="A4:C4"/>
    <x:mergeCell ref="D4:N4"/>
    <x:mergeCell ref="A5:C5"/>
    <x:mergeCell ref="A6:C6"/>
    <x:mergeCell ref="A7:C7"/>
    <x:mergeCell ref="A8:C8"/>
    <x:mergeCell ref="A9:C9"/>
    <x:mergeCell ref="A10:C10"/>
    <x:mergeCell ref="A11:C11"/>
    <x:mergeCell ref="A12:C12"/>
    <x:mergeCell ref="A13:C13"/>
    <x:mergeCell ref="A14:C14"/>
    <x:mergeCell ref="A15:C15"/>
    <x:mergeCell ref="A16:C16"/>
    <x:mergeCell ref="A17:C17"/>
    <x:mergeCell ref="A18:C18"/>
    <x:mergeCell ref="A19:C19"/>
    <x:mergeCell ref="A20:C20"/>
    <x:mergeCell ref="A21:C21"/>
    <x:mergeCell ref="A22:C22"/>
    <x:mergeCell ref="A23:C23"/>
    <x:mergeCell ref="A24:C24"/>
    <x:mergeCell ref="A25:C25"/>
    <x:mergeCell ref="A26:C26"/>
    <x:mergeCell ref="A27:C27"/>
    <x:mergeCell ref="A28:C28"/>
    <x:mergeCell ref="D6:N6"/>
    <x:mergeCell ref="D8:F11"/>
    <x:mergeCell ref="H8:J11"/>
    <x:mergeCell ref="L8:N11"/>
    <x:mergeCell ref="D13:F16"/>
    <x:mergeCell ref="H13:J16"/>
    <x:mergeCell ref="L13:N16"/>
    <x:mergeCell ref="D18:N18"/>
    <x:mergeCell ref="D20:F22"/>
    <x:mergeCell ref="H20:J22"/>
    <x:mergeCell ref="L20:N22"/>
    <x:mergeCell ref="D24:F26"/>
    <x:mergeCell ref="H24:J26"/>
    <x:mergeCell ref="L24:N26"/>
    <x:mergeCell ref="D28:N3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27" hidden="0" customWidth="1"/>
    <x:col min="4" max="4" width="27" hidden="0" customWidth="1"/>
    <x:col min="5" max="5" width="22" hidden="0" customWidth="1"/>
    <x:col min="6" max="6" width="42" hidden="0" customWidth="1"/>
    <x:col min="7" max="7" width="26" hidden="0" customWidth="1"/>
    <x:col min="8" max="8" width="12" hidden="0" customWidth="1"/>
    <x:col min="9" max="9" width="15" hidden="0" customWidth="1"/>
    <x:col min="10" max="10" width="35" hidden="0" customWidth="1"/>
  </x:cols>
  <x:sheetData>
    <x:row r="1" ht="28" customHeight="1">
      <x:c r="A1" s="47" t="str">
        <x:v>Menu de l’application — architecture recommandée</x:v>
      </x:c>
    </x:row>
    <x:row r="2" ht="26" customHeight="1">
      <x:c r="A2" s="56" t="str">
        <x:v>Inscrire X dans « Retirer ? » pour écarter une rubrique. Le champ « Décision » se met à jour automatiquement.</x:v>
      </x:c>
    </x:row>
    <x:row r="4" ht="28" customHeight="1">
      <x:c r="A4" s="138" t="str">
        <x:v>7 menus principaux</x:v>
      </x:c>
      <x:c r="B4" s="138"/>
      <x:c r="C4" s="138" t="str">
        <x:v>2 niveaux maximum</x:v>
      </x:c>
      <x:c r="D4" s="138"/>
      <x:c r="E4" s="138" t="str">
        <x:v>Recherche globale fixe</x:v>
      </x:c>
      <x:c r="F4" s="138"/>
      <x:c r="G4" s="138" t="str">
        <x:v>Période visible partout</x:v>
      </x:c>
      <x:c r="H4" s="138"/>
      <x:c r="I4" s="138" t="str">
        <x:v>Actions risquées contextualisées</x:v>
      </x:c>
      <x:c r="J4" s="138"/>
    </x:row>
    <x:row r="6" ht="28" customHeight="1">
      <x:c r="A6" s="122" t="str">
        <x:v>Ordre</x:v>
      </x:c>
      <x:c r="B6" s="122" t="str">
        <x:v>Menu niveau 1</x:v>
      </x:c>
      <x:c r="C6" s="122" t="str">
        <x:v>Sous-menu / onglet</x:v>
      </x:c>
      <x:c r="D6" s="122" t="str">
        <x:v>Écran d’arrivée</x:v>
      </x:c>
      <x:c r="E6" s="122" t="str">
        <x:v>Action primaire</x:v>
      </x:c>
      <x:c r="F6" s="122" t="str">
        <x:v>Fonction principale</x:v>
      </x:c>
      <x:c r="G6" s="122" t="str">
        <x:v>Accès rapide / lien</x:v>
      </x:c>
      <x:c r="H6" s="122" t="str">
        <x:v>Retirer ? (X)</x:v>
      </x:c>
      <x:c r="I6" s="122" t="str">
        <x:v>Décision</x:v>
      </x:c>
      <x:c r="J6" s="122" t="str">
        <x:v>Commentaire / modification demandée</x:v>
      </x:c>
    </x:row>
    <x:row r="7" ht="34" customHeight="1">
      <x:c r="A7" s="145" t="n">
        <x:v>1</x:v>
      </x:c>
      <x:c r="B7" s="145" t="str">
        <x:v>Accueil</x:v>
      </x:c>
      <x:c r="C7" s="145" t="str">
        <x:v>Vue quotidienne</x:v>
      </x:c>
      <x:c r="D7" s="145" t="str">
        <x:v>Synthèse de la période</x:v>
      </x:c>
      <x:c r="E7" s="145" t="str">
        <x:v>Voir « À traiter »</x:v>
      </x:c>
      <x:c r="F7" s="145" t="str">
        <x:v>Soldes essentiels, anomalies prioritaires, raccourcis.</x:v>
      </x:c>
      <x:c r="G7" s="145" t="str">
        <x:v>Recherche globale ; période</x:v>
      </x:c>
      <x:c r="H7" s="149"/>
      <x:c r="I7" s="149" t="str">
        <x:f>IF(UPPER(H7)="X","À retirer","À conserver")</x:f>
        <x:v>À conserver</x:v>
      </x:c>
      <x:c r="J7" s="145"/>
    </x:row>
    <x:row r="8" ht="34" customHeight="1">
      <x:c r="A8" s="145" t="n">
        <x:v>2</x:v>
      </x:c>
      <x:c r="B8" s="145" t="str">
        <x:v>Activité</x:v>
      </x:c>
      <x:c r="C8" s="145" t="str">
        <x:v>Réservations hors Hostaway</x:v>
      </x:c>
      <x:c r="D8" s="145" t="str">
        <x:v>Liste des réservations directes</x:v>
      </x:c>
      <x:c r="E8" s="145" t="str">
        <x:v>+ Réservation</x:v>
      </x:c>
      <x:c r="F8" s="145" t="str">
        <x:v>Créer, modifier, encaisser un acompte et suivre le séjour.</x:v>
      </x:c>
      <x:c r="G8" s="145" t="str">
        <x:v>Depuis logement ; depuis banque</x:v>
      </x:c>
      <x:c r="H8" s="149"/>
      <x:c r="I8" s="149" t="str">
        <x:f>IF(UPPER(H8)="X","À retirer","À conserver")</x:f>
        <x:v>À conserver</x:v>
      </x:c>
      <x:c r="J8" s="145"/>
    </x:row>
    <x:row r="9" ht="34" customHeight="1">
      <x:c r="A9" s="145" t="n">
        <x:v>3</x:v>
      </x:c>
      <x:c r="B9" s="145" t="str">
        <x:v>Activité</x:v>
      </x:c>
      <x:c r="C9" s="145" t="str">
        <x:v>Ménages</x:v>
      </x:c>
      <x:c r="D9" s="145" t="str">
        <x:v>Écarts à traiter</x:v>
      </x:c>
      <x:c r="E9" s="145" t="str">
        <x:v>Lancer le matching</x:v>
      </x:c>
      <x:c r="F9" s="145" t="str">
        <x:v>Voir attendus, réalisés, déclarés, facturés, coûts et écarts.</x:v>
      </x:c>
      <x:c r="G9" s="145" t="str">
        <x:v>Depuis réservation ; depuis facture ménage</x:v>
      </x:c>
      <x:c r="H9" s="149"/>
      <x:c r="I9" s="149" t="str">
        <x:f>IF(UPPER(H9)="X","À retirer","À conserver")</x:f>
        <x:v>À conserver</x:v>
      </x:c>
      <x:c r="J9" s="145"/>
    </x:row>
    <x:row r="10" ht="34" customHeight="1">
      <x:c r="A10" s="145" t="n">
        <x:v>4</x:v>
      </x:c>
      <x:c r="B10" s="145" t="str">
        <x:v>Facturation &amp; paiements</x:v>
      </x:c>
      <x:c r="C10" s="145" t="str">
        <x:v>Relevés propriétaires</x:v>
      </x:c>
      <x:c r="D10" s="145" t="str">
        <x:v>Documents du mois</x:v>
      </x:c>
      <x:c r="E10" s="145" t="str">
        <x:v>Générer les relevés</x:v>
      </x:c>
      <x:c r="F10" s="145" t="str">
        <x:v>Préfactures, ajustements, AirCover, reversements.</x:v>
      </x:c>
      <x:c r="G10" s="145" t="str">
        <x:v>Depuis propriétaire ; depuis logement</x:v>
      </x:c>
      <x:c r="H10" s="149"/>
      <x:c r="I10" s="149" t="str">
        <x:f>IF(UPPER(H10)="X","À retirer","À conserver")</x:f>
        <x:v>À conserver</x:v>
      </x:c>
      <x:c r="J10" s="145"/>
    </x:row>
    <x:row r="11" ht="34" customHeight="1">
      <x:c r="A11" s="145" t="n">
        <x:v>5</x:v>
      </x:c>
      <x:c r="B11" s="145" t="str">
        <x:v>Facturation &amp; paiements</x:v>
      </x:c>
      <x:c r="C11" s="145" t="str">
        <x:v>Factures clients</x:v>
      </x:c>
      <x:c r="D11" s="145" t="str">
        <x:v>Créances et factures</x:v>
      </x:c>
      <x:c r="E11" s="145" t="str">
        <x:v>+ Facture client</x:v>
      </x:c>
      <x:c r="F11" s="145" t="str">
        <x:v>Factures, avoirs, paiements et relances.</x:v>
      </x:c>
      <x:c r="G11" s="145" t="str">
        <x:v>Depuis réservation ; depuis banque</x:v>
      </x:c>
      <x:c r="H11" s="149"/>
      <x:c r="I11" s="149" t="str">
        <x:f>IF(UPPER(H11)="X","À retirer","À conserver")</x:f>
        <x:v>À conserver</x:v>
      </x:c>
      <x:c r="J11" s="145"/>
    </x:row>
    <x:row r="12" ht="34" customHeight="1">
      <x:c r="A12" s="145" t="n">
        <x:v>6</x:v>
      </x:c>
      <x:c r="B12" s="145" t="str">
        <x:v>Facturation &amp; paiements</x:v>
      </x:c>
      <x:c r="C12" s="145" t="str">
        <x:v>Fournisseurs &amp; charges</x:v>
      </x:c>
      <x:c r="D12" s="145" t="str">
        <x:v>Charges à valider / payer</x:v>
      </x:c>
      <x:c r="E12" s="145" t="str">
        <x:v>+ Facture ou charge</x:v>
      </x:c>
      <x:c r="F12" s="145" t="str">
        <x:v>Factures fournisseur, ventilation, échéances et dettes.</x:v>
      </x:c>
      <x:c r="G12" s="145" t="str">
        <x:v>Depuis banque ; depuis prestataire</x:v>
      </x:c>
      <x:c r="H12" s="149"/>
      <x:c r="I12" s="149" t="str">
        <x:f>IF(UPPER(H12)="X","À retirer","À conserver")</x:f>
        <x:v>À conserver</x:v>
      </x:c>
      <x:c r="J12" s="145"/>
    </x:row>
    <x:row r="13" ht="34" customHeight="1">
      <x:c r="A13" s="145" t="n">
        <x:v>7</x:v>
      </x:c>
      <x:c r="B13" s="145" t="str">
        <x:v>Banque &amp; trésorerie</x:v>
      </x:c>
      <x:c r="C13" s="145" t="str">
        <x:v>Banque</x:v>
      </x:c>
      <x:c r="D13" s="145" t="str">
        <x:v>Lignes non classées</x:v>
      </x:c>
      <x:c r="E13" s="145" t="str">
        <x:v>Importer un relevé</x:v>
      </x:c>
      <x:c r="F13" s="145" t="str">
        <x:v>Rapprocher, classer et créer une charge validée.</x:v>
      </x:c>
      <x:c r="G13" s="145" t="str">
        <x:v>Depuis facture client/fournisseur</x:v>
      </x:c>
      <x:c r="H13" s="149"/>
      <x:c r="I13" s="149" t="str">
        <x:f>IF(UPPER(H13)="X","À retirer","À conserver")</x:f>
        <x:v>À conserver</x:v>
      </x:c>
      <x:c r="J13" s="145"/>
    </x:row>
    <x:row r="14" ht="34" customHeight="1">
      <x:c r="A14" s="145" t="n">
        <x:v>8</x:v>
      </x:c>
      <x:c r="B14" s="145" t="str">
        <x:v>Banque &amp; trésorerie</x:v>
      </x:c>
      <x:c r="C14" s="145" t="str">
        <x:v>Caisse</x:v>
      </x:c>
      <x:c r="D14" s="145" t="str">
        <x:v>Caisse réelle</x:v>
      </x:c>
      <x:c r="E14" s="145" t="str">
        <x:v>+ Entrée / sortie</x:v>
      </x:c>
      <x:c r="F14" s="145" t="str">
        <x:v>Suivre les espèces, transferts et écarts de caisse.</x:v>
      </x:c>
      <x:c r="G14" s="145" t="str">
        <x:v>Depuis charge ; depuis banque</x:v>
      </x:c>
      <x:c r="H14" s="149"/>
      <x:c r="I14" s="149" t="str">
        <x:f>IF(UPPER(H14)="X","À retirer","À conserver")</x:f>
        <x:v>À conserver</x:v>
      </x:c>
      <x:c r="J14" s="145"/>
    </x:row>
    <x:row r="15" ht="34" customHeight="1">
      <x:c r="A15" s="145" t="n">
        <x:v>9</x:v>
      </x:c>
      <x:c r="B15" s="145" t="str">
        <x:v>Banque &amp; trésorerie</x:v>
      </x:c>
      <x:c r="C15" s="145" t="str">
        <x:v>Prévisions de trésorerie</x:v>
      </x:c>
      <x:c r="D15" s="145" t="str">
        <x:v>Projection à 13 semaines</x:v>
      </x:c>
      <x:c r="E15" s="145" t="str">
        <x:v>+ Prévision</x:v>
      </x:c>
      <x:c r="F15" s="145" t="str">
        <x:v>Anticiper encaissements, dépenses et tensions de trésorerie.</x:v>
      </x:c>
      <x:c r="G15" s="145" t="str">
        <x:v>Depuis dépenses fixes ; depuis échéances</x:v>
      </x:c>
      <x:c r="H15" s="149"/>
      <x:c r="I15" s="149" t="str">
        <x:f>IF(UPPER(H15)="X","À retirer","À conserver")</x:f>
        <x:v>À conserver</x:v>
      </x:c>
      <x:c r="J15" s="145"/>
    </x:row>
    <x:row r="16" ht="34" customHeight="1">
      <x:c r="A16" s="145" t="n">
        <x:v>10</x:v>
      </x:c>
      <x:c r="B16" s="145" t="str">
        <x:v>Banque &amp; trésorerie</x:v>
      </x:c>
      <x:c r="C16" s="145" t="str">
        <x:v>Associés / avances</x:v>
      </x:c>
      <x:c r="D16" s="145" t="str">
        <x:v>Soldes associés</x:v>
      </x:c>
      <x:c r="E16" s="145" t="str">
        <x:v>+ Mouvement associé</x:v>
      </x:c>
      <x:c r="F16" s="145" t="str">
        <x:v>Avances, remboursements, dépenses personnelles et montants récupérés.</x:v>
      </x:c>
      <x:c r="G16" s="145" t="str">
        <x:v>Depuis banque ; depuis charge</x:v>
      </x:c>
      <x:c r="H16" s="149"/>
      <x:c r="I16" s="149" t="str">
        <x:f>IF(UPPER(H16)="X","À retirer","À conserver")</x:f>
        <x:v>À conserver</x:v>
      </x:c>
      <x:c r="J16" s="145"/>
    </x:row>
    <x:row r="17" ht="34" customHeight="1">
      <x:c r="A17" s="145" t="n">
        <x:v>11</x:v>
      </x:c>
      <x:c r="B17" s="145" t="str">
        <x:v>Pilotage &amp; clôture</x:v>
      </x:c>
      <x:c r="C17" s="145" t="str">
        <x:v>À traiter</x:v>
      </x:c>
      <x:c r="D17" s="145" t="str">
        <x:v>Centre de traitement</x:v>
      </x:c>
      <x:c r="E17" s="145" t="str">
        <x:v>Ouvrir un blocage</x:v>
      </x:c>
      <x:c r="F17" s="145" t="str">
        <x:v>Liste unique des anomalies, pièces manquantes et échéances critiques.</x:v>
      </x:c>
      <x:c r="G17" s="145" t="str">
        <x:v>Accueil ; badge alertes</x:v>
      </x:c>
      <x:c r="H17" s="149"/>
      <x:c r="I17" s="149" t="str">
        <x:f>IF(UPPER(H17)="X","À retirer","À conserver")</x:f>
        <x:v>À conserver</x:v>
      </x:c>
      <x:c r="J17" s="145"/>
    </x:row>
    <x:row r="18" ht="34" customHeight="1">
      <x:c r="A18" s="145" t="n">
        <x:v>12</x:v>
      </x:c>
      <x:c r="B18" s="145" t="str">
        <x:v>Pilotage &amp; clôture</x:v>
      </x:c>
      <x:c r="C18" s="145" t="str">
        <x:v>Précomptabilité</x:v>
      </x:c>
      <x:c r="D18" s="145" t="str">
        <x:v>Pièces à transmettre</x:v>
      </x:c>
      <x:c r="E18" s="145" t="str">
        <x:v>Préparer un lot</x:v>
      </x:c>
      <x:c r="F18" s="145" t="str">
        <x:v>Statut comptable, justificatifs, transmissions et anomalies ouvertes.</x:v>
      </x:c>
      <x:c r="G18" s="145" t="str">
        <x:v>Depuis facture / charge / banque</x:v>
      </x:c>
      <x:c r="H18" s="149"/>
      <x:c r="I18" s="149" t="str">
        <x:f>IF(UPPER(H18)="X","À retirer","À conserver")</x:f>
        <x:v>À conserver</x:v>
      </x:c>
      <x:c r="J18" s="145"/>
    </x:row>
    <x:row r="19" ht="34" customHeight="1">
      <x:c r="A19" s="145" t="n">
        <x:v>13</x:v>
      </x:c>
      <x:c r="B19" s="145" t="str">
        <x:v>Pilotage &amp; clôture</x:v>
      </x:c>
      <x:c r="C19" s="145" t="str">
        <x:v>Clôture mensuelle</x:v>
      </x:c>
      <x:c r="D19" s="145" t="str">
        <x:v>État du mois</x:v>
      </x:c>
      <x:c r="E19" s="145" t="str">
        <x:v>Préparer la clôture</x:v>
      </x:c>
      <x:c r="F19" s="145" t="str">
        <x:v>Contrôler modules, clôturer, forcer ou réouvrir avec motif.</x:v>
      </x:c>
      <x:c r="G19" s="145" t="str">
        <x:v>Accueil ; période sélectionnée</x:v>
      </x:c>
      <x:c r="H19" s="149"/>
      <x:c r="I19" s="149" t="str">
        <x:f>IF(UPPER(H19)="X","À retirer","À conserver")</x:f>
        <x:v>À conserver</x:v>
      </x:c>
      <x:c r="J19" s="145"/>
    </x:row>
    <x:row r="20" ht="34" customHeight="1">
      <x:c r="A20" s="145" t="n">
        <x:v>14</x:v>
      </x:c>
      <x:c r="B20" s="145" t="str">
        <x:v>Pilotage &amp; clôture</x:v>
      </x:c>
      <x:c r="C20" s="145" t="str">
        <x:v>Sauvegardes &amp; archives</x:v>
      </x:c>
      <x:c r="D20" s="145" t="str">
        <x:v>Registre des états figés</x:v>
      </x:c>
      <x:c r="E20" s="145" t="str">
        <x:v>Créer une sauvegarde</x:v>
      </x:c>
      <x:c r="F20" s="145" t="str">
        <x:v>Voir les snapshots et les actions de restauration en copie de travail.</x:v>
      </x:c>
      <x:c r="G20" s="145" t="str">
        <x:v>Depuis clôture</x:v>
      </x:c>
      <x:c r="H20" s="149"/>
      <x:c r="I20" s="149" t="str">
        <x:f>IF(UPPER(H20)="X","À retirer","À conserver")</x:f>
        <x:v>À conserver</x:v>
      </x:c>
      <x:c r="J20" s="145"/>
    </x:row>
    <x:row r="21" ht="34" customHeight="1">
      <x:c r="A21" s="145" t="n">
        <x:v>15</x:v>
      </x:c>
      <x:c r="B21" s="145" t="str">
        <x:v>Référentiels</x:v>
      </x:c>
      <x:c r="C21" s="145" t="str">
        <x:v>Acteurs</x:v>
      </x:c>
      <x:c r="D21" s="145" t="str">
        <x:v>Liste par type</x:v>
      </x:c>
      <x:c r="E21" s="145" t="str">
        <x:v>+ Acteur</x:v>
      </x:c>
      <x:c r="F21" s="145" t="str">
        <x:v>Propriétaires, intervenants internes, prestataires externes, associés.</x:v>
      </x:c>
      <x:c r="G21" s="145" t="str">
        <x:v>Recherche globale ; depuis fiche logement</x:v>
      </x:c>
      <x:c r="H21" s="149"/>
      <x:c r="I21" s="149" t="str">
        <x:f>IF(UPPER(H21)="X","À retirer","À conserver")</x:f>
        <x:v>À conserver</x:v>
      </x:c>
      <x:c r="J21" s="145"/>
    </x:row>
    <x:row r="22" ht="34" customHeight="1">
      <x:c r="A22" s="145" t="n">
        <x:v>16</x:v>
      </x:c>
      <x:c r="B22" s="145" t="str">
        <x:v>Référentiels</x:v>
      </x:c>
      <x:c r="C22" s="145" t="str">
        <x:v>Logements</x:v>
      </x:c>
      <x:c r="D22" s="145" t="str">
        <x:v>Liste des logements</x:v>
      </x:c>
      <x:c r="E22" s="145" t="str">
        <x:v>+ Logement</x:v>
      </x:c>
      <x:c r="F22" s="145" t="str">
        <x:v>Fiches logements, rattachements, paramètres, coûts ménage et liaison Hostaway.</x:v>
      </x:c>
      <x:c r="G22" s="145" t="str">
        <x:v>Depuis propriétaire ; depuis réservation</x:v>
      </x:c>
      <x:c r="H22" s="149"/>
      <x:c r="I22" s="149" t="str">
        <x:f>IF(UPPER(H22)="X","À retirer","À conserver")</x:f>
        <x:v>À conserver</x:v>
      </x:c>
      <x:c r="J22" s="145"/>
    </x:row>
    <x:row r="23" ht="34" customHeight="1">
      <x:c r="A23" s="145" t="n">
        <x:v>17</x:v>
      </x:c>
      <x:c r="B23" s="145" t="str">
        <x:v>Référentiels</x:v>
      </x:c>
      <x:c r="C23" s="145" t="str">
        <x:v>Paramètres</x:v>
      </x:c>
      <x:c r="D23" s="145" t="str">
        <x:v>Listes et règles</x:v>
      </x:c>
      <x:c r="E23" s="145" t="str">
        <x:v>Modifier un paramètre</x:v>
      </x:c>
      <x:c r="F23" s="145" t="str">
        <x:v>Catégories, types de ménage, comptes, dépenses fixes et règles internes.</x:v>
      </x:c>
      <x:c r="G23" s="145" t="str">
        <x:v>Liens depuis formulaires</x:v>
      </x:c>
      <x:c r="H23" s="149"/>
      <x:c r="I23" s="149" t="str">
        <x:f>IF(UPPER(H23)="X","À retirer","À conserver")</x:f>
        <x:v>À conserver</x:v>
      </x:c>
      <x:c r="J23" s="145"/>
    </x:row>
    <x:row r="24" ht="34" customHeight="1">
      <x:c r="A24" s="145" t="n">
        <x:v>18</x:v>
      </x:c>
      <x:c r="B24" s="145" t="str">
        <x:v>Outils &amp; sources</x:v>
      </x:c>
      <x:c r="C24" s="145" t="str">
        <x:v>Hostaway &amp; calculs</x:v>
      </x:c>
      <x:c r="D24" s="145" t="str">
        <x:v>Actualisation et pipeline</x:v>
      </x:c>
      <x:c r="E24" s="145" t="str">
        <x:v>Actualiser Hostaway</x:v>
      </x:c>
      <x:c r="F24" s="145" t="str">
        <x:v>Lancer l’import, suivre le résultat et relancer les calculs.</x:v>
      </x:c>
      <x:c r="G24" s="145" t="str">
        <x:v>Accueil ; anomalies source</x:v>
      </x:c>
      <x:c r="H24" s="149"/>
      <x:c r="I24" s="149" t="str">
        <x:f>IF(UPPER(H24)="X","À retirer","À conserver")</x:f>
        <x:v>À conserver</x:v>
      </x:c>
      <x:c r="J24" s="145"/>
    </x:row>
    <x:row r="25" ht="34" customHeight="1">
      <x:c r="A25" s="145" t="n">
        <x:v>19</x:v>
      </x:c>
      <x:c r="B25" s="145" t="str">
        <x:v>Outils &amp; sources</x:v>
      </x:c>
      <x:c r="C25" s="145" t="str">
        <x:v>Anomalies source</x:v>
      </x:c>
      <x:c r="D25" s="145" t="str">
        <x:v>Anomalies techniques</x:v>
      </x:c>
      <x:c r="E25" s="145" t="str">
        <x:v>Ouvrir une anomalie</x:v>
      </x:c>
      <x:c r="F25" s="145" t="str">
        <x:v>Corriger les correspondances métier puis relancer le calcul.</x:v>
      </x:c>
      <x:c r="G25" s="145" t="str">
        <x:v>Depuis Hostaway &amp; calculs</x:v>
      </x:c>
      <x:c r="H25" s="149"/>
      <x:c r="I25" s="149" t="str">
        <x:f>IF(UPPER(H25)="X","À retirer","À conserver")</x:f>
        <x:v>À conserver</x:v>
      </x:c>
      <x:c r="J25" s="145"/>
    </x:row>
  </x:sheetData>
  <x:mergeCells>
    <x:mergeCell ref="A1:J1"/>
    <x:mergeCell ref="A2:J2"/>
    <x:mergeCell ref="A4:B4"/>
    <x:mergeCell ref="C4:D4"/>
    <x:mergeCell ref="E4:F4"/>
    <x:mergeCell ref="G4:H4"/>
    <x:mergeCell ref="I4:J4"/>
  </x:mergeCells>
  <x:conditionalFormatting sqref="H7:I25">
    <x:cfRule type="expression" dxfId="6" priority="1">
      <x:formula>UPPER($H7)="X"</x:formula>
    </x:cfRule>
  </x:conditionalFormatting>
  <x:dataValidations count="1">
    <x:dataValidation type="list" sqref="H7:H25">
      <x:formula1>",X"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ab71bcd6d045d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7" hidden="0" customWidth="1"/>
    <x:col min="3" max="3" width="22" hidden="0" customWidth="1"/>
    <x:col min="4" max="4" width="52" hidden="0" customWidth="1"/>
    <x:col min="5" max="5" width="34" hidden="0" customWidth="1"/>
    <x:col min="6" max="6" width="34" hidden="0" customWidth="1"/>
    <x:col min="7" max="7" width="42" hidden="0" customWidth="1"/>
    <x:col min="8" max="8" width="28" hidden="0" customWidth="1"/>
  </x:cols>
  <x:sheetData>
    <x:row r="1" ht="28" customHeight="1">
      <x:c r="A1" s="47" t="str">
        <x:v>Parcours utilisateur prioritaires</x:v>
      </x:c>
    </x:row>
    <x:row r="2" ht="26" customHeight="1">
      <x:c r="A2" s="56" t="str">
        <x:v>Chaque scénario doit pouvoir être déclenché depuis un écran évident, avec un nombre limité d’étapes et sans devoir rechercher dans plusieurs menus.</x:v>
      </x:c>
    </x:row>
    <x:row r="5" ht="28" customHeight="1">
      <x:c r="A5" s="122" t="str">
        <x:v>Situation</x:v>
      </x:c>
      <x:c r="B5" s="122" t="str">
        <x:v>Point de départ</x:v>
      </x:c>
      <x:c r="C5" s="122" t="str">
        <x:v>Action visible</x:v>
      </x:c>
      <x:c r="D5" s="122" t="str">
        <x:v>Étapes utilisateur</x:v>
      </x:c>
      <x:c r="E5" s="122" t="str">
        <x:v>Écran de fin / résultat</x:v>
      </x:c>
      <x:c r="F5" s="122" t="str">
        <x:v>Raccourci secondaire</x:v>
      </x:c>
      <x:c r="G5" s="122" t="str">
        <x:v>Règle de simplicité</x:v>
      </x:c>
      <x:c r="H5" s="122" t="str">
        <x:v>Commentaire</x:v>
      </x:c>
    </x:row>
    <x:row r="6" ht="34" customHeight="1">
      <x:c r="A6" s="145" t="str">
        <x:v>Ajouter un propriétaire</x:v>
      </x:c>
      <x:c r="B6" s="145" t="str">
        <x:v>Référentiels &gt; Acteurs</x:v>
      </x:c>
      <x:c r="C6" s="145" t="str">
        <x:v>+ Acteur</x:v>
      </x:c>
      <x:c r="D6" s="145" t="str">
        <x:v>Choisir « Propriétaire » → renseigner identité, contact, taux, RIB facultatif → enregistrer.</x:v>
      </x:c>
      <x:c r="E6" s="145" t="str">
        <x:v>Fiche propriétaire ouverte</x:v>
      </x:c>
      <x:c r="F6" s="145" t="str">
        <x:v>Recherche globale → + Ajouter</x:v>
      </x:c>
      <x:c r="G6" s="145" t="str">
        <x:v>Ne pas exiger un logement à la création.</x:v>
      </x:c>
      <x:c r="H6" s="145"/>
    </x:row>
    <x:row r="7" ht="34" customHeight="1">
      <x:c r="A7" s="145" t="str">
        <x:v>Ajouter un prestataire ménage externe</x:v>
      </x:c>
      <x:c r="B7" s="145" t="str">
        <x:v>Référentiels &gt; Acteurs</x:v>
      </x:c>
      <x:c r="C7" s="145" t="str">
        <x:v>+ Acteur</x:v>
      </x:c>
      <x:c r="D7" s="145" t="str">
        <x:v>Choisir « Prestataire externe » → renseigner contact, RIB, tarifs → enregistrer.</x:v>
      </x:c>
      <x:c r="E7" s="145" t="str">
        <x:v>Fiche prestataire ouverte</x:v>
      </x:c>
      <x:c r="F7" s="145" t="str">
        <x:v>Fournisseurs &amp; charges → + Prestataire</x:v>
      </x:c>
      <x:c r="G7" s="145" t="str">
        <x:v>Les tarifs détaillés restent dans un onglet de fiche, pas dans le formulaire initial.</x:v>
      </x:c>
      <x:c r="H7" s="145"/>
    </x:row>
    <x:row r="8" ht="34" customHeight="1">
      <x:c r="A8" s="145" t="str">
        <x:v>Créer un logement</x:v>
      </x:c>
      <x:c r="B8" s="145" t="str">
        <x:v>Référentiels &gt; Logements</x:v>
      </x:c>
      <x:c r="C8" s="145" t="str">
        <x:v>+ Logement</x:v>
      </x:c>
      <x:c r="D8" s="145" t="str">
        <x:v>Renseigner adresse, type, propriétaire, liaison Hostaway, coût standard ménage → enregistrer.</x:v>
      </x:c>
      <x:c r="E8" s="145" t="str">
        <x:v>Fiche logement ouverte</x:v>
      </x:c>
      <x:c r="F8" s="145" t="str">
        <x:v>Depuis la fiche propriétaire</x:v>
      </x:c>
      <x:c r="G8" s="145" t="str">
        <x:v>Préremplir le propriétaire lorsque le logement est créé depuis sa fiche.</x:v>
      </x:c>
      <x:c r="H8" s="145"/>
    </x:row>
    <x:row r="9" ht="34" customHeight="1">
      <x:c r="A9" s="145" t="str">
        <x:v>Saisir une réservation hors Hostaway</x:v>
      </x:c>
      <x:c r="B9" s="145" t="str">
        <x:v>Activité &gt; Réservations hors Hostaway</x:v>
      </x:c>
      <x:c r="C9" s="145" t="str">
        <x:v>+ Réservation</x:v>
      </x:c>
      <x:c r="D9" s="145" t="str">
        <x:v>Choisir logement → dates → voyageur → montants → acompte éventuel → enregistrer.</x:v>
      </x:c>
      <x:c r="E9" s="145" t="str">
        <x:v>Fiche réservation ouverte</x:v>
      </x:c>
      <x:c r="F9" s="145" t="str">
        <x:v>Depuis fiche logement</x:v>
      </x:c>
      <x:c r="G9" s="145" t="str">
        <x:v>Le propriétaire et paramètres logement sont préremplis.</x:v>
      </x:c>
      <x:c r="H9" s="145"/>
    </x:row>
    <x:row r="10" ht="34" customHeight="1">
      <x:c r="A10" s="145" t="str">
        <x:v>Créer une charge fournisseur</x:v>
      </x:c>
      <x:c r="B10" s="145" t="str">
        <x:v>Facturation &amp; paiements &gt; Fournisseurs &amp; charges</x:v>
      </x:c>
      <x:c r="C10" s="145" t="str">
        <x:v>+ Facture ou charge</x:v>
      </x:c>
      <x:c r="D10" s="145" t="str">
        <x:v>Choisir fournisseur → montant → catégorie → logement ou ventilation → échéance → justificatif.</x:v>
      </x:c>
      <x:c r="E10" s="145" t="str">
        <x:v>Charge à valider / payer</x:v>
      </x:c>
      <x:c r="F10" s="145" t="str">
        <x:v>Banque : « Créer une charge depuis ligne validée »</x:v>
      </x:c>
      <x:c r="G10" s="145" t="str">
        <x:v>Une ligne bancaire ne crée jamais une charge sans validation.</x:v>
      </x:c>
      <x:c r="H10" s="145"/>
    </x:row>
    <x:row r="11" ht="34" customHeight="1">
      <x:c r="A11" s="145" t="str">
        <x:v>Rapprocher un paiement bancaire</x:v>
      </x:c>
      <x:c r="B11" s="145" t="str">
        <x:v>Banque &amp; trésorerie &gt; Banque</x:v>
      </x:c>
      <x:c r="C11" s="145" t="str">
        <x:v>Importer un relevé</x:v>
      </x:c>
      <x:c r="D11" s="145" t="str">
        <x:v>Ouvrir « Non classées » → sélectionner ligne → choisir facture / charge / acompte / associé → valider.</x:v>
      </x:c>
      <x:c r="E11" s="145" t="str">
        <x:v>Ligne rapprochée et opération mise à jour</x:v>
      </x:c>
      <x:c r="F11" s="145" t="str">
        <x:v>Depuis la facture ou la charge : « Rapprocher paiement »</x:v>
      </x:c>
      <x:c r="G11" s="145" t="str">
        <x:v>La vue par défaut doit être « Non classées ».</x:v>
      </x:c>
      <x:c r="H11" s="145"/>
    </x:row>
    <x:row r="12" ht="34" customHeight="1">
      <x:c r="A12" s="145" t="str">
        <x:v>Traiter un écart de ménage</x:v>
      </x:c>
      <x:c r="B12" s="145" t="str">
        <x:v>Activité &gt; Ménages</x:v>
      </x:c>
      <x:c r="C12" s="145" t="str">
        <x:v>Ouvrir l’écart</x:v>
      </x:c>
      <x:c r="D12" s="145" t="str">
        <x:v>Voir attendus / réalisés / déclarés / facturés → corriger source ou outrepasser avec motif → relancer matching.</x:v>
      </x:c>
      <x:c r="E12" s="145" t="str">
        <x:v>Écart validé ou clôturé</x:v>
      </x:c>
      <x:c r="F12" s="145" t="str">
        <x:v>Depuis fiche intervenant ou facture ménage</x:v>
      </x:c>
      <x:c r="G12" s="145" t="str">
        <x:v>L’outrepassage est secondaire, jamais le bouton principal.</x:v>
      </x:c>
      <x:c r="H12" s="145"/>
    </x:row>
    <x:row r="13" ht="34" customHeight="1">
      <x:c r="A13" s="145" t="str">
        <x:v>Préparer un relevé propriétaire</x:v>
      </x:c>
      <x:c r="B13" s="145" t="str">
        <x:v>Facturation &amp; paiements &gt; Relevés propriétaires</x:v>
      </x:c>
      <x:c r="C13" s="145" t="str">
        <x:v>Générer les relevés</x:v>
      </x:c>
      <x:c r="D13" s="145" t="str">
        <x:v>Choisir mois → vérifier lignes → ajouter ajustement/AirCover/extra → valider → émettre.</x:v>
      </x:c>
      <x:c r="E13" s="145" t="str">
        <x:v>Document final et solde à reverser</x:v>
      </x:c>
      <x:c r="F13" s="145" t="str">
        <x:v>Depuis la fiche propriétaire</x:v>
      </x:c>
      <x:c r="G13" s="145" t="str">
        <x:v>Un écran de détail unique réunit lignes, ajustements, paiements et historique.</x:v>
      </x:c>
      <x:c r="H13" s="145"/>
    </x:row>
    <x:row r="14" ht="34" customHeight="1">
      <x:c r="A14" s="145" t="str">
        <x:v>Suivre une créance client</x:v>
      </x:c>
      <x:c r="B14" s="145" t="str">
        <x:v>Facturation &amp; paiements &gt; Factures clients</x:v>
      </x:c>
      <x:c r="C14" s="145" t="str">
        <x:v>Ouvrir « Impayées »</x:v>
      </x:c>
      <x:c r="D14" s="145" t="str">
        <x:v>Ouvrir facture → voir échéance et paiements → enregistrer paiement ou créer relance.</x:v>
      </x:c>
      <x:c r="E14" s="145" t="str">
        <x:v>Créance mise à jour</x:v>
      </x:c>
      <x:c r="F14" s="145" t="str">
        <x:v>Accueil &gt; Clients à recevoir</x:v>
      </x:c>
      <x:c r="G14" s="145" t="str">
        <x:v>Les filtres « Impayées » et « Échéance dépassée » sont enregistrés.</x:v>
      </x:c>
      <x:c r="H14" s="145"/>
    </x:row>
    <x:row r="15" ht="34" customHeight="1">
      <x:c r="A15" s="145" t="str">
        <x:v>Voir la trésorerie à venir</x:v>
      </x:c>
      <x:c r="B15" s="145" t="str">
        <x:v>Banque &amp; trésorerie &gt; Prévisions de trésorerie</x:v>
      </x:c>
      <x:c r="C15" s="145" t="str">
        <x:v>Voir projection</x:v>
      </x:c>
      <x:c r="D15" s="145" t="str">
        <x:v>Choisir horizon → vérifier dépenses fixes, fournisseurs, reversements et encaissements → ajuster une prévision.</x:v>
      </x:c>
      <x:c r="E15" s="145" t="str">
        <x:v>Projection mise à jour</x:v>
      </x:c>
      <x:c r="F15" s="145" t="str">
        <x:v>Accueil &gt; Solde banque + caisse</x:v>
      </x:c>
      <x:c r="G15" s="145" t="str">
        <x:v>Afficher le risque de solde négatif avant le détail.</x:v>
      </x:c>
      <x:c r="H15" s="145"/>
    </x:row>
    <x:row r="16" ht="34" customHeight="1">
      <x:c r="A16" s="145" t="str">
        <x:v>Clôturer un mois</x:v>
      </x:c>
      <x:c r="B16" s="145" t="str">
        <x:v>Pilotage &amp; clôture &gt; Clôture mensuelle</x:v>
      </x:c>
      <x:c r="C16" s="145" t="str">
        <x:v>Préparer la clôture</x:v>
      </x:c>
      <x:c r="D16" s="145" t="str">
        <x:v>Choisir mois → vérifier blocages → valider sous-modules → clôturer.</x:v>
      </x:c>
      <x:c r="E16" s="145" t="str">
        <x:v>Mois clôturé + sauvegarde créée</x:v>
      </x:c>
      <x:c r="F16" s="145" t="str">
        <x:v>Accueil &gt; Carte clôture</x:v>
      </x:c>
      <x:c r="G16" s="145" t="str">
        <x:v>Forcer la clôture et réouvrir restent sous « Actions avancées » avec motif.</x:v>
      </x:c>
      <x:c r="H16" s="145"/>
    </x:row>
    <x:row r="17" ht="34" customHeight="1">
      <x:c r="A17" s="145" t="str">
        <x:v>Réouvrir un mois</x:v>
      </x:c>
      <x:c r="B17" s="145" t="str">
        <x:v>Pilotage &amp; clôture &gt; Clôture mensuelle</x:v>
      </x:c>
      <x:c r="C17" s="145" t="str">
        <x:v>Actions avancées</x:v>
      </x:c>
      <x:c r="D17" s="145" t="str">
        <x:v>Choisir mois clôturé → réouvrir → indiquer motif → sauvegarde avant réouverture.</x:v>
      </x:c>
      <x:c r="E17" s="145" t="str">
        <x:v>Mois réouvert et journalisé</x:v>
      </x:c>
      <x:c r="F17" s="145" t="str">
        <x:v>Historique de clôture</x:v>
      </x:c>
      <x:c r="G17" s="145" t="str">
        <x:v>Aucune modification directe sans réouverture explicite.</x:v>
      </x:c>
      <x:c r="H17" s="145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fe91b29df884ef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5" hidden="0" customWidth="1"/>
    <x:col min="4" max="4" width="48" hidden="0" customWidth="1"/>
    <x:col min="5" max="5" width="46" hidden="0" customWidth="1"/>
    <x:col min="6" max="6" width="15" hidden="0" customWidth="1"/>
    <x:col min="7" max="7" width="12" hidden="0" customWidth="1"/>
    <x:col min="8" max="8" width="28" hidden="0" customWidth="1"/>
  </x:cols>
  <x:sheetData>
    <x:row r="1" ht="28" customHeight="1">
      <x:c r="A1" s="47" t="str">
        <x:v>Disposition des écrans et règles d’accessibilité</x:v>
      </x:c>
    </x:row>
    <x:row r="2" ht="26" customHeight="1">
      <x:c r="A2" s="56" t="str">
        <x:v>Le but est de réduire les hésitations : mêmes emplacements, libellés explicites, actions principales visibles et actions sensibles protégées sans être cachées.</x:v>
      </x:c>
    </x:row>
    <x:row r="5" ht="28" customHeight="1">
      <x:c r="A5" s="122" t="str">
        <x:v>Zone de l’écran</x:v>
      </x:c>
      <x:c r="B5" s="122" t="str">
        <x:v>Position</x:v>
      </x:c>
      <x:c r="C5" s="122" t="str">
        <x:v>Contenu</x:v>
      </x:c>
      <x:c r="D5" s="122" t="str">
        <x:v>Règle ergonomique</x:v>
      </x:c>
      <x:c r="E5" s="122" t="str">
        <x:v>À éviter</x:v>
      </x:c>
      <x:c r="F5" s="122" t="str">
        <x:v>Priorité</x:v>
      </x:c>
      <x:c r="G5" s="122" t="str">
        <x:v>Phase</x:v>
      </x:c>
      <x:c r="H5" s="122" t="str">
        <x:v>Commentaire</x:v>
      </x:c>
    </x:row>
    <x:row r="6" ht="34" customHeight="1">
      <x:c r="A6" s="145" t="str">
        <x:v>Barre latérale</x:v>
      </x:c>
      <x:c r="B6" s="145" t="str">
        <x:v>À gauche, fixe sur ordinateur</x:v>
      </x:c>
      <x:c r="C6" s="145" t="str">
        <x:v>7 menus principaux ; sous-menus dépliables</x:v>
      </x:c>
      <x:c r="D6" s="145" t="str">
        <x:v>Deux niveaux maximum. Le même libellé garde toujours le même sens.</x:v>
      </x:c>
      <x:c r="E6" s="145" t="str">
        <x:v>Un troisième niveau de navigation ; des menus techniques mélangés aux opérations quotidiennes.</x:v>
      </x:c>
      <x:c r="F6" s="145" t="str">
        <x:v>Très haute</x:v>
      </x:c>
      <x:c r="G6" s="145" t="str">
        <x:v>MVP</x:v>
      </x:c>
      <x:c r="H6" s="145"/>
    </x:row>
    <x:row r="7" ht="34" customHeight="1">
      <x:c r="A7" s="145" t="str">
        <x:v>Recherche globale</x:v>
      </x:c>
      <x:c r="B7" s="145" t="str">
        <x:v>En-tête, toujours visible</x:v>
      </x:c>
      <x:c r="C7" s="145" t="str">
        <x:v>Acteur, logement, réservation, facture, mouvement bancaire</x:v>
      </x:c>
      <x:c r="D7" s="145" t="str">
        <x:v>Une recherche ouvre une fiche ou une liste filtrée ; ne mélange pas les résultats sans type.</x:v>
      </x:c>
      <x:c r="E7" s="145" t="str">
        <x:v>Une recherche uniquement dans le menu Accueil.</x:v>
      </x:c>
      <x:c r="F7" s="145" t="str">
        <x:v>Très haute</x:v>
      </x:c>
      <x:c r="G7" s="145" t="str">
        <x:v>MVP</x:v>
      </x:c>
      <x:c r="H7" s="145"/>
    </x:row>
    <x:row r="8" ht="34" customHeight="1">
      <x:c r="A8" s="145" t="str">
        <x:v>Sélecteur de période</x:v>
      </x:c>
      <x:c r="B8" s="145" t="str">
        <x:v>En-tête, à côté de la recherche</x:v>
      </x:c>
      <x:c r="C8" s="145" t="str">
        <x:v>Mois/période active pour accueil, facturation, trésorerie et clôture</x:v>
      </x:c>
      <x:c r="D8" s="145" t="str">
        <x:v>Afficher clairement la période utilisée dans chaque calcul et document.</x:v>
      </x:c>
      <x:c r="E8" s="145" t="str">
        <x:v>Une période cachée ou différente selon les pages.</x:v>
      </x:c>
      <x:c r="F8" s="145" t="str">
        <x:v>Très haute</x:v>
      </x:c>
      <x:c r="G8" s="145" t="str">
        <x:v>MVP</x:v>
      </x:c>
      <x:c r="H8" s="145"/>
    </x:row>
    <x:row r="9" ht="34" customHeight="1">
      <x:c r="A9" s="145" t="str">
        <x:v>Bouton d’ajout</x:v>
      </x:c>
      <x:c r="B9" s="145" t="str">
        <x:v>En-tête de page, à droite</x:v>
      </x:c>
      <x:c r="C9" s="145" t="str">
        <x:v>+ Réservation, + Facture, + Charge, + Acteur selon l’écran</x:v>
      </x:c>
      <x:c r="D9" s="145" t="str">
        <x:v>Un seul bouton primaire par écran ; le libellé indique ce qui sera créé.</x:v>
      </x:c>
      <x:c r="E9" s="145" t="str">
        <x:v>Un bouton générique sans contexte ou plusieurs boutons concurrents.</x:v>
      </x:c>
      <x:c r="F9" s="145" t="str">
        <x:v>Très haute</x:v>
      </x:c>
      <x:c r="G9" s="145" t="str">
        <x:v>MVP</x:v>
      </x:c>
      <x:c r="H9" s="145"/>
    </x:row>
    <x:row r="10" ht="34" customHeight="1">
      <x:c r="A10" s="145" t="str">
        <x:v>Titre de page</x:v>
      </x:c>
      <x:c r="B10" s="145" t="str">
        <x:v>Haut du contenu</x:v>
      </x:c>
      <x:c r="C10" s="145" t="str">
        <x:v>Titre, nombre d’éléments, statut de période, action primaire</x:v>
      </x:c>
      <x:c r="D10" s="145" t="str">
        <x:v>Le titre répond à « où suis-je ? » et « que puis-je faire ici ? ».</x:v>
      </x:c>
      <x:c r="E10" s="145" t="str">
        <x:v>Titres vagues comme « Gestion » ou « Données ».</x:v>
      </x:c>
      <x:c r="F10" s="145" t="str">
        <x:v>Haute</x:v>
      </x:c>
      <x:c r="G10" s="145" t="str">
        <x:v>MVP</x:v>
      </x:c>
      <x:c r="H10" s="145"/>
    </x:row>
    <x:row r="11" ht="34" customHeight="1">
      <x:c r="A11" s="145" t="str">
        <x:v>Filtres</x:v>
      </x:c>
      <x:c r="B11" s="145" t="str">
        <x:v>Sous le titre, horizontaux et persistants</x:v>
      </x:c>
      <x:c r="C11" s="145" t="str">
        <x:v>Statut, période, logement, propriétaire, prestataire, impayé, anomalie</x:v>
      </x:c>
      <x:c r="D11" s="145" t="str">
        <x:v>Garder les filtres essentiels ouverts ; les filtres avancés se replient.</x:v>
      </x:c>
      <x:c r="E11" s="145" t="str">
        <x:v>Un panneau de filtres occupant la moitié de l’écran.</x:v>
      </x:c>
      <x:c r="F11" s="145" t="str">
        <x:v>Haute</x:v>
      </x:c>
      <x:c r="G11" s="145" t="str">
        <x:v>MVP</x:v>
      </x:c>
      <x:c r="H11" s="145"/>
    </x:row>
    <x:row r="12" ht="34" customHeight="1">
      <x:c r="A12" s="145" t="str">
        <x:v>Listes</x:v>
      </x:c>
      <x:c r="B12" s="145" t="str">
        <x:v>Zone centrale</x:v>
      </x:c>
      <x:c r="C12" s="145" t="str">
        <x:v>Tableaux avec colonnes métier, statuts, montants, échéances</x:v>
      </x:c>
      <x:c r="D12" s="145" t="str">
        <x:v>Cliquer une ligne ouvre la fiche ; les colonnes importantes restent visibles sans défilement horizontal inutile.</x:v>
      </x:c>
      <x:c r="E12" s="145" t="str">
        <x:v>Des colonnes techniques ou 20 colonnes visibles par défaut.</x:v>
      </x:c>
      <x:c r="F12" s="145" t="str">
        <x:v>Très haute</x:v>
      </x:c>
      <x:c r="G12" s="145" t="str">
        <x:v>MVP</x:v>
      </x:c>
      <x:c r="H12" s="145"/>
    </x:row>
    <x:row r="13" ht="34" customHeight="1">
      <x:c r="A13" s="145" t="str">
        <x:v>Fiche simple</x:v>
      </x:c>
      <x:c r="B13" s="145" t="str">
        <x:v>Panneau latéral ou page détail</x:v>
      </x:c>
      <x:c r="C13" s="145" t="str">
        <x:v>Acteur, logement, réservation, charge</x:v>
      </x:c>
      <x:c r="D13" s="145" t="str">
        <x:v>Utiliser des onglets dans la fiche : Synthèse, Détails, Liens, Historique, Documents.</x:v>
      </x:c>
      <x:c r="E13" s="145" t="str">
        <x:v>Créer un menu latéral propre à chaque fiche.</x:v>
      </x:c>
      <x:c r="F13" s="145" t="str">
        <x:v>Haute</x:v>
      </x:c>
      <x:c r="G13" s="145" t="str">
        <x:v>MVP</x:v>
      </x:c>
      <x:c r="H13" s="145"/>
    </x:row>
    <x:row r="14" ht="34" customHeight="1">
      <x:c r="A14" s="145" t="str">
        <x:v>Document complexe</x:v>
      </x:c>
      <x:c r="B14" s="145" t="str">
        <x:v>Page complète</x:v>
      </x:c>
      <x:c r="C14" s="145" t="str">
        <x:v>Préfacture propriétaire, facture, clôture, rapprochement ménage</x:v>
      </x:c>
      <x:c r="D14" s="145" t="str">
        <x:v>Une page regroupe le résumé, les lignes, les ajustements, les paiements et l’historique.</x:v>
      </x:c>
      <x:c r="E14" s="145" t="str">
        <x:v>Ouvrir une succession de fenêtres modales.</x:v>
      </x:c>
      <x:c r="F14" s="145" t="str">
        <x:v>Très haute</x:v>
      </x:c>
      <x:c r="G14" s="145" t="str">
        <x:v>MVP</x:v>
      </x:c>
      <x:c r="H14" s="145"/>
    </x:row>
    <x:row r="15" ht="34" customHeight="1">
      <x:c r="A15" s="145" t="str">
        <x:v>Statuts et alertes</x:v>
      </x:c>
      <x:c r="B15" s="145" t="str">
        <x:v>Chips dans listes et fiche</x:v>
      </x:c>
      <x:c r="C15" s="145" t="str">
        <x:v>VALIDE, À CONTRÔLER, PAYÉ, IMPAYÉ, PRÊT À CLÔTURER, etc.</x:v>
      </x:c>
      <x:c r="D15" s="145" t="str">
        <x:v>Toujours afficher un texte en plus de la couleur ; faire remonter les blocages dans « À traiter ».</x:v>
      </x:c>
      <x:c r="E15" s="145" t="str">
        <x:v>Utiliser uniquement rouge/vert sans libellé.</x:v>
      </x:c>
      <x:c r="F15" s="145" t="str">
        <x:v>Très haute</x:v>
      </x:c>
      <x:c r="G15" s="145" t="str">
        <x:v>MVP</x:v>
      </x:c>
      <x:c r="H15" s="145"/>
    </x:row>
    <x:row r="16" ht="34" customHeight="1">
      <x:c r="A16" s="145" t="str">
        <x:v>Actions avancées</x:v>
      </x:c>
      <x:c r="B16" s="145" t="str">
        <x:v>Menu secondaire dans la fiche</x:v>
      </x:c>
      <x:c r="C16" s="145" t="str">
        <x:v>Archiver, détacher un rapprochement, forcer une clôture, réouvrir, restaurer</x:v>
      </x:c>
      <x:c r="D16" s="145" t="str">
        <x:v>Confirmation, motif obligatoire, rappel de l’impact avant validation.</x:v>
      </x:c>
      <x:c r="E16" s="145" t="str">
        <x:v>Mettre ces actions comme boutons principaux ou les rendre introuvables.</x:v>
      </x:c>
      <x:c r="F16" s="145" t="str">
        <x:v>Très haute</x:v>
      </x:c>
      <x:c r="G16" s="145" t="str">
        <x:v>MVP</x:v>
      </x:c>
      <x:c r="H16" s="145"/>
    </x:row>
    <x:row r="17" ht="34" customHeight="1">
      <x:c r="A17" s="145" t="str">
        <x:v>Raccourcis contextuels</x:v>
      </x:c>
      <x:c r="B17" s="145" t="str">
        <x:v>Dans les fiches et listes liées</x:v>
      </x:c>
      <x:c r="C17" s="145" t="str">
        <x:v>Créer un logement depuis propriétaire ; rattacher paiement depuis facture ; ouvrir réservation depuis ménage</x:v>
      </x:c>
      <x:c r="D17" s="145" t="str">
        <x:v>Le raccourci ouvre un formulaire prérempli et ne crée pas une seconde source de données.</x:v>
      </x:c>
      <x:c r="E17" s="145" t="str">
        <x:v>Dupliquer l’opération dans plusieurs menus indépendants.</x:v>
      </x:c>
      <x:c r="F17" s="145" t="str">
        <x:v>Haute</x:v>
      </x:c>
      <x:c r="G17" s="145" t="str">
        <x:v>MVP</x:v>
      </x:c>
      <x:c r="H17" s="145"/>
    </x:row>
    <x:row r="18" ht="34" customHeight="1">
      <x:c r="A18" s="145" t="str">
        <x:v>Version tablette/mobile</x:v>
      </x:c>
      <x:c r="B18" s="145" t="str">
        <x:v>Barre latérale repliée</x:v>
      </x:c>
      <x:c r="C18" s="145" t="str">
        <x:v>Accès aux mêmes menus ; tables simplifiées</x:v>
      </x:c>
      <x:c r="D18" s="145" t="str">
        <x:v>Conserver les actions critiques et les statuts. Desktop reste la cible principale au départ.</x:v>
      </x:c>
      <x:c r="E18" s="145" t="str">
        <x:v>Reconcevoir tous les écrans comme une app mobile avant d’avoir le flux desktop stable.</x:v>
      </x:c>
      <x:c r="F18" s="145" t="str">
        <x:v>Moyenne</x:v>
      </x:c>
      <x:c r="G18" s="145" t="str">
        <x:v>V2</x:v>
      </x:c>
      <x:c r="H18" s="145"/>
    </x:row>
    <x:row r="19" ht="34" customHeight="1">
      <x:c r="A19" s="145" t="str">
        <x:v>Clavier et lisibilité</x:v>
      </x:c>
      <x:c r="B19" s="145" t="str">
        <x:v>Tous les écrans</x:v>
      </x:c>
      <x:c r="C19" s="145" t="str">
        <x:v>Ordre de tabulation, focus visible, taille de texte lisible, boutons suffisamment grands</x:v>
      </x:c>
      <x:c r="D19" s="145" t="str">
        <x:v>Chaque action doit être possible au clavier ; contrastes suffisants ; libellés sans ambiguïté.</x:v>
      </x:c>
      <x:c r="E19" s="145" t="str">
        <x:v>Icônes seules, textes trop petits, actions accessibles uniquement à la souris.</x:v>
      </x:c>
      <x:c r="F19" s="145" t="str">
        <x:v>Haute</x:v>
      </x:c>
      <x:c r="G19" s="145" t="str">
        <x:v>MVP</x:v>
      </x:c>
      <x:c r="H19" s="145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6df61f311a8422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0" hidden="0" customWidth="1"/>
    <x:col min="4" max="4" width="42" hidden="0" customWidth="1"/>
    <x:col min="5" max="5" width="25" hidden="0" customWidth="1"/>
    <x:col min="6" max="6" width="40" hidden="0" customWidth="1"/>
    <x:col min="7" max="7" width="22" hidden="0" customWidth="1"/>
    <x:col min="8" max="8" width="22" hidden="0" customWidth="1"/>
    <x:col min="9" max="9" width="16" hidden="0" customWidth="1"/>
    <x:col min="10" max="10" width="12" hidden="0" customWidth="1"/>
    <x:col min="11" max="11" width="32" hidden="0" customWidth="1"/>
  </x:cols>
  <x:sheetData>
    <x:row r="1" ht="28" customHeight="1">
      <x:c r="A1" s="47" t="str">
        <x:v>Cartographie d’accès de chaque opération</x:v>
      </x:c>
    </x:row>
    <x:row r="2" ht="26" customHeight="1">
      <x:c r="A2" s="56" t="str">
        <x:v>Chaque opération du catalogue est rattachée à un menu, un type d’entrée et un niveau de visibilité. Les actions rares ou sensibles restent contextuelles.</x:v>
      </x:c>
    </x:row>
    <x:row r="5" ht="28" customHeight="1">
      <x:c r="A5" s="122" t="str">
        <x:v>ID catalogue</x:v>
      </x:c>
      <x:c r="B5" s="122" t="str">
        <x:v>Module source</x:v>
      </x:c>
      <x:c r="C5" s="122" t="str">
        <x:v>Opération faisable</x:v>
      </x:c>
      <x:c r="D5" s="122" t="str">
        <x:v>Menu de l’application</x:v>
      </x:c>
      <x:c r="E5" s="122" t="str">
        <x:v>Entrée dans l’écran</x:v>
      </x:c>
      <x:c r="F5" s="122" t="str">
        <x:v>Emplacement exact</x:v>
      </x:c>
      <x:c r="G5" s="122" t="str">
        <x:v>Visibilité</x:v>
      </x:c>
      <x:c r="H5" s="122" t="str">
        <x:v>Fréquence</x:v>
      </x:c>
      <x:c r="I5" s="122" t="str">
        <x:v>Décision catalogue</x:v>
      </x:c>
      <x:c r="J5" s="122" t="str">
        <x:v>Phase</x:v>
      </x:c>
      <x:c r="K5" s="122" t="str">
        <x:v>Commentaire navigation</x:v>
      </x:c>
    </x:row>
    <x:row r="6" ht="34" customHeight="1">
      <x:c r="A6" s="145" t="str">
        <x:v>REF-CLI-001</x:v>
      </x:c>
      <x:c r="B6" s="145" t="str">
        <x:v>Référentiels</x:v>
      </x:c>
      <x:c r="C6" s="145" t="str">
        <x:v>Créer un propriétaire ou client</x:v>
      </x:c>
      <x:c r="D6" s="145" t="str">
        <x:v>Référentiels &gt; Acteurs &gt; Propriétaires / clients</x:v>
      </x:c>
      <x:c r="E6" s="145" t="str">
        <x:v>Bouton primaire</x:v>
      </x:c>
      <x:c r="F6" s="145" t="str">
        <x:v>En-tête de page, bouton à droite</x:v>
      </x:c>
      <x:c r="G6" s="145" t="str">
        <x:v>Directe dans l’écran</x:v>
      </x:c>
      <x:c r="H6" s="145" t="str">
        <x:v>Régulière</x:v>
      </x:c>
      <x:c r="I6" s="145" t="str">
        <x:f>OPERATIONS!H6</x:f>
        <x:v>À conserver</x:v>
      </x:c>
      <x:c r="J6" s="145" t="str">
        <x:v>MVP</x:v>
      </x:c>
      <x:c r="K6" s="145"/>
    </x:row>
    <x:row r="7" ht="34" customHeight="1">
      <x:c r="A7" s="145" t="str">
        <x:v>REF-CLI-002</x:v>
      </x:c>
      <x:c r="B7" s="145" t="str">
        <x:v>Référentiels</x:v>
      </x:c>
      <x:c r="C7" s="145" t="str">
        <x:v>Modifier une fiche propriétaire ou client</x:v>
      </x:c>
      <x:c r="D7" s="145" t="str">
        <x:v>Référentiels &gt; Acteurs &gt; Propriétaires / clients</x:v>
      </x:c>
      <x:c r="E7" s="145" t="str">
        <x:v>Fiche / action contextuelle</x:v>
      </x:c>
      <x:c r="F7" s="145" t="str">
        <x:v>Fiche concernée</x:v>
      </x:c>
      <x:c r="G7" s="145" t="str">
        <x:v>Directe dans l’écran</x:v>
      </x:c>
      <x:c r="H7" s="145" t="str">
        <x:v>Régulière</x:v>
      </x:c>
      <x:c r="I7" s="145" t="str">
        <x:f>OPERATIONS!H7</x:f>
        <x:v>À conserver</x:v>
      </x:c>
      <x:c r="J7" s="145" t="str">
        <x:v>MVP</x:v>
      </x:c>
      <x:c r="K7" s="145"/>
    </x:row>
    <x:row r="8" ht="34" customHeight="1">
      <x:c r="A8" s="145" t="str">
        <x:v>REF-CLI-003</x:v>
      </x:c>
      <x:c r="B8" s="145" t="str">
        <x:v>Référentiels</x:v>
      </x:c>
      <x:c r="C8" s="145" t="str">
        <x:v>Archiver ou réactiver un propriétaire ou client</x:v>
      </x:c>
      <x:c r="D8" s="145" t="str">
        <x:v>Référentiels &gt; Acteurs &gt; Propriétaires / clients</x:v>
      </x:c>
      <x:c r="E8" s="145" t="str">
        <x:v>Actions avancées</x:v>
      </x:c>
      <x:c r="F8" s="145" t="str">
        <x:v>Fiche concernée &gt; menu « Actions avancées »</x:v>
      </x:c>
      <x:c r="G8" s="145" t="str">
        <x:v>Secondaire protégée</x:v>
      </x:c>
      <x:c r="H8" s="145" t="str">
        <x:v>Rare</x:v>
      </x:c>
      <x:c r="I8" s="145" t="str">
        <x:f>OPERATIONS!H8</x:f>
        <x:v>À conserver</x:v>
      </x:c>
      <x:c r="J8" s="145" t="str">
        <x:v>MVP</x:v>
      </x:c>
      <x:c r="K8" s="145"/>
    </x:row>
    <x:row r="9" ht="34" customHeight="1">
      <x:c r="A9" s="145" t="str">
        <x:v>REF-CLI-004</x:v>
      </x:c>
      <x:c r="B9" s="145" t="str">
        <x:v>Référentiels</x:v>
      </x:c>
      <x:c r="C9" s="145" t="str">
        <x:v>Gérer les coordonnées de paiement</x:v>
      </x:c>
      <x:c r="D9" s="145" t="str">
        <x:v>Référentiels &gt; Acteurs &gt; Propriétaires / clients</x:v>
      </x:c>
      <x:c r="E9" s="145" t="str">
        <x:v>Fiche / action contextuelle</x:v>
      </x:c>
      <x:c r="F9" s="145" t="str">
        <x:v>Fiche concernée &gt; onglet dédié</x:v>
      </x:c>
      <x:c r="G9" s="145" t="str">
        <x:v>Directe dans l’écran</x:v>
      </x:c>
      <x:c r="H9" s="145" t="str">
        <x:v>Régulière</x:v>
      </x:c>
      <x:c r="I9" s="145" t="str">
        <x:f>OPERATIONS!H9</x:f>
        <x:v>À conserver</x:v>
      </x:c>
      <x:c r="J9" s="145" t="str">
        <x:v>MVP</x:v>
      </x:c>
      <x:c r="K9" s="145"/>
    </x:row>
    <x:row r="10" ht="34" customHeight="1">
      <x:c r="A10" s="145" t="str">
        <x:v>REF-CLI-005</x:v>
      </x:c>
      <x:c r="B10" s="145" t="str">
        <x:v>Référentiels</x:v>
      </x:c>
      <x:c r="C10" s="145" t="str">
        <x:v>Gérer l’adresse de facturation</x:v>
      </x:c>
      <x:c r="D10" s="145" t="str">
        <x:v>Référentiels &gt; Acteurs &gt; Propriétaires / clients</x:v>
      </x:c>
      <x:c r="E10" s="145" t="str">
        <x:v>Fiche / action contextuelle</x:v>
      </x:c>
      <x:c r="F10" s="145" t="str">
        <x:v>Fiche concernée</x:v>
      </x:c>
      <x:c r="G10" s="145" t="str">
        <x:v>Directe dans l’écran</x:v>
      </x:c>
      <x:c r="H10" s="145" t="str">
        <x:v>Régulière</x:v>
      </x:c>
      <x:c r="I10" s="145" t="str">
        <x:f>OPERATIONS!H10</x:f>
        <x:v>À conserver</x:v>
      </x:c>
      <x:c r="J10" s="145" t="str">
        <x:v>MVP</x:v>
      </x:c>
      <x:c r="K10" s="145"/>
    </x:row>
    <x:row r="11" ht="34" customHeight="1">
      <x:c r="A11" s="145" t="str">
        <x:v>REF-CLI-006</x:v>
      </x:c>
      <x:c r="B11" s="145" t="str">
        <x:v>Référentiels</x:v>
      </x:c>
      <x:c r="C11" s="145" t="str">
        <x:v>Rattacher des logements à un propriétaire</x:v>
      </x:c>
      <x:c r="D11" s="145" t="str">
        <x:v>Référentiels &gt; Acteurs &gt; Propriétaires / clients</x:v>
      </x:c>
      <x:c r="E11" s="145" t="str">
        <x:v>Fiche / action contextuelle</x:v>
      </x:c>
      <x:c r="F11" s="145" t="str">
        <x:v>Détail de la ligne / fiche concernée</x:v>
      </x:c>
      <x:c r="G11" s="145" t="str">
        <x:v>Directe dans l’écran</x:v>
      </x:c>
      <x:c r="H11" s="145" t="str">
        <x:v>Régulière</x:v>
      </x:c>
      <x:c r="I11" s="145" t="str">
        <x:f>OPERATIONS!H11</x:f>
        <x:v>À conserver</x:v>
      </x:c>
      <x:c r="J11" s="145" t="str">
        <x:v>MVP</x:v>
      </x:c>
      <x:c r="K11" s="145"/>
    </x:row>
    <x:row r="12" ht="34" customHeight="1">
      <x:c r="A12" s="145" t="str">
        <x:v>REF-CLI-007</x:v>
      </x:c>
      <x:c r="B12" s="145" t="str">
        <x:v>Référentiels</x:v>
      </x:c>
      <x:c r="C12" s="145" t="str">
        <x:v>Historiser les taux de commission</x:v>
      </x:c>
      <x:c r="D12" s="145" t="str">
        <x:v>Référentiels &gt; Acteurs &gt; Propriétaires / clients</x:v>
      </x:c>
      <x:c r="E12" s="145" t="str">
        <x:v>Fiche / action contextuelle</x:v>
      </x:c>
      <x:c r="F12" s="145" t="str">
        <x:v>Fiche concernée &gt; onglet dédié</x:v>
      </x:c>
      <x:c r="G12" s="145" t="str">
        <x:v>Directe dans l’écran</x:v>
      </x:c>
      <x:c r="H12" s="145" t="str">
        <x:v>Régulière</x:v>
      </x:c>
      <x:c r="I12" s="145" t="str">
        <x:f>OPERATIONS!H12</x:f>
        <x:v>À conserver</x:v>
      </x:c>
      <x:c r="J12" s="145" t="str">
        <x:v>MVP</x:v>
      </x:c>
      <x:c r="K12" s="145"/>
    </x:row>
    <x:row r="13" ht="34" customHeight="1">
      <x:c r="A13" s="145" t="str">
        <x:v>REF-CLI-008</x:v>
      </x:c>
      <x:c r="B13" s="145" t="str">
        <x:v>Référentiels</x:v>
      </x:c>
      <x:c r="C13" s="145" t="str">
        <x:v>Gérer les conditions spécifiques du propriétaire</x:v>
      </x:c>
      <x:c r="D13" s="145" t="str">
        <x:v>Référentiels &gt; Acteurs &gt; Propriétaires / clients</x:v>
      </x:c>
      <x:c r="E13" s="145" t="str">
        <x:v>Fiche / action contextuelle</x:v>
      </x:c>
      <x:c r="F13" s="145" t="str">
        <x:v>Fiche concernée &gt; onglet dédié</x:v>
      </x:c>
      <x:c r="G13" s="145" t="str">
        <x:v>Directe dans l’écran</x:v>
      </x:c>
      <x:c r="H13" s="145" t="str">
        <x:v>Régulière</x:v>
      </x:c>
      <x:c r="I13" s="145" t="str">
        <x:f>OPERATIONS!H13</x:f>
        <x:v>À conserver</x:v>
      </x:c>
      <x:c r="J13" s="145" t="str">
        <x:v>MVP</x:v>
      </x:c>
      <x:c r="K13" s="145"/>
    </x:row>
    <x:row r="14" ht="34" customHeight="1">
      <x:c r="A14" s="145" t="str">
        <x:v>REF-CLI-009</x:v>
      </x:c>
      <x:c r="B14" s="145" t="str">
        <x:v>Référentiels</x:v>
      </x:c>
      <x:c r="C14" s="145" t="str">
        <x:v>Ajouter documents et notes</x:v>
      </x:c>
      <x:c r="D14" s="145" t="str">
        <x:v>Référentiels &gt; Acteurs &gt; Propriétaires / clients</x:v>
      </x:c>
      <x:c r="E14" s="145" t="str">
        <x:v>Bouton primaire</x:v>
      </x:c>
      <x:c r="F14" s="145" t="str">
        <x:v>En-tête de page, bouton à droite</x:v>
      </x:c>
      <x:c r="G14" s="145" t="str">
        <x:v>Directe dans l’écran</x:v>
      </x:c>
      <x:c r="H14" s="145" t="str">
        <x:v>Régulière</x:v>
      </x:c>
      <x:c r="I14" s="145" t="str">
        <x:f>OPERATIONS!H14</x:f>
        <x:v>À conserver</x:v>
      </x:c>
      <x:c r="J14" s="145" t="str">
        <x:v>V2</x:v>
      </x:c>
      <x:c r="K14" s="145"/>
    </x:row>
    <x:row r="15" ht="34" customHeight="1">
      <x:c r="A15" s="145" t="str">
        <x:v>REF-CLI-010</x:v>
      </x:c>
      <x:c r="B15" s="145" t="str">
        <x:v>Référentiels</x:v>
      </x:c>
      <x:c r="C15" s="145" t="str">
        <x:v>Consulter l’historique financier du propriétaire</x:v>
      </x:c>
      <x:c r="D15" s="145" t="str">
        <x:v>Référentiels &gt; Acteurs &gt; Propriétaires / clients</x:v>
      </x:c>
      <x:c r="E15" s="145" t="str">
        <x:v>Vue / filtre</x:v>
      </x:c>
      <x:c r="F15" s="145" t="str">
        <x:v>Vue liste, filtre enregistré ou onglet de fiche</x:v>
      </x:c>
      <x:c r="G15" s="145" t="str">
        <x:v>Directe via liste / filtre</x:v>
      </x:c>
      <x:c r="H15" s="145" t="str">
        <x:v>Régulière</x:v>
      </x:c>
      <x:c r="I15" s="145" t="str">
        <x:f>OPERATIONS!H15</x:f>
        <x:v>À conserver</x:v>
      </x:c>
      <x:c r="J15" s="145" t="str">
        <x:v>MVP</x:v>
      </x:c>
      <x:c r="K15" s="145"/>
    </x:row>
    <x:row r="16" ht="34" customHeight="1">
      <x:c r="A16" s="145" t="str">
        <x:v>REF-INT-001</x:v>
      </x:c>
      <x:c r="B16" s="145" t="str">
        <x:v>Référentiels</x:v>
      </x:c>
      <x:c r="C16" s="145" t="str">
        <x:v>Créer un intervenant interne</x:v>
      </x:c>
      <x:c r="D16" s="145" t="str">
        <x:v>Référentiels &gt; Acteurs &gt; Intervenants internes</x:v>
      </x:c>
      <x:c r="E16" s="145" t="str">
        <x:v>Bouton primaire</x:v>
      </x:c>
      <x:c r="F16" s="145" t="str">
        <x:v>En-tête de page, bouton à droite</x:v>
      </x:c>
      <x:c r="G16" s="145" t="str">
        <x:v>Directe dans l’écran</x:v>
      </x:c>
      <x:c r="H16" s="145" t="str">
        <x:v>Régulière</x:v>
      </x:c>
      <x:c r="I16" s="145" t="str">
        <x:f>OPERATIONS!H16</x:f>
        <x:v>À conserver</x:v>
      </x:c>
      <x:c r="J16" s="145" t="str">
        <x:v>MVP</x:v>
      </x:c>
      <x:c r="K16" s="145"/>
    </x:row>
    <x:row r="17" ht="34" customHeight="1">
      <x:c r="A17" s="145" t="str">
        <x:v>REF-INT-002</x:v>
      </x:c>
      <x:c r="B17" s="145" t="str">
        <x:v>Référentiels</x:v>
      </x:c>
      <x:c r="C17" s="145" t="str">
        <x:v>Modifier les coordonnées d’un intervenant interne</x:v>
      </x:c>
      <x:c r="D17" s="145" t="str">
        <x:v>Référentiels &gt; Acteurs &gt; Intervenants internes</x:v>
      </x:c>
      <x:c r="E17" s="145" t="str">
        <x:v>Fiche / action contextuelle</x:v>
      </x:c>
      <x:c r="F17" s="145" t="str">
        <x:v>Fiche concernée &gt; onglet dédié</x:v>
      </x:c>
      <x:c r="G17" s="145" t="str">
        <x:v>Directe dans l’écran</x:v>
      </x:c>
      <x:c r="H17" s="145" t="str">
        <x:v>Régulière</x:v>
      </x:c>
      <x:c r="I17" s="145" t="str">
        <x:f>OPERATIONS!H17</x:f>
        <x:v>À conserver</x:v>
      </x:c>
      <x:c r="J17" s="145" t="str">
        <x:v>MVP</x:v>
      </x:c>
      <x:c r="K17" s="145"/>
    </x:row>
    <x:row r="18" ht="34" customHeight="1">
      <x:c r="A18" s="145" t="str">
        <x:v>REF-INT-003</x:v>
      </x:c>
      <x:c r="B18" s="145" t="str">
        <x:v>Référentiels</x:v>
      </x:c>
      <x:c r="C18" s="145" t="str">
        <x:v>Archiver ou réactiver un intervenant interne</x:v>
      </x:c>
      <x:c r="D18" s="145" t="str">
        <x:v>Référentiels &gt; Acteurs &gt; Intervenants internes</x:v>
      </x:c>
      <x:c r="E18" s="145" t="str">
        <x:v>Actions avancées</x:v>
      </x:c>
      <x:c r="F18" s="145" t="str">
        <x:v>Fiche concernée &gt; menu « Actions avancées »</x:v>
      </x:c>
      <x:c r="G18" s="145" t="str">
        <x:v>Secondaire protégée</x:v>
      </x:c>
      <x:c r="H18" s="145" t="str">
        <x:v>Rare</x:v>
      </x:c>
      <x:c r="I18" s="145" t="str">
        <x:f>OPERATIONS!H18</x:f>
        <x:v>À conserver</x:v>
      </x:c>
      <x:c r="J18" s="145" t="str">
        <x:v>MVP</x:v>
      </x:c>
      <x:c r="K18" s="145"/>
    </x:row>
    <x:row r="19" ht="34" customHeight="1">
      <x:c r="A19" s="145" t="str">
        <x:v>REF-INT-004</x:v>
      </x:c>
      <x:c r="B19" s="145" t="str">
        <x:v>Référentiels</x:v>
      </x:c>
      <x:c r="C19" s="145" t="str">
        <x:v>Historiser le taux horaire</x:v>
      </x:c>
      <x:c r="D19" s="145" t="str">
        <x:v>Référentiels &gt; Acteurs &gt; Intervenants internes</x:v>
      </x:c>
      <x:c r="E19" s="145" t="str">
        <x:v>Fiche / action contextuelle</x:v>
      </x:c>
      <x:c r="F19" s="145" t="str">
        <x:v>Fiche concernée &gt; onglet dédié</x:v>
      </x:c>
      <x:c r="G19" s="145" t="str">
        <x:v>Directe dans l’écran</x:v>
      </x:c>
      <x:c r="H19" s="145" t="str">
        <x:v>Régulière</x:v>
      </x:c>
      <x:c r="I19" s="145" t="str">
        <x:f>OPERATIONS!H19</x:f>
        <x:v>À conserver</x:v>
      </x:c>
      <x:c r="J19" s="145" t="str">
        <x:v>MVP</x:v>
      </x:c>
      <x:c r="K19" s="145"/>
    </x:row>
    <x:row r="20" ht="34" customHeight="1">
      <x:c r="A20" s="145" t="str">
        <x:v>REF-INT-005</x:v>
      </x:c>
      <x:c r="B20" s="145" t="str">
        <x:v>Référentiels</x:v>
      </x:c>
      <x:c r="C20" s="145" t="str">
        <x:v>Définir les logements ou zones habituels</x:v>
      </x:c>
      <x:c r="D20" s="145" t="str">
        <x:v>Référentiels &gt; Acteurs &gt; Intervenants internes</x:v>
      </x:c>
      <x:c r="E20" s="145" t="str">
        <x:v>Fiche / action contextuelle</x:v>
      </x:c>
      <x:c r="F20" s="145" t="str">
        <x:v>Fiche concernée</x:v>
      </x:c>
      <x:c r="G20" s="145" t="str">
        <x:v>Directe dans l’écran</x:v>
      </x:c>
      <x:c r="H20" s="145" t="str">
        <x:v>Régulière</x:v>
      </x:c>
      <x:c r="I20" s="145" t="str">
        <x:f>OPERATIONS!H20</x:f>
        <x:v>À retirer</x:v>
      </x:c>
      <x:c r="J20" s="145" t="str">
        <x:v>V2</x:v>
      </x:c>
      <x:c r="K20" s="145"/>
    </x:row>
    <x:row r="21" ht="34" customHeight="1">
      <x:c r="A21" s="145" t="str">
        <x:v>REF-INT-006</x:v>
      </x:c>
      <x:c r="B21" s="145" t="str">
        <x:v>Référentiels</x:v>
      </x:c>
      <x:c r="C21" s="145" t="str">
        <x:v>Déclarer les coordonnées de paiement</x:v>
      </x:c>
      <x:c r="D21" s="145" t="str">
        <x:v>Référentiels &gt; Acteurs &gt; Intervenants internes</x:v>
      </x:c>
      <x:c r="E21" s="145" t="str">
        <x:v>Fiche / action contextuelle</x:v>
      </x:c>
      <x:c r="F21" s="145" t="str">
        <x:v>Fiche concernée &gt; onglet dédié</x:v>
      </x:c>
      <x:c r="G21" s="145" t="str">
        <x:v>Directe dans l’écran</x:v>
      </x:c>
      <x:c r="H21" s="145" t="str">
        <x:v>Régulière</x:v>
      </x:c>
      <x:c r="I21" s="145" t="str">
        <x:f>OPERATIONS!H21</x:f>
        <x:v>À conserver</x:v>
      </x:c>
      <x:c r="J21" s="145" t="str">
        <x:v>V2</x:v>
      </x:c>
      <x:c r="K21" s="145"/>
    </x:row>
    <x:row r="22" ht="34" customHeight="1">
      <x:c r="A22" s="145" t="str">
        <x:v>REF-INT-007</x:v>
      </x:c>
      <x:c r="B22" s="145" t="str">
        <x:v>Référentiels</x:v>
      </x:c>
      <x:c r="C22" s="145" t="str">
        <x:v>Consulter les déclarations et écarts de l’intervenant</x:v>
      </x:c>
      <x:c r="D22" s="145" t="str">
        <x:v>Référentiels &gt; Acteurs &gt; Intervenants internes</x:v>
      </x:c>
      <x:c r="E22" s="145" t="str">
        <x:v>Vue / filtre</x:v>
      </x:c>
      <x:c r="F22" s="145" t="str">
        <x:v>Vue liste, filtre enregistré ou onglet de fiche</x:v>
      </x:c>
      <x:c r="G22" s="145" t="str">
        <x:v>Directe via liste / filtre</x:v>
      </x:c>
      <x:c r="H22" s="145" t="str">
        <x:v>Régulière</x:v>
      </x:c>
      <x:c r="I22" s="145" t="str">
        <x:f>OPERATIONS!H22</x:f>
        <x:v>À conserver</x:v>
      </x:c>
      <x:c r="J22" s="145" t="str">
        <x:v>MVP</x:v>
      </x:c>
      <x:c r="K22" s="145"/>
    </x:row>
    <x:row r="23" ht="34" customHeight="1">
      <x:c r="A23" s="145" t="str">
        <x:v>REF-EXT-001</x:v>
      </x:c>
      <x:c r="B23" s="145" t="str">
        <x:v>Référentiels</x:v>
      </x:c>
      <x:c r="C23" s="145" t="str">
        <x:v>Créer un prestataire externe</x:v>
      </x:c>
      <x:c r="D23" s="145" t="str">
        <x:v>Référentiels &gt; Acteurs &gt; Prestataires externes</x:v>
      </x:c>
      <x:c r="E23" s="145" t="str">
        <x:v>Bouton primaire</x:v>
      </x:c>
      <x:c r="F23" s="145" t="str">
        <x:v>En-tête de page, bouton à droite</x:v>
      </x:c>
      <x:c r="G23" s="145" t="str">
        <x:v>Directe dans l’écran</x:v>
      </x:c>
      <x:c r="H23" s="145" t="str">
        <x:v>Régulière</x:v>
      </x:c>
      <x:c r="I23" s="145" t="str">
        <x:f>OPERATIONS!H23</x:f>
        <x:v>À conserver</x:v>
      </x:c>
      <x:c r="J23" s="145" t="str">
        <x:v>MVP</x:v>
      </x:c>
      <x:c r="K23" s="145"/>
    </x:row>
    <x:row r="24" ht="34" customHeight="1">
      <x:c r="A24" s="145" t="str">
        <x:v>REF-EXT-002</x:v>
      </x:c>
      <x:c r="B24" s="145" t="str">
        <x:v>Référentiels</x:v>
      </x:c>
      <x:c r="C24" s="145" t="str">
        <x:v>Modifier un prestataire externe</x:v>
      </x:c>
      <x:c r="D24" s="145" t="str">
        <x:v>Référentiels &gt; Acteurs &gt; Prestataires externes</x:v>
      </x:c>
      <x:c r="E24" s="145" t="str">
        <x:v>Fiche / action contextuelle</x:v>
      </x:c>
      <x:c r="F24" s="145" t="str">
        <x:v>Fiche concernée</x:v>
      </x:c>
      <x:c r="G24" s="145" t="str">
        <x:v>Directe dans l’écran</x:v>
      </x:c>
      <x:c r="H24" s="145" t="str">
        <x:v>Régulière</x:v>
      </x:c>
      <x:c r="I24" s="145" t="str">
        <x:f>OPERATIONS!H24</x:f>
        <x:v>À conserver</x:v>
      </x:c>
      <x:c r="J24" s="145" t="str">
        <x:v>MVP</x:v>
      </x:c>
      <x:c r="K24" s="145"/>
    </x:row>
    <x:row r="25" ht="34" customHeight="1">
      <x:c r="A25" s="145" t="str">
        <x:v>REF-EXT-003</x:v>
      </x:c>
      <x:c r="B25" s="145" t="str">
        <x:v>Référentiels</x:v>
      </x:c>
      <x:c r="C25" s="145" t="str">
        <x:v>Archiver ou réactiver un prestataire externe</x:v>
      </x:c>
      <x:c r="D25" s="145" t="str">
        <x:v>Référentiels &gt; Acteurs &gt; Prestataires externes</x:v>
      </x:c>
      <x:c r="E25" s="145" t="str">
        <x:v>Actions avancées</x:v>
      </x:c>
      <x:c r="F25" s="145" t="str">
        <x:v>Fiche concernée &gt; menu « Actions avancées »</x:v>
      </x:c>
      <x:c r="G25" s="145" t="str">
        <x:v>Secondaire protégée</x:v>
      </x:c>
      <x:c r="H25" s="145" t="str">
        <x:v>Rare</x:v>
      </x:c>
      <x:c r="I25" s="145" t="str">
        <x:f>OPERATIONS!H25</x:f>
        <x:v>À conserver</x:v>
      </x:c>
      <x:c r="J25" s="145" t="str">
        <x:v>MVP</x:v>
      </x:c>
      <x:c r="K25" s="145"/>
    </x:row>
    <x:row r="26" ht="34" customHeight="1">
      <x:c r="A26" s="145" t="str">
        <x:v>REF-EXT-004</x:v>
      </x:c>
      <x:c r="B26" s="145" t="str">
        <x:v>Référentiels</x:v>
      </x:c>
      <x:c r="C26" s="145" t="str">
        <x:v>Gérer les coordonnées légales et bancaires</x:v>
      </x:c>
      <x:c r="D26" s="145" t="str">
        <x:v>Référentiels &gt; Acteurs &gt; Prestataires externes</x:v>
      </x:c>
      <x:c r="E26" s="145" t="str">
        <x:v>Fiche / action contextuelle</x:v>
      </x:c>
      <x:c r="F26" s="145" t="str">
        <x:v>Fiche concernée &gt; onglet dédié</x:v>
      </x:c>
      <x:c r="G26" s="145" t="str">
        <x:v>Directe dans l’écran</x:v>
      </x:c>
      <x:c r="H26" s="145" t="str">
        <x:v>Régulière</x:v>
      </x:c>
      <x:c r="I26" s="145" t="str">
        <x:f>OPERATIONS!H26</x:f>
        <x:v>À conserver</x:v>
      </x:c>
      <x:c r="J26" s="145" t="str">
        <x:v>MVP</x:v>
      </x:c>
      <x:c r="K26" s="145"/>
    </x:row>
    <x:row r="27" ht="34" customHeight="1">
      <x:c r="A27" s="145" t="str">
        <x:v>REF-EXT-005</x:v>
      </x:c>
      <x:c r="B27" s="145" t="str">
        <x:v>Référentiels</x:v>
      </x:c>
      <x:c r="C27" s="145" t="str">
        <x:v>Historiser les tarifs d’un prestataire</x:v>
      </x:c>
      <x:c r="D27" s="145" t="str">
        <x:v>Référentiels &gt; Acteurs &gt; Prestataires externes</x:v>
      </x:c>
      <x:c r="E27" s="145" t="str">
        <x:v>Fiche / action contextuelle</x:v>
      </x:c>
      <x:c r="F27" s="145" t="str">
        <x:v>Fiche concernée &gt; onglet dédié</x:v>
      </x:c>
      <x:c r="G27" s="145" t="str">
        <x:v>Directe dans l’écran</x:v>
      </x:c>
      <x:c r="H27" s="145" t="str">
        <x:v>Régulière</x:v>
      </x:c>
      <x:c r="I27" s="145" t="str">
        <x:f>OPERATIONS!H27</x:f>
        <x:v>À conserver</x:v>
      </x:c>
      <x:c r="J27" s="145" t="str">
        <x:v>MVP</x:v>
      </x:c>
      <x:c r="K27" s="145"/>
    </x:row>
    <x:row r="28" ht="34" customHeight="1">
      <x:c r="A28" s="145" t="str">
        <x:v>REF-EXT-006</x:v>
      </x:c>
      <x:c r="B28" s="145" t="str">
        <x:v>Référentiels</x:v>
      </x:c>
      <x:c r="C28" s="145" t="str">
        <x:v>Ajouter les documents du prestataire</x:v>
      </x:c>
      <x:c r="D28" s="145" t="str">
        <x:v>Référentiels &gt; Acteurs &gt; Prestataires externes</x:v>
      </x:c>
      <x:c r="E28" s="145" t="str">
        <x:v>Bouton primaire</x:v>
      </x:c>
      <x:c r="F28" s="145" t="str">
        <x:v>En-tête de page, bouton à droite</x:v>
      </x:c>
      <x:c r="G28" s="145" t="str">
        <x:v>Directe dans l’écran</x:v>
      </x:c>
      <x:c r="H28" s="145" t="str">
        <x:v>Régulière</x:v>
      </x:c>
      <x:c r="I28" s="145" t="str">
        <x:f>OPERATIONS!H28</x:f>
        <x:v>À conserver</x:v>
      </x:c>
      <x:c r="J28" s="145" t="str">
        <x:v>V2</x:v>
      </x:c>
      <x:c r="K28" s="145"/>
    </x:row>
    <x:row r="29" ht="34" customHeight="1">
      <x:c r="A29" s="145" t="str">
        <x:v>REF-EXT-007</x:v>
      </x:c>
      <x:c r="B29" s="145" t="str">
        <x:v>Référentiels</x:v>
      </x:c>
      <x:c r="C29" s="145" t="str">
        <x:v>Consulter la dette et les paiements du prestataire</x:v>
      </x:c>
      <x:c r="D29" s="145" t="str">
        <x:v>Référentiels &gt; Acteurs &gt; Prestataires externes</x:v>
      </x:c>
      <x:c r="E29" s="145" t="str">
        <x:v>Vue / filtre</x:v>
      </x:c>
      <x:c r="F29" s="145" t="str">
        <x:v>Vue liste, filtre enregistré ou onglet de fiche</x:v>
      </x:c>
      <x:c r="G29" s="145" t="str">
        <x:v>Directe via liste / filtre</x:v>
      </x:c>
      <x:c r="H29" s="145" t="str">
        <x:v>Régulière</x:v>
      </x:c>
      <x:c r="I29" s="145" t="str">
        <x:f>OPERATIONS!H29</x:f>
        <x:v>À conserver</x:v>
      </x:c>
      <x:c r="J29" s="145" t="str">
        <x:v>MVP</x:v>
      </x:c>
      <x:c r="K29" s="145"/>
    </x:row>
    <x:row r="30" ht="34" customHeight="1">
      <x:c r="A30" s="145" t="str">
        <x:v>REF-ASS-001</x:v>
      </x:c>
      <x:c r="B30" s="145" t="str">
        <x:v>Référentiels</x:v>
      </x:c>
      <x:c r="C30" s="145" t="str">
        <x:v>Créer ou modifier une fiche associé</x:v>
      </x:c>
      <x:c r="D30" s="145" t="str">
        <x:v>Référentiels &gt; Acteurs &gt; Associés</x:v>
      </x:c>
      <x:c r="E30" s="145" t="str">
        <x:v>Bouton primaire</x:v>
      </x:c>
      <x:c r="F30" s="145" t="str">
        <x:v>En-tête de page, bouton à droite</x:v>
      </x:c>
      <x:c r="G30" s="145" t="str">
        <x:v>Directe dans l’écran</x:v>
      </x:c>
      <x:c r="H30" s="145" t="str">
        <x:v>Régulière</x:v>
      </x:c>
      <x:c r="I30" s="145" t="str">
        <x:f>OPERATIONS!H30</x:f>
        <x:v>À conserver</x:v>
      </x:c>
      <x:c r="J30" s="145" t="str">
        <x:v>MVP</x:v>
      </x:c>
      <x:c r="K30" s="145"/>
    </x:row>
    <x:row r="31" ht="34" customHeight="1">
      <x:c r="A31" s="145" t="str">
        <x:v>REF-ASS-002</x:v>
      </x:c>
      <x:c r="B31" s="145" t="str">
        <x:v>Référentiels</x:v>
      </x:c>
      <x:c r="C31" s="145" t="str">
        <x:v>Archiver un associé</x:v>
      </x:c>
      <x:c r="D31" s="145" t="str">
        <x:v>Référentiels &gt; Acteurs &gt; Associés</x:v>
      </x:c>
      <x:c r="E31" s="145" t="str">
        <x:v>Actions avancées</x:v>
      </x:c>
      <x:c r="F31" s="145" t="str">
        <x:v>Fiche concernée &gt; menu « Actions avancées »</x:v>
      </x:c>
      <x:c r="G31" s="145" t="str">
        <x:v>Secondaire protégée</x:v>
      </x:c>
      <x:c r="H31" s="145" t="str">
        <x:v>Rare</x:v>
      </x:c>
      <x:c r="I31" s="145" t="str">
        <x:f>OPERATIONS!H31</x:f>
        <x:v>À conserver</x:v>
      </x:c>
      <x:c r="J31" s="145" t="str">
        <x:v>MVP</x:v>
      </x:c>
      <x:c r="K31" s="145"/>
    </x:row>
    <x:row r="32" ht="34" customHeight="1">
      <x:c r="A32" s="145" t="str">
        <x:v>REF-LOG-001</x:v>
      </x:c>
      <x:c r="B32" s="145" t="str">
        <x:v>Référentiels</x:v>
      </x:c>
      <x:c r="C32" s="145" t="str">
        <x:v>Créer un logement</x:v>
      </x:c>
      <x:c r="D32" s="145" t="str">
        <x:v>Référentiels &gt; Logements</x:v>
      </x:c>
      <x:c r="E32" s="145" t="str">
        <x:v>Bouton primaire</x:v>
      </x:c>
      <x:c r="F32" s="145" t="str">
        <x:v>En-tête de page, bouton à droite</x:v>
      </x:c>
      <x:c r="G32" s="145" t="str">
        <x:v>Directe dans l’écran</x:v>
      </x:c>
      <x:c r="H32" s="145" t="str">
        <x:v>Régulière</x:v>
      </x:c>
      <x:c r="I32" s="145" t="str">
        <x:f>OPERATIONS!H32</x:f>
        <x:v>À conserver</x:v>
      </x:c>
      <x:c r="J32" s="145" t="str">
        <x:v>MVP</x:v>
      </x:c>
      <x:c r="K32" s="145"/>
    </x:row>
    <x:row r="33" ht="34" customHeight="1">
      <x:c r="A33" s="145" t="str">
        <x:v>REF-LOG-002</x:v>
      </x:c>
      <x:c r="B33" s="145" t="str">
        <x:v>Référentiels</x:v>
      </x:c>
      <x:c r="C33" s="145" t="str">
        <x:v>Modifier un logement</x:v>
      </x:c>
      <x:c r="D33" s="145" t="str">
        <x:v>Référentiels &gt; Logements</x:v>
      </x:c>
      <x:c r="E33" s="145" t="str">
        <x:v>Fiche / action contextuelle</x:v>
      </x:c>
      <x:c r="F33" s="145" t="str">
        <x:v>Fiche concernée</x:v>
      </x:c>
      <x:c r="G33" s="145" t="str">
        <x:v>Directe dans l’écran</x:v>
      </x:c>
      <x:c r="H33" s="145" t="str">
        <x:v>Régulière</x:v>
      </x:c>
      <x:c r="I33" s="145" t="str">
        <x:f>OPERATIONS!H33</x:f>
        <x:v>À conserver</x:v>
      </x:c>
      <x:c r="J33" s="145" t="str">
        <x:v>MVP</x:v>
      </x:c>
      <x:c r="K33" s="145"/>
    </x:row>
    <x:row r="34" ht="34" customHeight="1">
      <x:c r="A34" s="145" t="str">
        <x:v>REF-LOG-003</x:v>
      </x:c>
      <x:c r="B34" s="145" t="str">
        <x:v>Référentiels</x:v>
      </x:c>
      <x:c r="C34" s="145" t="str">
        <x:v>Archiver ou réactiver un logement</x:v>
      </x:c>
      <x:c r="D34" s="145" t="str">
        <x:v>Référentiels &gt; Logements</x:v>
      </x:c>
      <x:c r="E34" s="145" t="str">
        <x:v>Actions avancées</x:v>
      </x:c>
      <x:c r="F34" s="145" t="str">
        <x:v>Fiche concernée &gt; menu « Actions avancées »</x:v>
      </x:c>
      <x:c r="G34" s="145" t="str">
        <x:v>Secondaire protégée</x:v>
      </x:c>
      <x:c r="H34" s="145" t="str">
        <x:v>Rare</x:v>
      </x:c>
      <x:c r="I34" s="145" t="str">
        <x:f>OPERATIONS!H34</x:f>
        <x:v>À conserver</x:v>
      </x:c>
      <x:c r="J34" s="145" t="str">
        <x:v>MVP</x:v>
      </x:c>
      <x:c r="K34" s="145"/>
    </x:row>
    <x:row r="35" ht="34" customHeight="1">
      <x:c r="A35" s="145" t="str">
        <x:v>REF-LOG-004</x:v>
      </x:c>
      <x:c r="B35" s="145" t="str">
        <x:v>Référentiels</x:v>
      </x:c>
      <x:c r="C35" s="145" t="str">
        <x:v>Rattacher ou changer de propriétaire</x:v>
      </x:c>
      <x:c r="D35" s="145" t="str">
        <x:v>Référentiels &gt; Logements</x:v>
      </x:c>
      <x:c r="E35" s="145" t="str">
        <x:v>Fiche / action contextuelle</x:v>
      </x:c>
      <x:c r="F35" s="145" t="str">
        <x:v>Détail de la ligne / fiche concernée</x:v>
      </x:c>
      <x:c r="G35" s="145" t="str">
        <x:v>Directe dans l’écran</x:v>
      </x:c>
      <x:c r="H35" s="145" t="str">
        <x:v>Régulière</x:v>
      </x:c>
      <x:c r="I35" s="145" t="str">
        <x:f>OPERATIONS!H35</x:f>
        <x:v>À conserver</x:v>
      </x:c>
      <x:c r="J35" s="145" t="str">
        <x:v>MVP</x:v>
      </x:c>
      <x:c r="K35" s="145"/>
    </x:row>
    <x:row r="36" ht="34" customHeight="1">
      <x:c r="A36" s="145" t="str">
        <x:v>REF-LOG-005</x:v>
      </x:c>
      <x:c r="B36" s="145" t="str">
        <x:v>Référentiels</x:v>
      </x:c>
      <x:c r="C36" s="145" t="str">
        <x:v>Renseigner l’identifiant Hostaway</x:v>
      </x:c>
      <x:c r="D36" s="145" t="str">
        <x:v>Référentiels &gt; Logements</x:v>
      </x:c>
      <x:c r="E36" s="145" t="str">
        <x:v>Fiche / action contextuelle</x:v>
      </x:c>
      <x:c r="F36" s="145" t="str">
        <x:v>Fiche concernée</x:v>
      </x:c>
      <x:c r="G36" s="145" t="str">
        <x:v>Directe dans l’écran</x:v>
      </x:c>
      <x:c r="H36" s="145" t="str">
        <x:v>Régulière</x:v>
      </x:c>
      <x:c r="I36" s="145" t="str">
        <x:f>OPERATIONS!H36</x:f>
        <x:v>À conserver</x:v>
      </x:c>
      <x:c r="J36" s="145" t="str">
        <x:v>MVP</x:v>
      </x:c>
      <x:c r="K36" s="145"/>
    </x:row>
    <x:row r="37" ht="34" customHeight="1">
      <x:c r="A37" s="145" t="str">
        <x:v>REF-LOG-006</x:v>
      </x:c>
      <x:c r="B37" s="145" t="str">
        <x:v>Référentiels</x:v>
      </x:c>
      <x:c r="C37" s="145" t="str">
        <x:v>Définir les canaux de réservation</x:v>
      </x:c>
      <x:c r="D37" s="145" t="str">
        <x:v>Référentiels &gt; Logements</x:v>
      </x:c>
      <x:c r="E37" s="145" t="str">
        <x:v>Fiche / action contextuelle</x:v>
      </x:c>
      <x:c r="F37" s="145" t="str">
        <x:v>Fiche concernée</x:v>
      </x:c>
      <x:c r="G37" s="145" t="str">
        <x:v>Directe dans l’écran</x:v>
      </x:c>
      <x:c r="H37" s="145" t="str">
        <x:v>Régulière</x:v>
      </x:c>
      <x:c r="I37" s="145" t="str">
        <x:f>OPERATIONS!H37</x:f>
        <x:v>À retirer</x:v>
      </x:c>
      <x:c r="J37" s="145" t="str">
        <x:v>V2</x:v>
      </x:c>
      <x:c r="K37" s="145"/>
    </x:row>
    <x:row r="38" ht="34" customHeight="1">
      <x:c r="A38" s="145" t="str">
        <x:v>REF-LOG-007</x:v>
      </x:c>
      <x:c r="B38" s="145" t="str">
        <x:v>Référentiels</x:v>
      </x:c>
      <x:c r="C38" s="145" t="str">
        <x:v>Définir le coût standard de ménage</x:v>
      </x:c>
      <x:c r="D38" s="145" t="str">
        <x:v>Référentiels &gt; Logements</x:v>
      </x:c>
      <x:c r="E38" s="145" t="str">
        <x:v>Fiche / action contextuelle</x:v>
      </x:c>
      <x:c r="F38" s="145" t="str">
        <x:v>Fiche concernée</x:v>
      </x:c>
      <x:c r="G38" s="145" t="str">
        <x:v>Directe dans l’écran</x:v>
      </x:c>
      <x:c r="H38" s="145" t="str">
        <x:v>Régulière</x:v>
      </x:c>
      <x:c r="I38" s="145" t="str">
        <x:f>OPERATIONS!H38</x:f>
        <x:v>À conserver</x:v>
      </x:c>
      <x:c r="J38" s="145" t="str">
        <x:v>MVP</x:v>
      </x:c>
      <x:c r="K38" s="145"/>
    </x:row>
    <x:row r="39" ht="34" customHeight="1">
      <x:c r="A39" s="145" t="str">
        <x:v>REF-LOG-008</x:v>
      </x:c>
      <x:c r="B39" s="145" t="str">
        <x:v>Référentiels</x:v>
      </x:c>
      <x:c r="C39" s="145" t="str">
        <x:v>Définir le prestataire ménage habituel</x:v>
      </x:c>
      <x:c r="D39" s="145" t="str">
        <x:v>Référentiels &gt; Logements</x:v>
      </x:c>
      <x:c r="E39" s="145" t="str">
        <x:v>Fiche / action contextuelle</x:v>
      </x:c>
      <x:c r="F39" s="145" t="str">
        <x:v>Fiche concernée</x:v>
      </x:c>
      <x:c r="G39" s="145" t="str">
        <x:v>Directe dans l’écran</x:v>
      </x:c>
      <x:c r="H39" s="145" t="str">
        <x:v>Régulière</x:v>
      </x:c>
      <x:c r="I39" s="145" t="str">
        <x:f>OPERATIONS!H39</x:f>
        <x:v>À retirer</x:v>
      </x:c>
      <x:c r="J39" s="145" t="str">
        <x:v>V2</x:v>
      </x:c>
      <x:c r="K39" s="145"/>
    </x:row>
    <x:row r="40" ht="34" customHeight="1">
      <x:c r="A40" s="145" t="str">
        <x:v>REF-LOG-009</x:v>
      </x:c>
      <x:c r="B40" s="145" t="str">
        <x:v>Référentiels</x:v>
      </x:c>
      <x:c r="C40" s="145" t="str">
        <x:v>Gérer les paramètres spécifiques du logement</x:v>
      </x:c>
      <x:c r="D40" s="145" t="str">
        <x:v>Référentiels &gt; Logements</x:v>
      </x:c>
      <x:c r="E40" s="145" t="str">
        <x:v>Fiche / action contextuelle</x:v>
      </x:c>
      <x:c r="F40" s="145" t="str">
        <x:v>Fiche concernée &gt; onglet dédié</x:v>
      </x:c>
      <x:c r="G40" s="145" t="str">
        <x:v>Directe dans l’écran</x:v>
      </x:c>
      <x:c r="H40" s="145" t="str">
        <x:v>Régulière</x:v>
      </x:c>
      <x:c r="I40" s="145" t="str">
        <x:f>OPERATIONS!H40</x:f>
        <x:v>À conserver</x:v>
      </x:c>
      <x:c r="J40" s="145" t="str">
        <x:v>MVP</x:v>
      </x:c>
      <x:c r="K40" s="145"/>
    </x:row>
    <x:row r="41" ht="34" customHeight="1">
      <x:c r="A41" s="145" t="str">
        <x:v>REF-LOG-010</x:v>
      </x:c>
      <x:c r="B41" s="145" t="str">
        <x:v>Référentiels</x:v>
      </x:c>
      <x:c r="C41" s="145" t="str">
        <x:v>Ajouter documents et notes du logement</x:v>
      </x:c>
      <x:c r="D41" s="145" t="str">
        <x:v>Référentiels &gt; Logements</x:v>
      </x:c>
      <x:c r="E41" s="145" t="str">
        <x:v>Bouton primaire</x:v>
      </x:c>
      <x:c r="F41" s="145" t="str">
        <x:v>En-tête de page, bouton à droite</x:v>
      </x:c>
      <x:c r="G41" s="145" t="str">
        <x:v>Directe dans l’écran</x:v>
      </x:c>
      <x:c r="H41" s="145" t="str">
        <x:v>Régulière</x:v>
      </x:c>
      <x:c r="I41" s="145" t="str">
        <x:f>OPERATIONS!H41</x:f>
        <x:v>À conserver</x:v>
      </x:c>
      <x:c r="J41" s="145" t="str">
        <x:v>V2</x:v>
      </x:c>
      <x:c r="K41" s="145"/>
    </x:row>
    <x:row r="42" ht="34" customHeight="1">
      <x:c r="A42" s="145" t="str">
        <x:v>REF-LOG-011</x:v>
      </x:c>
      <x:c r="B42" s="145" t="str">
        <x:v>Référentiels</x:v>
      </x:c>
      <x:c r="C42" s="145" t="str">
        <x:v>Consulter la fiche financière du logement</x:v>
      </x:c>
      <x:c r="D42" s="145" t="str">
        <x:v>Référentiels &gt; Logements</x:v>
      </x:c>
      <x:c r="E42" s="145" t="str">
        <x:v>Vue / filtre</x:v>
      </x:c>
      <x:c r="F42" s="145" t="str">
        <x:v>Vue liste, filtre enregistré ou onglet de fiche</x:v>
      </x:c>
      <x:c r="G42" s="145" t="str">
        <x:v>Directe via liste / filtre</x:v>
      </x:c>
      <x:c r="H42" s="145" t="str">
        <x:v>Régulière</x:v>
      </x:c>
      <x:c r="I42" s="145" t="str">
        <x:f>OPERATIONS!H42</x:f>
        <x:v>À conserver</x:v>
      </x:c>
      <x:c r="J42" s="145" t="str">
        <x:v>MVP</x:v>
      </x:c>
      <x:c r="K42" s="145"/>
    </x:row>
    <x:row r="43" ht="34" customHeight="1">
      <x:c r="A43" s="145" t="str">
        <x:v>REF-PAR-001</x:v>
      </x:c>
      <x:c r="B43" s="145" t="str">
        <x:v>Référentiels</x:v>
      </x:c>
      <x:c r="C43" s="145" t="str">
        <x:v>Gérer les catégories de charges</x:v>
      </x:c>
      <x:c r="D43" s="145" t="str">
        <x:v>Référentiels &gt; Paramètres</x:v>
      </x:c>
      <x:c r="E43" s="145" t="str">
        <x:v>Fiche / action contextuelle</x:v>
      </x:c>
      <x:c r="F43" s="145" t="str">
        <x:v>Fiche concernée</x:v>
      </x:c>
      <x:c r="G43" s="145" t="str">
        <x:v>Directe dans l’écran</x:v>
      </x:c>
      <x:c r="H43" s="145" t="str">
        <x:v>Régulière</x:v>
      </x:c>
      <x:c r="I43" s="145" t="str">
        <x:f>OPERATIONS!H43</x:f>
        <x:v>À conserver</x:v>
      </x:c>
      <x:c r="J43" s="145" t="str">
        <x:v>MVP</x:v>
      </x:c>
      <x:c r="K43" s="145"/>
    </x:row>
    <x:row r="44" ht="34" customHeight="1">
      <x:c r="A44" s="145" t="str">
        <x:v>REF-PAR-002</x:v>
      </x:c>
      <x:c r="B44" s="145" t="str">
        <x:v>Référentiels</x:v>
      </x:c>
      <x:c r="C44" s="145" t="str">
        <x:v>Gérer les types de ménage</x:v>
      </x:c>
      <x:c r="D44" s="145" t="str">
        <x:v>Référentiels &gt; Paramètres</x:v>
      </x:c>
      <x:c r="E44" s="145" t="str">
        <x:v>Fiche / action contextuelle</x:v>
      </x:c>
      <x:c r="F44" s="145" t="str">
        <x:v>Fiche concernée</x:v>
      </x:c>
      <x:c r="G44" s="145" t="str">
        <x:v>Directe dans l’écran</x:v>
      </x:c>
      <x:c r="H44" s="145" t="str">
        <x:v>Régulière</x:v>
      </x:c>
      <x:c r="I44" s="145" t="str">
        <x:f>OPERATIONS!H44</x:f>
        <x:v>À conserver</x:v>
      </x:c>
      <x:c r="J44" s="145" t="str">
        <x:v>MVP</x:v>
      </x:c>
      <x:c r="K44" s="145"/>
    </x:row>
    <x:row r="45" ht="34" customHeight="1">
      <x:c r="A45" s="145" t="str">
        <x:v>REF-PAR-003</x:v>
      </x:c>
      <x:c r="B45" s="145" t="str">
        <x:v>Référentiels</x:v>
      </x:c>
      <x:c r="C45" s="145" t="str">
        <x:v>Gérer les modes de paiement</x:v>
      </x:c>
      <x:c r="D45" s="145" t="str">
        <x:v>Référentiels &gt; Paramètres</x:v>
      </x:c>
      <x:c r="E45" s="145" t="str">
        <x:v>Fiche / action contextuelle</x:v>
      </x:c>
      <x:c r="F45" s="145" t="str">
        <x:v>Fiche concernée</x:v>
      </x:c>
      <x:c r="G45" s="145" t="str">
        <x:v>Directe dans l’écran</x:v>
      </x:c>
      <x:c r="H45" s="145" t="str">
        <x:v>Régulière</x:v>
      </x:c>
      <x:c r="I45" s="145" t="str">
        <x:f>OPERATIONS!H45</x:f>
        <x:v>À conserver</x:v>
      </x:c>
      <x:c r="J45" s="145" t="str">
        <x:v>MVP</x:v>
      </x:c>
      <x:c r="K45" s="145"/>
    </x:row>
    <x:row r="46" ht="34" customHeight="1">
      <x:c r="A46" s="145" t="str">
        <x:v>REF-PAR-004</x:v>
      </x:c>
      <x:c r="B46" s="145" t="str">
        <x:v>Référentiels</x:v>
      </x:c>
      <x:c r="C46" s="145" t="str">
        <x:v>Gérer les comptes bancaires et la caisse</x:v>
      </x:c>
      <x:c r="D46" s="145" t="str">
        <x:v>Référentiels &gt; Paramètres</x:v>
      </x:c>
      <x:c r="E46" s="145" t="str">
        <x:v>Fiche / action contextuelle</x:v>
      </x:c>
      <x:c r="F46" s="145" t="str">
        <x:v>Fiche concernée</x:v>
      </x:c>
      <x:c r="G46" s="145" t="str">
        <x:v>Directe dans l’écran</x:v>
      </x:c>
      <x:c r="H46" s="145" t="str">
        <x:v>Régulière</x:v>
      </x:c>
      <x:c r="I46" s="145" t="str">
        <x:f>OPERATIONS!H46</x:f>
        <x:v>À conserver</x:v>
      </x:c>
      <x:c r="J46" s="145" t="str">
        <x:v>MVP</x:v>
      </x:c>
      <x:c r="K46" s="145"/>
    </x:row>
    <x:row r="47" ht="34" customHeight="1">
      <x:c r="A47" s="145" t="str">
        <x:v>REF-PAR-005</x:v>
      </x:c>
      <x:c r="B47" s="145" t="str">
        <x:v>Référentiels</x:v>
      </x:c>
      <x:c r="C47" s="145" t="str">
        <x:v>Gérer les dépenses fixes récurrentes</x:v>
      </x:c>
      <x:c r="D47" s="145" t="str">
        <x:v>Référentiels &gt; Paramètres</x:v>
      </x:c>
      <x:c r="E47" s="145" t="str">
        <x:v>Fiche / action contextuelle</x:v>
      </x:c>
      <x:c r="F47" s="145" t="str">
        <x:v>Fiche concernée</x:v>
      </x:c>
      <x:c r="G47" s="145" t="str">
        <x:v>Directe dans l’écran</x:v>
      </x:c>
      <x:c r="H47" s="145" t="str">
        <x:v>Régulière</x:v>
      </x:c>
      <x:c r="I47" s="145" t="str">
        <x:f>OPERATIONS!H47</x:f>
        <x:v>À conserver</x:v>
      </x:c>
      <x:c r="J47" s="145" t="str">
        <x:v>MVP</x:v>
      </x:c>
      <x:c r="K47" s="145"/>
    </x:row>
    <x:row r="48" ht="34" customHeight="1">
      <x:c r="A48" s="145" t="str">
        <x:v>REF-PAR-006</x:v>
      </x:c>
      <x:c r="B48" s="145" t="str">
        <x:v>Référentiels</x:v>
      </x:c>
      <x:c r="C48" s="145" t="str">
        <x:v>Gérer les seuils d’alerte trésorerie</x:v>
      </x:c>
      <x:c r="D48" s="145" t="str">
        <x:v>Référentiels &gt; Paramètres</x:v>
      </x:c>
      <x:c r="E48" s="145" t="str">
        <x:v>Fiche / action contextuelle</x:v>
      </x:c>
      <x:c r="F48" s="145" t="str">
        <x:v>Fiche concernée</x:v>
      </x:c>
      <x:c r="G48" s="145" t="str">
        <x:v>Directe dans l’écran</x:v>
      </x:c>
      <x:c r="H48" s="145" t="str">
        <x:v>Régulière</x:v>
      </x:c>
      <x:c r="I48" s="145" t="str">
        <x:f>OPERATIONS!H48</x:f>
        <x:v>À conserver</x:v>
      </x:c>
      <x:c r="J48" s="145" t="str">
        <x:v>V2</x:v>
      </x:c>
      <x:c r="K48" s="145"/>
    </x:row>
    <x:row r="49" ht="34" customHeight="1">
      <x:c r="A49" s="145" t="str">
        <x:v>SRC-001</x:v>
      </x:c>
      <x:c r="B49" s="145" t="str">
        <x:v>Données sources</x:v>
      </x:c>
      <x:c r="C49" s="145" t="str">
        <x:v>Lancer l’actualisation Hostaway</x:v>
      </x:c>
      <x:c r="D49" s="145" t="str">
        <x:v>Outils &amp; sources &gt; Hostaway &amp; calculs</x:v>
      </x:c>
      <x:c r="E49" s="145" t="str">
        <x:v>Bouton primaire</x:v>
      </x:c>
      <x:c r="F49" s="145" t="str">
        <x:v>En-tête de page, bouton à droite</x:v>
      </x:c>
      <x:c r="G49" s="145" t="str">
        <x:v>Directe dans l’écran</x:v>
      </x:c>
      <x:c r="H49" s="145" t="str">
        <x:v>Régulière</x:v>
      </x:c>
      <x:c r="I49" s="145" t="str">
        <x:f>OPERATIONS!H49</x:f>
        <x:v>À conserver</x:v>
      </x:c>
      <x:c r="J49" s="145" t="str">
        <x:v>MVP</x:v>
      </x:c>
      <x:c r="K49" s="145"/>
    </x:row>
    <x:row r="50" ht="34" customHeight="1">
      <x:c r="A50" s="145" t="str">
        <x:v>SRC-002</x:v>
      </x:c>
      <x:c r="B50" s="145" t="str">
        <x:v>Données sources</x:v>
      </x:c>
      <x:c r="C50" s="145" t="str">
        <x:v>Consulter le résultat d’une actualisation</x:v>
      </x:c>
      <x:c r="D50" s="145" t="str">
        <x:v>Outils &amp; sources &gt; Hostaway &amp; calculs</x:v>
      </x:c>
      <x:c r="E50" s="145" t="str">
        <x:v>Vue / filtre</x:v>
      </x:c>
      <x:c r="F50" s="145" t="str">
        <x:v>Vue liste, filtre enregistré ou onglet de fiche</x:v>
      </x:c>
      <x:c r="G50" s="145" t="str">
        <x:v>Directe via liste / filtre</x:v>
      </x:c>
      <x:c r="H50" s="145" t="str">
        <x:v>Régulière</x:v>
      </x:c>
      <x:c r="I50" s="145" t="str">
        <x:f>OPERATIONS!H50</x:f>
        <x:v>À conserver</x:v>
      </x:c>
      <x:c r="J50" s="145" t="str">
        <x:v>MVP</x:v>
      </x:c>
      <x:c r="K50" s="145"/>
    </x:row>
    <x:row r="51" ht="34" customHeight="1">
      <x:c r="A51" s="145" t="str">
        <x:v>SRC-003</x:v>
      </x:c>
      <x:c r="B51" s="145" t="str">
        <x:v>Données sources</x:v>
      </x:c>
      <x:c r="C51" s="145" t="str">
        <x:v>Relancer les calculs du pipeline</x:v>
      </x:c>
      <x:c r="D51" s="145" t="str">
        <x:v>Outils &amp; sources &gt; Hostaway &amp; calculs</x:v>
      </x:c>
      <x:c r="E51" s="145" t="str">
        <x:v>Fiche / action contextuelle</x:v>
      </x:c>
      <x:c r="F51" s="145" t="str">
        <x:v>Fiche concernée</x:v>
      </x:c>
      <x:c r="G51" s="145" t="str">
        <x:v>Directe dans l’écran</x:v>
      </x:c>
      <x:c r="H51" s="145" t="str">
        <x:v>Régulière</x:v>
      </x:c>
      <x:c r="I51" s="145" t="str">
        <x:f>OPERATIONS!H51</x:f>
        <x:v>À conserver</x:v>
      </x:c>
      <x:c r="J51" s="145" t="str">
        <x:v>MVP</x:v>
      </x:c>
      <x:c r="K51" s="145"/>
    </x:row>
    <x:row r="52" ht="34" customHeight="1">
      <x:c r="A52" s="145" t="str">
        <x:v>SRC-004</x:v>
      </x:c>
      <x:c r="B52" s="145" t="str">
        <x:v>Données sources</x:v>
      </x:c>
      <x:c r="C52" s="145" t="str">
        <x:v>Consulter les anomalies de source</x:v>
      </x:c>
      <x:c r="D52" s="145" t="str">
        <x:v>Outils &amp; sources &gt; Anomalies source</x:v>
      </x:c>
      <x:c r="E52" s="145" t="str">
        <x:v>Vue / filtre</x:v>
      </x:c>
      <x:c r="F52" s="145" t="str">
        <x:v>Vue liste, filtre enregistré ou onglet de fiche</x:v>
      </x:c>
      <x:c r="G52" s="145" t="str">
        <x:v>Directe via liste / filtre</x:v>
      </x:c>
      <x:c r="H52" s="145" t="str">
        <x:v>Régulière</x:v>
      </x:c>
      <x:c r="I52" s="145" t="str">
        <x:f>OPERATIONS!H52</x:f>
        <x:v>À conserver</x:v>
      </x:c>
      <x:c r="J52" s="145" t="str">
        <x:v>MVP</x:v>
      </x:c>
      <x:c r="K52" s="145"/>
    </x:row>
    <x:row r="53" ht="34" customHeight="1">
      <x:c r="A53" s="145" t="str">
        <x:v>SRC-005</x:v>
      </x:c>
      <x:c r="B53" s="145" t="str">
        <x:v>Données sources</x:v>
      </x:c>
      <x:c r="C53" s="145" t="str">
        <x:v>Corriger une donnée de correspondance</x:v>
      </x:c>
      <x:c r="D53" s="145" t="str">
        <x:v>Outils &amp; sources &gt; Anomalies source</x:v>
      </x:c>
      <x:c r="E53" s="145" t="str">
        <x:v>Fiche / action contextuelle</x:v>
      </x:c>
      <x:c r="F53" s="145" t="str">
        <x:v>Détail de la ligne / fiche concernée</x:v>
      </x:c>
      <x:c r="G53" s="145" t="str">
        <x:v>Directe dans l’écran</x:v>
      </x:c>
      <x:c r="H53" s="145" t="str">
        <x:v>Régulière</x:v>
      </x:c>
      <x:c r="I53" s="145" t="str">
        <x:f>OPERATIONS!H53</x:f>
        <x:v>À conserver</x:v>
      </x:c>
      <x:c r="J53" s="145" t="str">
        <x:v>MVP</x:v>
      </x:c>
      <x:c r="K53" s="145"/>
    </x:row>
    <x:row r="54" ht="34" customHeight="1">
      <x:c r="A54" s="145" t="str">
        <x:v>SRC-006</x:v>
      </x:c>
      <x:c r="B54" s="145" t="str">
        <x:v>Données sources</x:v>
      </x:c>
      <x:c r="C54" s="145" t="str">
        <x:v>Exporter les tables de pilotage</x:v>
      </x:c>
      <x:c r="D54" s="145" t="str">
        <x:v>Outils &amp; sources &gt; Hostaway &amp; calculs</x:v>
      </x:c>
      <x:c r="E54" s="145" t="str">
        <x:v>Fiche / action contextuelle</x:v>
      </x:c>
      <x:c r="F54" s="145" t="str">
        <x:v>Fiche concernée</x:v>
      </x:c>
      <x:c r="G54" s="145" t="str">
        <x:v>Directe dans l’écran</x:v>
      </x:c>
      <x:c r="H54" s="145" t="str">
        <x:v>Rare</x:v>
      </x:c>
      <x:c r="I54" s="145" t="str">
        <x:f>OPERATIONS!H54</x:f>
        <x:v>À conserver</x:v>
      </x:c>
      <x:c r="J54" s="145" t="str">
        <x:v>V2</x:v>
      </x:c>
      <x:c r="K54" s="145"/>
    </x:row>
    <x:row r="55" ht="34" customHeight="1">
      <x:c r="A55" s="145" t="str">
        <x:v>RES-HH-001</x:v>
      </x:c>
      <x:c r="B55" s="145" t="str">
        <x:v>Réservations</x:v>
      </x:c>
      <x:c r="C55" s="145" t="str">
        <x:v>Créer une réservation hors Hostaway</x:v>
      </x:c>
      <x:c r="D55" s="145" t="str">
        <x:v>Activité &gt; Réservations hors Hostaway</x:v>
      </x:c>
      <x:c r="E55" s="145" t="str">
        <x:v>Bouton primaire</x:v>
      </x:c>
      <x:c r="F55" s="145" t="str">
        <x:v>En-tête de page, bouton à droite</x:v>
      </x:c>
      <x:c r="G55" s="145" t="str">
        <x:v>Directe dans l’écran</x:v>
      </x:c>
      <x:c r="H55" s="145" t="str">
        <x:v>Régulière</x:v>
      </x:c>
      <x:c r="I55" s="145" t="str">
        <x:f>OPERATIONS!H55</x:f>
        <x:v>À conserver</x:v>
      </x:c>
      <x:c r="J55" s="145" t="str">
        <x:v>MVP</x:v>
      </x:c>
      <x:c r="K55" s="145"/>
    </x:row>
    <x:row r="56" ht="34" customHeight="1">
      <x:c r="A56" s="145" t="str">
        <x:v>RES-HH-002</x:v>
      </x:c>
      <x:c r="B56" s="145" t="str">
        <x:v>Réservations</x:v>
      </x:c>
      <x:c r="C56" s="145" t="str">
        <x:v>Modifier une réservation hors Hostaway</x:v>
      </x:c>
      <x:c r="D56" s="145" t="str">
        <x:v>Activité &gt; Réservations hors Hostaway</x:v>
      </x:c>
      <x:c r="E56" s="145" t="str">
        <x:v>Fiche / action contextuelle</x:v>
      </x:c>
      <x:c r="F56" s="145" t="str">
        <x:v>Fiche concernée</x:v>
      </x:c>
      <x:c r="G56" s="145" t="str">
        <x:v>Directe dans l’écran</x:v>
      </x:c>
      <x:c r="H56" s="145" t="str">
        <x:v>Régulière</x:v>
      </x:c>
      <x:c r="I56" s="145" t="str">
        <x:f>OPERATIONS!H56</x:f>
        <x:v>À conserver</x:v>
      </x:c>
      <x:c r="J56" s="145" t="str">
        <x:v>MVP</x:v>
      </x:c>
      <x:c r="K56" s="145"/>
    </x:row>
    <x:row r="57" ht="34" customHeight="1">
      <x:c r="A57" s="145" t="str">
        <x:v>RES-HH-003</x:v>
      </x:c>
      <x:c r="B57" s="145" t="str">
        <x:v>Réservations</x:v>
      </x:c>
      <x:c r="C57" s="145" t="str">
        <x:v>Annuler une réservation hors Hostaway</x:v>
      </x:c>
      <x:c r="D57" s="145" t="str">
        <x:v>Activité &gt; Réservations hors Hostaway</x:v>
      </x:c>
      <x:c r="E57" s="145" t="str">
        <x:v>Actions avancées</x:v>
      </x:c>
      <x:c r="F57" s="145" t="str">
        <x:v>Fiche concernée &gt; menu « Actions avancées »</x:v>
      </x:c>
      <x:c r="G57" s="145" t="str">
        <x:v>Secondaire protégée</x:v>
      </x:c>
      <x:c r="H57" s="145" t="str">
        <x:v>Rare</x:v>
      </x:c>
      <x:c r="I57" s="145" t="str">
        <x:f>OPERATIONS!H57</x:f>
        <x:v>À conserver</x:v>
      </x:c>
      <x:c r="J57" s="145" t="str">
        <x:v>MVP</x:v>
      </x:c>
      <x:c r="K57" s="145"/>
    </x:row>
    <x:row r="58" ht="34" customHeight="1">
      <x:c r="A58" s="145" t="str">
        <x:v>RES-HH-004</x:v>
      </x:c>
      <x:c r="B58" s="145" t="str">
        <x:v>Réservations</x:v>
      </x:c>
      <x:c r="C58" s="145" t="str">
        <x:v>Saisir un acompte</x:v>
      </x:c>
      <x:c r="D58" s="145" t="str">
        <x:v>Activité &gt; Réservations hors Hostaway</x:v>
      </x:c>
      <x:c r="E58" s="145" t="str">
        <x:v>Bouton primaire</x:v>
      </x:c>
      <x:c r="F58" s="145" t="str">
        <x:v>En-tête de page, bouton à droite</x:v>
      </x:c>
      <x:c r="G58" s="145" t="str">
        <x:v>Directe dans l’écran</x:v>
      </x:c>
      <x:c r="H58" s="145" t="str">
        <x:v>Régulière</x:v>
      </x:c>
      <x:c r="I58" s="145" t="str">
        <x:f>OPERATIONS!H58</x:f>
        <x:v>À conserver</x:v>
      </x:c>
      <x:c r="J58" s="145" t="str">
        <x:v>MVP</x:v>
      </x:c>
      <x:c r="K58" s="145"/>
    </x:row>
    <x:row r="59" ht="34" customHeight="1">
      <x:c r="A59" s="145" t="str">
        <x:v>RES-HH-005</x:v>
      </x:c>
      <x:c r="B59" s="145" t="str">
        <x:v>Réservations</x:v>
      </x:c>
      <x:c r="C59" s="145" t="str">
        <x:v>Saisir un paiement ou solde voyageur</x:v>
      </x:c>
      <x:c r="D59" s="145" t="str">
        <x:v>Activité &gt; Réservations hors Hostaway</x:v>
      </x:c>
      <x:c r="E59" s="145" t="str">
        <x:v>Bouton primaire</x:v>
      </x:c>
      <x:c r="F59" s="145" t="str">
        <x:v>En-tête de page, bouton à droite</x:v>
      </x:c>
      <x:c r="G59" s="145" t="str">
        <x:v>Directe dans l’écran</x:v>
      </x:c>
      <x:c r="H59" s="145" t="str">
        <x:v>Régulière</x:v>
      </x:c>
      <x:c r="I59" s="145" t="str">
        <x:f>OPERATIONS!H59</x:f>
        <x:v>À conserver</x:v>
      </x:c>
      <x:c r="J59" s="145" t="str">
        <x:v>MVP</x:v>
      </x:c>
      <x:c r="K59" s="145"/>
    </x:row>
    <x:row r="60" ht="34" customHeight="1">
      <x:c r="A60" s="145" t="str">
        <x:v>RES-HH-006</x:v>
      </x:c>
      <x:c r="B60" s="145" t="str">
        <x:v>Réservations</x:v>
      </x:c>
      <x:c r="C60" s="145" t="str">
        <x:v>Rattacher un justificatif</x:v>
      </x:c>
      <x:c r="D60" s="145" t="str">
        <x:v>Activité &gt; Réservations hors Hostaway</x:v>
      </x:c>
      <x:c r="E60" s="145" t="str">
        <x:v>Fiche / action contextuelle</x:v>
      </x:c>
      <x:c r="F60" s="145" t="str">
        <x:v>Détail de la ligne / fiche concernée</x:v>
      </x:c>
      <x:c r="G60" s="145" t="str">
        <x:v>Directe dans l’écran</x:v>
      </x:c>
      <x:c r="H60" s="145" t="str">
        <x:v>Régulière</x:v>
      </x:c>
      <x:c r="I60" s="145" t="str">
        <x:f>OPERATIONS!H60</x:f>
        <x:v>À conserver</x:v>
      </x:c>
      <x:c r="J60" s="145" t="str">
        <x:v>V2</x:v>
      </x:c>
      <x:c r="K60" s="145"/>
    </x:row>
    <x:row r="61" ht="34" customHeight="1">
      <x:c r="A61" s="145" t="str">
        <x:v>RES-HH-007</x:v>
      </x:c>
      <x:c r="B61" s="145" t="str">
        <x:v>Réservations</x:v>
      </x:c>
      <x:c r="C61" s="145" t="str">
        <x:v>Rattacher la réservation à un ménage attendu</x:v>
      </x:c>
      <x:c r="D61" s="145" t="str">
        <x:v>Activité &gt; Réservations hors Hostaway</x:v>
      </x:c>
      <x:c r="E61" s="145" t="str">
        <x:v>Fiche / action contextuelle</x:v>
      </x:c>
      <x:c r="F61" s="145" t="str">
        <x:v>Détail de la ligne / fiche concernée</x:v>
      </x:c>
      <x:c r="G61" s="145" t="str">
        <x:v>Directe dans l’écran</x:v>
      </x:c>
      <x:c r="H61" s="145" t="str">
        <x:v>Régulière</x:v>
      </x:c>
      <x:c r="I61" s="145" t="str">
        <x:f>OPERATIONS!H61</x:f>
        <x:v>À conserver</x:v>
      </x:c>
      <x:c r="J61" s="145" t="str">
        <x:v>MVP</x:v>
      </x:c>
      <x:c r="K61" s="145"/>
    </x:row>
    <x:row r="62" ht="34" customHeight="1">
      <x:c r="A62" s="145" t="str">
        <x:v>RES-HH-008</x:v>
      </x:c>
      <x:c r="B62" s="145" t="str">
        <x:v>Réservations</x:v>
      </x:c>
      <x:c r="C62" s="145" t="str">
        <x:v>Rattacher une réservation à une facture ou un relevé</x:v>
      </x:c>
      <x:c r="D62" s="145" t="str">
        <x:v>Activité &gt; Réservations hors Hostaway</x:v>
      </x:c>
      <x:c r="E62" s="145" t="str">
        <x:v>Fiche / action contextuelle</x:v>
      </x:c>
      <x:c r="F62" s="145" t="str">
        <x:v>Détail de la ligne / fiche concernée</x:v>
      </x:c>
      <x:c r="G62" s="145" t="str">
        <x:v>Directe dans l’écran</x:v>
      </x:c>
      <x:c r="H62" s="145" t="str">
        <x:v>Régulière</x:v>
      </x:c>
      <x:c r="I62" s="145" t="str">
        <x:f>OPERATIONS!H62</x:f>
        <x:v>À conserver</x:v>
      </x:c>
      <x:c r="J62" s="145" t="str">
        <x:v>MVP</x:v>
      </x:c>
      <x:c r="K62" s="145"/>
    </x:row>
    <x:row r="63" ht="34" customHeight="1">
      <x:c r="A63" s="145" t="str">
        <x:v>RES-HH-009</x:v>
      </x:c>
      <x:c r="B63" s="145" t="str">
        <x:v>Réservations</x:v>
      </x:c>
      <x:c r="C63" s="145" t="str">
        <x:v>Détecter un doublon de réservation</x:v>
      </x:c>
      <x:c r="D63" s="145" t="str">
        <x:v>Activité &gt; Réservations hors Hostaway</x:v>
      </x:c>
      <x:c r="E63" s="145" t="str">
        <x:v>Fiche / action contextuelle</x:v>
      </x:c>
      <x:c r="F63" s="145" t="str">
        <x:v>Fiche concernée</x:v>
      </x:c>
      <x:c r="G63" s="145" t="str">
        <x:v>Directe dans l’écran</x:v>
      </x:c>
      <x:c r="H63" s="145" t="str">
        <x:v>Régulière</x:v>
      </x:c>
      <x:c r="I63" s="145" t="str">
        <x:f>OPERATIONS!H63</x:f>
        <x:v>À conserver</x:v>
      </x:c>
      <x:c r="J63" s="145" t="str">
        <x:v>MVP</x:v>
      </x:c>
      <x:c r="K63" s="145"/>
    </x:row>
    <x:row r="64" ht="34" customHeight="1">
      <x:c r="A64" s="145" t="str">
        <x:v>RES-HH-010</x:v>
      </x:c>
      <x:c r="B64" s="145" t="str">
        <x:v>Réservations</x:v>
      </x:c>
      <x:c r="C64" s="145" t="str">
        <x:v>Consulter le suivi financier de la réservation</x:v>
      </x:c>
      <x:c r="D64" s="145" t="str">
        <x:v>Activité &gt; Réservations hors Hostaway</x:v>
      </x:c>
      <x:c r="E64" s="145" t="str">
        <x:v>Vue / filtre</x:v>
      </x:c>
      <x:c r="F64" s="145" t="str">
        <x:v>Vue liste, filtre enregistré ou onglet de fiche</x:v>
      </x:c>
      <x:c r="G64" s="145" t="str">
        <x:v>Directe via liste / filtre</x:v>
      </x:c>
      <x:c r="H64" s="145" t="str">
        <x:v>Régulière</x:v>
      </x:c>
      <x:c r="I64" s="145" t="str">
        <x:f>OPERATIONS!H64</x:f>
        <x:v>À conserver</x:v>
      </x:c>
      <x:c r="J64" s="145" t="str">
        <x:v>MVP</x:v>
      </x:c>
      <x:c r="K64" s="145"/>
    </x:row>
    <x:row r="65" ht="34" customHeight="1">
      <x:c r="A65" s="145" t="str">
        <x:v>FAC-PRO-001</x:v>
      </x:c>
      <x:c r="B65" s="145" t="str">
        <x:v>Facturation</x:v>
      </x:c>
      <x:c r="C65" s="145" t="str">
        <x:v>Générer un document mensuel propriétaire-logement</x:v>
      </x:c>
      <x:c r="D65" s="145" t="str">
        <x:v>Facturation &amp; paiements &gt; Relevés propriétaires</x:v>
      </x:c>
      <x:c r="E65" s="145" t="str">
        <x:v>Bouton primaire</x:v>
      </x:c>
      <x:c r="F65" s="145" t="str">
        <x:v>En-tête de page, bouton à droite</x:v>
      </x:c>
      <x:c r="G65" s="145" t="str">
        <x:v>Directe dans l’écran</x:v>
      </x:c>
      <x:c r="H65" s="145" t="str">
        <x:v>Mensuelle / ponctuelle</x:v>
      </x:c>
      <x:c r="I65" s="145" t="str">
        <x:f>OPERATIONS!H65</x:f>
        <x:v>À conserver</x:v>
      </x:c>
      <x:c r="J65" s="145" t="str">
        <x:v>MVP</x:v>
      </x:c>
      <x:c r="K65" s="145"/>
    </x:row>
    <x:row r="66" ht="34" customHeight="1">
      <x:c r="A66" s="145" t="str">
        <x:v>FAC-PRO-002</x:v>
      </x:c>
      <x:c r="B66" s="145" t="str">
        <x:v>Facturation</x:v>
      </x:c>
      <x:c r="C66" s="145" t="str">
        <x:v>Consulter le détail d’un document</x:v>
      </x:c>
      <x:c r="D66" s="145" t="str">
        <x:v>Facturation &amp; paiements &gt; Relevés propriétaires</x:v>
      </x:c>
      <x:c r="E66" s="145" t="str">
        <x:v>Vue / filtre</x:v>
      </x:c>
      <x:c r="F66" s="145" t="str">
        <x:v>Vue liste, filtre enregistré ou onglet de fiche</x:v>
      </x:c>
      <x:c r="G66" s="145" t="str">
        <x:v>Directe via liste / filtre</x:v>
      </x:c>
      <x:c r="H66" s="145" t="str">
        <x:v>Régulière</x:v>
      </x:c>
      <x:c r="I66" s="145" t="str">
        <x:f>OPERATIONS!H66</x:f>
        <x:v>À conserver</x:v>
      </x:c>
      <x:c r="J66" s="145" t="str">
        <x:v>MVP</x:v>
      </x:c>
      <x:c r="K66" s="145"/>
    </x:row>
    <x:row r="67" ht="34" customHeight="1">
      <x:c r="A67" s="145" t="str">
        <x:v>FAC-PRO-003</x:v>
      </x:c>
      <x:c r="B67" s="145" t="str">
        <x:v>Facturation</x:v>
      </x:c>
      <x:c r="C67" s="145" t="str">
        <x:v>Ajouter un ajustement manuel structuré</x:v>
      </x:c>
      <x:c r="D67" s="145" t="str">
        <x:v>Facturation &amp; paiements &gt; Relevés propriétaires</x:v>
      </x:c>
      <x:c r="E67" s="145" t="str">
        <x:v>Bouton primaire</x:v>
      </x:c>
      <x:c r="F67" s="145" t="str">
        <x:v>En-tête de page, bouton à droite</x:v>
      </x:c>
      <x:c r="G67" s="145" t="str">
        <x:v>Directe dans l’écran</x:v>
      </x:c>
      <x:c r="H67" s="145" t="str">
        <x:v>Régulière</x:v>
      </x:c>
      <x:c r="I67" s="145" t="str">
        <x:f>OPERATIONS!H67</x:f>
        <x:v>À conserver</x:v>
      </x:c>
      <x:c r="J67" s="145" t="str">
        <x:v>MVP</x:v>
      </x:c>
      <x:c r="K67" s="145"/>
    </x:row>
    <x:row r="68" ht="34" customHeight="1">
      <x:c r="A68" s="145" t="str">
        <x:v>FAC-PRO-004</x:v>
      </x:c>
      <x:c r="B68" s="145" t="str">
        <x:v>Facturation</x:v>
      </x:c>
      <x:c r="C68" s="145" t="str">
        <x:v>Ajouter un reversement Airbnb</x:v>
      </x:c>
      <x:c r="D68" s="145" t="str">
        <x:v>Facturation &amp; paiements &gt; Relevés propriétaires</x:v>
      </x:c>
      <x:c r="E68" s="145" t="str">
        <x:v>Bouton primaire</x:v>
      </x:c>
      <x:c r="F68" s="145" t="str">
        <x:v>En-tête de page, bouton à droite</x:v>
      </x:c>
      <x:c r="G68" s="145" t="str">
        <x:v>Directe dans l’écran</x:v>
      </x:c>
      <x:c r="H68" s="145" t="str">
        <x:v>Régulière</x:v>
      </x:c>
      <x:c r="I68" s="145" t="str">
        <x:f>OPERATIONS!H68</x:f>
        <x:v>À conserver</x:v>
      </x:c>
      <x:c r="J68" s="145" t="str">
        <x:v>MVP</x:v>
      </x:c>
      <x:c r="K68" s="145"/>
    </x:row>
    <x:row r="69" ht="34" customHeight="1">
      <x:c r="A69" s="145" t="str">
        <x:v>FAC-PRO-005</x:v>
      </x:c>
      <x:c r="B69" s="145" t="str">
        <x:v>Facturation</x:v>
      </x:c>
      <x:c r="C69" s="145" t="str">
        <x:v>Ajouter ou gérer un dossier AirCover</x:v>
      </x:c>
      <x:c r="D69" s="145" t="str">
        <x:v>Facturation &amp; paiements &gt; Relevés propriétaires</x:v>
      </x:c>
      <x:c r="E69" s="145" t="str">
        <x:v>Bouton primaire</x:v>
      </x:c>
      <x:c r="F69" s="145" t="str">
        <x:v>En-tête de page, bouton à droite</x:v>
      </x:c>
      <x:c r="G69" s="145" t="str">
        <x:v>Directe dans l’écran</x:v>
      </x:c>
      <x:c r="H69" s="145" t="str">
        <x:v>Régulière</x:v>
      </x:c>
      <x:c r="I69" s="145" t="str">
        <x:f>OPERATIONS!H69</x:f>
        <x:v>À conserver</x:v>
      </x:c>
      <x:c r="J69" s="145" t="str">
        <x:v>MVP</x:v>
      </x:c>
      <x:c r="K69" s="145"/>
    </x:row>
    <x:row r="70" ht="34" customHeight="1">
      <x:c r="A70" s="145" t="str">
        <x:v>FAC-PRO-006</x:v>
      </x:c>
      <x:c r="B70" s="145" t="str">
        <x:v>Facturation</x:v>
      </x:c>
      <x:c r="C70" s="145" t="str">
        <x:v>Ajouter un acompte ou montant déjà reçu</x:v>
      </x:c>
      <x:c r="D70" s="145" t="str">
        <x:v>Facturation &amp; paiements &gt; Relevés propriétaires</x:v>
      </x:c>
      <x:c r="E70" s="145" t="str">
        <x:v>Bouton primaire</x:v>
      </x:c>
      <x:c r="F70" s="145" t="str">
        <x:v>En-tête de page, bouton à droite</x:v>
      </x:c>
      <x:c r="G70" s="145" t="str">
        <x:v>Directe dans l’écran</x:v>
      </x:c>
      <x:c r="H70" s="145" t="str">
        <x:v>Régulière</x:v>
      </x:c>
      <x:c r="I70" s="145" t="str">
        <x:f>OPERATIONS!H70</x:f>
        <x:v>À conserver</x:v>
      </x:c>
      <x:c r="J70" s="145" t="str">
        <x:v>MVP</x:v>
      </x:c>
      <x:c r="K70" s="145"/>
    </x:row>
    <x:row r="71" ht="34" customHeight="1">
      <x:c r="A71" s="145" t="str">
        <x:v>FAC-PRO-007</x:v>
      </x:c>
      <x:c r="B71" s="145" t="str">
        <x:v>Facturation</x:v>
      </x:c>
      <x:c r="C71" s="145" t="str">
        <x:v>Ajouter une charge existante à un document</x:v>
      </x:c>
      <x:c r="D71" s="145" t="str">
        <x:v>Facturation &amp; paiements &gt; Relevés propriétaires</x:v>
      </x:c>
      <x:c r="E71" s="145" t="str">
        <x:v>Bouton primaire</x:v>
      </x:c>
      <x:c r="F71" s="145" t="str">
        <x:v>En-tête de page, bouton à droite</x:v>
      </x:c>
      <x:c r="G71" s="145" t="str">
        <x:v>Directe dans l’écran</x:v>
      </x:c>
      <x:c r="H71" s="145" t="str">
        <x:v>Régulière</x:v>
      </x:c>
      <x:c r="I71" s="145" t="str">
        <x:f>OPERATIONS!H71</x:f>
        <x:v>À conserver</x:v>
      </x:c>
      <x:c r="J71" s="145" t="str">
        <x:v>MVP</x:v>
      </x:c>
      <x:c r="K71" s="145"/>
    </x:row>
    <x:row r="72" ht="34" customHeight="1">
      <x:c r="A72" s="145" t="str">
        <x:v>FAC-PRO-008</x:v>
      </x:c>
      <x:c r="B72" s="145" t="str">
        <x:v>Facturation</x:v>
      </x:c>
      <x:c r="C72" s="145" t="str">
        <x:v>Ajouter un extra absent des charges</x:v>
      </x:c>
      <x:c r="D72" s="145" t="str">
        <x:v>Facturation &amp; paiements &gt; Relevés propriétaires</x:v>
      </x:c>
      <x:c r="E72" s="145" t="str">
        <x:v>Bouton primaire</x:v>
      </x:c>
      <x:c r="F72" s="145" t="str">
        <x:v>En-tête de page, bouton à droite</x:v>
      </x:c>
      <x:c r="G72" s="145" t="str">
        <x:v>Directe dans l’écran</x:v>
      </x:c>
      <x:c r="H72" s="145" t="str">
        <x:v>Régulière</x:v>
      </x:c>
      <x:c r="I72" s="145" t="str">
        <x:f>OPERATIONS!H72</x:f>
        <x:v>À conserver</x:v>
      </x:c>
      <x:c r="J72" s="145" t="str">
        <x:v>MVP</x:v>
      </x:c>
      <x:c r="K72" s="145"/>
    </x:row>
    <x:row r="73" ht="34" customHeight="1">
      <x:c r="A73" s="145" t="str">
        <x:v>FAC-PRO-009</x:v>
      </x:c>
      <x:c r="B73" s="145" t="str">
        <x:v>Facturation</x:v>
      </x:c>
      <x:c r="C73" s="145" t="str">
        <x:v>Empêcher le double rattachement d’une charge</x:v>
      </x:c>
      <x:c r="D73" s="145" t="str">
        <x:v>Facturation &amp; paiements &gt; Relevés propriétaires</x:v>
      </x:c>
      <x:c r="E73" s="145" t="str">
        <x:v>Fiche / action contextuelle</x:v>
      </x:c>
      <x:c r="F73" s="145" t="str">
        <x:v>Fiche concernée</x:v>
      </x:c>
      <x:c r="G73" s="145" t="str">
        <x:v>Directe dans l’écran</x:v>
      </x:c>
      <x:c r="H73" s="145" t="str">
        <x:v>Régulière</x:v>
      </x:c>
      <x:c r="I73" s="145" t="str">
        <x:f>OPERATIONS!H73</x:f>
        <x:v>À conserver</x:v>
      </x:c>
      <x:c r="J73" s="145" t="str">
        <x:v>MVP</x:v>
      </x:c>
      <x:c r="K73" s="145"/>
    </x:row>
    <x:row r="74" ht="34" customHeight="1">
      <x:c r="A74" s="145" t="str">
        <x:v>FAC-PRO-010</x:v>
      </x:c>
      <x:c r="B74" s="145" t="str">
        <x:v>Facturation</x:v>
      </x:c>
      <x:c r="C74" s="145" t="str">
        <x:v>Modifier un brouillon</x:v>
      </x:c>
      <x:c r="D74" s="145" t="str">
        <x:v>Facturation &amp; paiements &gt; Relevés propriétaires</x:v>
      </x:c>
      <x:c r="E74" s="145" t="str">
        <x:v>Fiche / action contextuelle</x:v>
      </x:c>
      <x:c r="F74" s="145" t="str">
        <x:v>Fiche concernée</x:v>
      </x:c>
      <x:c r="G74" s="145" t="str">
        <x:v>Directe dans l’écran</x:v>
      </x:c>
      <x:c r="H74" s="145" t="str">
        <x:v>Régulière</x:v>
      </x:c>
      <x:c r="I74" s="145" t="str">
        <x:f>OPERATIONS!H74</x:f>
        <x:v>À conserver</x:v>
      </x:c>
      <x:c r="J74" s="145" t="str">
        <x:v>MVP</x:v>
      </x:c>
      <x:c r="K74" s="145"/>
    </x:row>
    <x:row r="75" ht="34" customHeight="1">
      <x:c r="A75" s="145" t="str">
        <x:v>FAC-PRO-011</x:v>
      </x:c>
      <x:c r="B75" s="145" t="str">
        <x:v>Facturation</x:v>
      </x:c>
      <x:c r="C75" s="145" t="str">
        <x:v>Valider un document</x:v>
      </x:c>
      <x:c r="D75" s="145" t="str">
        <x:v>Facturation &amp; paiements &gt; Relevés propriétaires</x:v>
      </x:c>
      <x:c r="E75" s="145" t="str">
        <x:v>Fiche / action contextuelle</x:v>
      </x:c>
      <x:c r="F75" s="145" t="str">
        <x:v>Détail de la ligne / fiche concernée</x:v>
      </x:c>
      <x:c r="G75" s="145" t="str">
        <x:v>Directe dans l’écran</x:v>
      </x:c>
      <x:c r="H75" s="145" t="str">
        <x:v>Régulière</x:v>
      </x:c>
      <x:c r="I75" s="145" t="str">
        <x:f>OPERATIONS!H75</x:f>
        <x:v>À conserver</x:v>
      </x:c>
      <x:c r="J75" s="145" t="str">
        <x:v>MVP</x:v>
      </x:c>
      <x:c r="K75" s="145"/>
    </x:row>
    <x:row r="76" ht="34" customHeight="1">
      <x:c r="A76" s="145" t="str">
        <x:v>FAC-PRO-012</x:v>
      </x:c>
      <x:c r="B76" s="145" t="str">
        <x:v>Facturation</x:v>
      </x:c>
      <x:c r="C76" s="145" t="str">
        <x:v>Émettre une facture ou un relevé final</x:v>
      </x:c>
      <x:c r="D76" s="145" t="str">
        <x:v>Facturation &amp; paiements &gt; Relevés propriétaires</x:v>
      </x:c>
      <x:c r="E76" s="145" t="str">
        <x:v>Fiche / action contextuelle</x:v>
      </x:c>
      <x:c r="F76" s="145" t="str">
        <x:v>Fiche concernée</x:v>
      </x:c>
      <x:c r="G76" s="145" t="str">
        <x:v>Directe dans l’écran</x:v>
      </x:c>
      <x:c r="H76" s="145" t="str">
        <x:v>Régulière</x:v>
      </x:c>
      <x:c r="I76" s="145" t="str">
        <x:f>OPERATIONS!H76</x:f>
        <x:v>À conserver</x:v>
      </x:c>
      <x:c r="J76" s="145" t="str">
        <x:v>MVP</x:v>
      </x:c>
      <x:c r="K76" s="145"/>
    </x:row>
    <x:row r="77" ht="34" customHeight="1">
      <x:c r="A77" s="145" t="str">
        <x:v>FAC-PRO-013</x:v>
      </x:c>
      <x:c r="B77" s="145" t="str">
        <x:v>Facturation</x:v>
      </x:c>
      <x:c r="C77" s="145" t="str">
        <x:v>Corriger un document émis</x:v>
      </x:c>
      <x:c r="D77" s="145" t="str">
        <x:v>Facturation &amp; paiements &gt; Relevés propriétaires</x:v>
      </x:c>
      <x:c r="E77" s="145" t="str">
        <x:v>Fiche / action contextuelle</x:v>
      </x:c>
      <x:c r="F77" s="145" t="str">
        <x:v>Détail de la ligne / fiche concernée</x:v>
      </x:c>
      <x:c r="G77" s="145" t="str">
        <x:v>Directe dans l’écran</x:v>
      </x:c>
      <x:c r="H77" s="145" t="str">
        <x:v>Régulière</x:v>
      </x:c>
      <x:c r="I77" s="145" t="str">
        <x:f>OPERATIONS!H77</x:f>
        <x:v>À conserver</x:v>
      </x:c>
      <x:c r="J77" s="145" t="str">
        <x:v>MVP</x:v>
      </x:c>
      <x:c r="K77" s="145"/>
    </x:row>
    <x:row r="78" ht="34" customHeight="1">
      <x:c r="A78" s="145" t="str">
        <x:v>FAC-PRO-014</x:v>
      </x:c>
      <x:c r="B78" s="145" t="str">
        <x:v>Facturation</x:v>
      </x:c>
      <x:c r="C78" s="145" t="str">
        <x:v>Enregistrer un reversement propriétaire</x:v>
      </x:c>
      <x:c r="D78" s="145" t="str">
        <x:v>Facturation &amp; paiements &gt; Relevés propriétaires</x:v>
      </x:c>
      <x:c r="E78" s="145" t="str">
        <x:v>Bouton primaire</x:v>
      </x:c>
      <x:c r="F78" s="145" t="str">
        <x:v>En-tête de page, bouton à droite</x:v>
      </x:c>
      <x:c r="G78" s="145" t="str">
        <x:v>Directe dans l’écran</x:v>
      </x:c>
      <x:c r="H78" s="145" t="str">
        <x:v>Régulière</x:v>
      </x:c>
      <x:c r="I78" s="145" t="str">
        <x:f>OPERATIONS!H78</x:f>
        <x:v>À conserver</x:v>
      </x:c>
      <x:c r="J78" s="145" t="str">
        <x:v>MVP</x:v>
      </x:c>
      <x:c r="K78" s="145"/>
    </x:row>
    <x:row r="79" ht="34" customHeight="1">
      <x:c r="A79" s="145" t="str">
        <x:v>FAC-PRO-015</x:v>
      </x:c>
      <x:c r="B79" s="145" t="str">
        <x:v>Facturation</x:v>
      </x:c>
      <x:c r="C79" s="145" t="str">
        <x:v>Suivre le solde à reverser</x:v>
      </x:c>
      <x:c r="D79" s="145" t="str">
        <x:v>Facturation &amp; paiements &gt; Relevés propriétaires</x:v>
      </x:c>
      <x:c r="E79" s="145" t="str">
        <x:v>Fiche / action contextuelle</x:v>
      </x:c>
      <x:c r="F79" s="145" t="str">
        <x:v>Fiche concernée</x:v>
      </x:c>
      <x:c r="G79" s="145" t="str">
        <x:v>Directe dans l’écran</x:v>
      </x:c>
      <x:c r="H79" s="145" t="str">
        <x:v>Régulière</x:v>
      </x:c>
      <x:c r="I79" s="145" t="str">
        <x:f>OPERATIONS!H79</x:f>
        <x:v>À conserver</x:v>
      </x:c>
      <x:c r="J79" s="145" t="str">
        <x:v>MVP</x:v>
      </x:c>
      <x:c r="K79" s="145"/>
    </x:row>
    <x:row r="80" ht="34" customHeight="1">
      <x:c r="A80" s="145" t="str">
        <x:v>FAC-PRO-016</x:v>
      </x:c>
      <x:c r="B80" s="145" t="str">
        <x:v>Facturation</x:v>
      </x:c>
      <x:c r="C80" s="145" t="str">
        <x:v>Exporter ou imprimer un document</x:v>
      </x:c>
      <x:c r="D80" s="145" t="str">
        <x:v>Facturation &amp; paiements &gt; Relevés propriétaires</x:v>
      </x:c>
      <x:c r="E80" s="145" t="str">
        <x:v>Fiche / action contextuelle</x:v>
      </x:c>
      <x:c r="F80" s="145" t="str">
        <x:v>Fiche concernée</x:v>
      </x:c>
      <x:c r="G80" s="145" t="str">
        <x:v>Directe dans l’écran</x:v>
      </x:c>
      <x:c r="H80" s="145" t="str">
        <x:v>Rare</x:v>
      </x:c>
      <x:c r="I80" s="145" t="str">
        <x:f>OPERATIONS!H80</x:f>
        <x:v>À conserver</x:v>
      </x:c>
      <x:c r="J80" s="145" t="str">
        <x:v>V2</x:v>
      </x:c>
      <x:c r="K80" s="145"/>
    </x:row>
    <x:row r="81" ht="34" customHeight="1">
      <x:c r="A81" s="145" t="str">
        <x:v>FAC-PRO-017</x:v>
      </x:c>
      <x:c r="B81" s="145" t="str">
        <x:v>Facturation</x:v>
      </x:c>
      <x:c r="C81" s="145" t="str">
        <x:v>Consulter l’historique des documents du propriétaire</x:v>
      </x:c>
      <x:c r="D81" s="145" t="str">
        <x:v>Facturation &amp; paiements &gt; Relevés propriétaires</x:v>
      </x:c>
      <x:c r="E81" s="145" t="str">
        <x:v>Vue / filtre</x:v>
      </x:c>
      <x:c r="F81" s="145" t="str">
        <x:v>Fiche concernée &gt; onglet dédié</x:v>
      </x:c>
      <x:c r="G81" s="145" t="str">
        <x:v>Directe via liste / filtre</x:v>
      </x:c>
      <x:c r="H81" s="145" t="str">
        <x:v>Régulière</x:v>
      </x:c>
      <x:c r="I81" s="145" t="str">
        <x:f>OPERATIONS!H81</x:f>
        <x:v>À conserver</x:v>
      </x:c>
      <x:c r="J81" s="145" t="str">
        <x:v>MVP</x:v>
      </x:c>
      <x:c r="K81" s="145"/>
    </x:row>
    <x:row r="82" ht="34" customHeight="1">
      <x:c r="A82" s="145" t="str">
        <x:v>FAC-CLI-001</x:v>
      </x:c>
      <x:c r="B82" s="145" t="str">
        <x:v>Facturation</x:v>
      </x:c>
      <x:c r="C82" s="145" t="str">
        <x:v>Créer une facture client</x:v>
      </x:c>
      <x:c r="D82" s="145" t="str">
        <x:v>Facturation &amp; paiements &gt; Factures clients</x:v>
      </x:c>
      <x:c r="E82" s="145" t="str">
        <x:v>Bouton primaire</x:v>
      </x:c>
      <x:c r="F82" s="145" t="str">
        <x:v>En-tête de page, bouton à droite</x:v>
      </x:c>
      <x:c r="G82" s="145" t="str">
        <x:v>Directe dans l’écran</x:v>
      </x:c>
      <x:c r="H82" s="145" t="str">
        <x:v>Régulière</x:v>
      </x:c>
      <x:c r="I82" s="145" t="str">
        <x:f>OPERATIONS!H82</x:f>
        <x:v>À conserver</x:v>
      </x:c>
      <x:c r="J82" s="145" t="str">
        <x:v>MVP</x:v>
      </x:c>
      <x:c r="K82" s="145"/>
    </x:row>
    <x:row r="83" ht="34" customHeight="1">
      <x:c r="A83" s="145" t="str">
        <x:v>FAC-CLI-002</x:v>
      </x:c>
      <x:c r="B83" s="145" t="str">
        <x:v>Facturation</x:v>
      </x:c>
      <x:c r="C83" s="145" t="str">
        <x:v>Modifier un brouillon de facture client</x:v>
      </x:c>
      <x:c r="D83" s="145" t="str">
        <x:v>Facturation &amp; paiements &gt; Factures clients</x:v>
      </x:c>
      <x:c r="E83" s="145" t="str">
        <x:v>Fiche / action contextuelle</x:v>
      </x:c>
      <x:c r="F83" s="145" t="str">
        <x:v>Fiche concernée</x:v>
      </x:c>
      <x:c r="G83" s="145" t="str">
        <x:v>Directe dans l’écran</x:v>
      </x:c>
      <x:c r="H83" s="145" t="str">
        <x:v>Régulière</x:v>
      </x:c>
      <x:c r="I83" s="145" t="str">
        <x:f>OPERATIONS!H83</x:f>
        <x:v>À conserver</x:v>
      </x:c>
      <x:c r="J83" s="145" t="str">
        <x:v>MVP</x:v>
      </x:c>
      <x:c r="K83" s="145"/>
    </x:row>
    <x:row r="84" ht="34" customHeight="1">
      <x:c r="A84" s="145" t="str">
        <x:v>FAC-CLI-003</x:v>
      </x:c>
      <x:c r="B84" s="145" t="str">
        <x:v>Facturation</x:v>
      </x:c>
      <x:c r="C84" s="145" t="str">
        <x:v>Émettre une facture client</x:v>
      </x:c>
      <x:c r="D84" s="145" t="str">
        <x:v>Facturation &amp; paiements &gt; Factures clients</x:v>
      </x:c>
      <x:c r="E84" s="145" t="str">
        <x:v>Fiche / action contextuelle</x:v>
      </x:c>
      <x:c r="F84" s="145" t="str">
        <x:v>Fiche concernée</x:v>
      </x:c>
      <x:c r="G84" s="145" t="str">
        <x:v>Directe dans l’écran</x:v>
      </x:c>
      <x:c r="H84" s="145" t="str">
        <x:v>Régulière</x:v>
      </x:c>
      <x:c r="I84" s="145" t="str">
        <x:f>OPERATIONS!H84</x:f>
        <x:v>À conserver</x:v>
      </x:c>
      <x:c r="J84" s="145" t="str">
        <x:v>MVP</x:v>
      </x:c>
      <x:c r="K84" s="145"/>
    </x:row>
    <x:row r="85" ht="34" customHeight="1">
      <x:c r="A85" s="145" t="str">
        <x:v>FAC-CLI-004</x:v>
      </x:c>
      <x:c r="B85" s="145" t="str">
        <x:v>Facturation</x:v>
      </x:c>
      <x:c r="C85" s="145" t="str">
        <x:v>Créer un avoir client</x:v>
      </x:c>
      <x:c r="D85" s="145" t="str">
        <x:v>Facturation &amp; paiements &gt; Factures clients</x:v>
      </x:c>
      <x:c r="E85" s="145" t="str">
        <x:v>Bouton primaire</x:v>
      </x:c>
      <x:c r="F85" s="145" t="str">
        <x:v>En-tête de page, bouton à droite</x:v>
      </x:c>
      <x:c r="G85" s="145" t="str">
        <x:v>Directe via liste / filtre</x:v>
      </x:c>
      <x:c r="H85" s="145" t="str">
        <x:v>Régulière</x:v>
      </x:c>
      <x:c r="I85" s="145" t="str">
        <x:f>OPERATIONS!H85</x:f>
        <x:v>À conserver</x:v>
      </x:c>
      <x:c r="J85" s="145" t="str">
        <x:v>MVP</x:v>
      </x:c>
      <x:c r="K85" s="145"/>
    </x:row>
    <x:row r="86" ht="34" customHeight="1">
      <x:c r="A86" s="145" t="str">
        <x:v>FAC-CLI-005</x:v>
      </x:c>
      <x:c r="B86" s="145" t="str">
        <x:v>Facturation</x:v>
      </x:c>
      <x:c r="C86" s="145" t="str">
        <x:v>Enregistrer un paiement client</x:v>
      </x:c>
      <x:c r="D86" s="145" t="str">
        <x:v>Facturation &amp; paiements &gt; Factures clients</x:v>
      </x:c>
      <x:c r="E86" s="145" t="str">
        <x:v>Bouton primaire</x:v>
      </x:c>
      <x:c r="F86" s="145" t="str">
        <x:v>En-tête de page, bouton à droite</x:v>
      </x:c>
      <x:c r="G86" s="145" t="str">
        <x:v>Directe dans l’écran</x:v>
      </x:c>
      <x:c r="H86" s="145" t="str">
        <x:v>Régulière</x:v>
      </x:c>
      <x:c r="I86" s="145" t="str">
        <x:f>OPERATIONS!H86</x:f>
        <x:v>À conserver</x:v>
      </x:c>
      <x:c r="J86" s="145" t="str">
        <x:v>MVP</x:v>
      </x:c>
      <x:c r="K86" s="145"/>
    </x:row>
    <x:row r="87" ht="34" customHeight="1">
      <x:c r="A87" s="145" t="str">
        <x:v>FAC-CLI-006</x:v>
      </x:c>
      <x:c r="B87" s="145" t="str">
        <x:v>Facturation</x:v>
      </x:c>
      <x:c r="C87" s="145" t="str">
        <x:v>Consulter les créances clients</x:v>
      </x:c>
      <x:c r="D87" s="145" t="str">
        <x:v>Facturation &amp; paiements &gt; Factures clients</x:v>
      </x:c>
      <x:c r="E87" s="145" t="str">
        <x:v>Vue / filtre</x:v>
      </x:c>
      <x:c r="F87" s="145" t="str">
        <x:v>Vue liste, filtre enregistré ou onglet de fiche</x:v>
      </x:c>
      <x:c r="G87" s="145" t="str">
        <x:v>Directe via liste / filtre</x:v>
      </x:c>
      <x:c r="H87" s="145" t="str">
        <x:v>Régulière</x:v>
      </x:c>
      <x:c r="I87" s="145" t="str">
        <x:f>OPERATIONS!H87</x:f>
        <x:v>À conserver</x:v>
      </x:c>
      <x:c r="J87" s="145" t="str">
        <x:v>MVP</x:v>
      </x:c>
      <x:c r="K87" s="145"/>
    </x:row>
    <x:row r="88" ht="34" customHeight="1">
      <x:c r="A88" s="145" t="str">
        <x:v>FAC-CLI-007</x:v>
      </x:c>
      <x:c r="B88" s="145" t="str">
        <x:v>Facturation</x:v>
      </x:c>
      <x:c r="C88" s="145" t="str">
        <x:v>Générer une relance client</x:v>
      </x:c>
      <x:c r="D88" s="145" t="str">
        <x:v>Facturation &amp; paiements &gt; Factures clients</x:v>
      </x:c>
      <x:c r="E88" s="145" t="str">
        <x:v>Bouton primaire</x:v>
      </x:c>
      <x:c r="F88" s="145" t="str">
        <x:v>En-tête de page, bouton à droite</x:v>
      </x:c>
      <x:c r="G88" s="145" t="str">
        <x:v>Directe dans l’écran</x:v>
      </x:c>
      <x:c r="H88" s="145" t="str">
        <x:v>Régulière</x:v>
      </x:c>
      <x:c r="I88" s="145" t="str">
        <x:f>OPERATIONS!H88</x:f>
        <x:v>À conserver</x:v>
      </x:c>
      <x:c r="J88" s="145" t="str">
        <x:v>V2</x:v>
      </x:c>
      <x:c r="K88" s="145"/>
    </x:row>
    <x:row r="89" ht="34" customHeight="1">
      <x:c r="A89" s="145" t="str">
        <x:v>FAC-CLI-008</x:v>
      </x:c>
      <x:c r="B89" s="145" t="str">
        <x:v>Facturation</x:v>
      </x:c>
      <x:c r="C89" s="145" t="str">
        <x:v>Tracer une relance envoyée</x:v>
      </x:c>
      <x:c r="D89" s="145" t="str">
        <x:v>Facturation &amp; paiements &gt; Factures clients</x:v>
      </x:c>
      <x:c r="E89" s="145" t="str">
        <x:v>Fiche / action contextuelle</x:v>
      </x:c>
      <x:c r="F89" s="145" t="str">
        <x:v>Fiche concernée</x:v>
      </x:c>
      <x:c r="G89" s="145" t="str">
        <x:v>Directe dans l’écran</x:v>
      </x:c>
      <x:c r="H89" s="145" t="str">
        <x:v>Régulière</x:v>
      </x:c>
      <x:c r="I89" s="145" t="str">
        <x:f>OPERATIONS!H89</x:f>
        <x:v>À conserver</x:v>
      </x:c>
      <x:c r="J89" s="145" t="str">
        <x:v>V2</x:v>
      </x:c>
      <x:c r="K89" s="145"/>
    </x:row>
    <x:row r="90" ht="34" customHeight="1">
      <x:c r="A90" s="145" t="str">
        <x:v>FAC-CLI-009</x:v>
      </x:c>
      <x:c r="B90" s="145" t="str">
        <x:v>Facturation</x:v>
      </x:c>
      <x:c r="C90" s="145" t="str">
        <x:v>Marquer une créance comme litigieuse ou abandonnée</x:v>
      </x:c>
      <x:c r="D90" s="145" t="str">
        <x:v>Facturation &amp; paiements &gt; Factures clients</x:v>
      </x:c>
      <x:c r="E90" s="145" t="str">
        <x:v>Fiche / action contextuelle</x:v>
      </x:c>
      <x:c r="F90" s="145" t="str">
        <x:v>Fiche concernée</x:v>
      </x:c>
      <x:c r="G90" s="145" t="str">
        <x:v>Directe dans l’écran</x:v>
      </x:c>
      <x:c r="H90" s="145" t="str">
        <x:v>Régulière</x:v>
      </x:c>
      <x:c r="I90" s="145" t="str">
        <x:f>OPERATIONS!H90</x:f>
        <x:v>À conserver</x:v>
      </x:c>
      <x:c r="J90" s="145" t="str">
        <x:v>V2</x:v>
      </x:c>
      <x:c r="K90" s="145"/>
    </x:row>
    <x:row r="91" ht="34" customHeight="1">
      <x:c r="A91" s="145" t="str">
        <x:v>FOU-001</x:v>
      </x:c>
      <x:c r="B91" s="145" t="str">
        <x:v>Fournisseurs et charges</x:v>
      </x:c>
      <x:c r="C91" s="145" t="str">
        <x:v>Créer une facture fournisseur ou une charge</x:v>
      </x:c>
      <x:c r="D91" s="145" t="str">
        <x:v>Facturation &amp; paiements &gt; Fournisseurs &amp; charges</x:v>
      </x:c>
      <x:c r="E91" s="145" t="str">
        <x:v>Bouton primaire</x:v>
      </x:c>
      <x:c r="F91" s="145" t="str">
        <x:v>En-tête de page, bouton à droite</x:v>
      </x:c>
      <x:c r="G91" s="145" t="str">
        <x:v>Directe dans l’écran</x:v>
      </x:c>
      <x:c r="H91" s="145" t="str">
        <x:v>Régulière</x:v>
      </x:c>
      <x:c r="I91" s="145" t="str">
        <x:f>OPERATIONS!H91</x:f>
        <x:v>À conserver</x:v>
      </x:c>
      <x:c r="J91" s="145" t="str">
        <x:v>MVP</x:v>
      </x:c>
      <x:c r="K91" s="145"/>
    </x:row>
    <x:row r="92" ht="34" customHeight="1">
      <x:c r="A92" s="145" t="str">
        <x:v>FOU-002</x:v>
      </x:c>
      <x:c r="B92" s="145" t="str">
        <x:v>Fournisseurs et charges</x:v>
      </x:c>
      <x:c r="C92" s="145" t="str">
        <x:v>Modifier une charge ou facture fournisseur</x:v>
      </x:c>
      <x:c r="D92" s="145" t="str">
        <x:v>Facturation &amp; paiements &gt; Fournisseurs &amp; charges</x:v>
      </x:c>
      <x:c r="E92" s="145" t="str">
        <x:v>Fiche / action contextuelle</x:v>
      </x:c>
      <x:c r="F92" s="145" t="str">
        <x:v>Fiche concernée</x:v>
      </x:c>
      <x:c r="G92" s="145" t="str">
        <x:v>Directe dans l’écran</x:v>
      </x:c>
      <x:c r="H92" s="145" t="str">
        <x:v>Régulière</x:v>
      </x:c>
      <x:c r="I92" s="145" t="str">
        <x:f>OPERATIONS!H92</x:f>
        <x:v>À conserver</x:v>
      </x:c>
      <x:c r="J92" s="145" t="str">
        <x:v>MVP</x:v>
      </x:c>
      <x:c r="K92" s="145"/>
    </x:row>
    <x:row r="93" ht="34" customHeight="1">
      <x:c r="A93" s="145" t="str">
        <x:v>FOU-003</x:v>
      </x:c>
      <x:c r="B93" s="145" t="str">
        <x:v>Fournisseurs et charges</x:v>
      </x:c>
      <x:c r="C93" s="145" t="str">
        <x:v>Rattacher une charge à un logement</x:v>
      </x:c>
      <x:c r="D93" s="145" t="str">
        <x:v>Facturation &amp; paiements &gt; Fournisseurs &amp; charges</x:v>
      </x:c>
      <x:c r="E93" s="145" t="str">
        <x:v>Fiche / action contextuelle</x:v>
      </x:c>
      <x:c r="F93" s="145" t="str">
        <x:v>Détail de la ligne / fiche concernée</x:v>
      </x:c>
      <x:c r="G93" s="145" t="str">
        <x:v>Directe dans l’écran</x:v>
      </x:c>
      <x:c r="H93" s="145" t="str">
        <x:v>Régulière</x:v>
      </x:c>
      <x:c r="I93" s="145" t="str">
        <x:f>OPERATIONS!H93</x:f>
        <x:v>À conserver</x:v>
      </x:c>
      <x:c r="J93" s="145" t="str">
        <x:v>MVP</x:v>
      </x:c>
      <x:c r="K93" s="145"/>
    </x:row>
    <x:row r="94" ht="34" customHeight="1">
      <x:c r="A94" s="145" t="str">
        <x:v>FOU-004</x:v>
      </x:c>
      <x:c r="B94" s="145" t="str">
        <x:v>Fournisseurs et charges</x:v>
      </x:c>
      <x:c r="C94" s="145" t="str">
        <x:v>Ventiler une charge entre plusieurs logements</x:v>
      </x:c>
      <x:c r="D94" s="145" t="str">
        <x:v>Facturation &amp; paiements &gt; Fournisseurs &amp; charges</x:v>
      </x:c>
      <x:c r="E94" s="145" t="str">
        <x:v>Fiche / action contextuelle</x:v>
      </x:c>
      <x:c r="F94" s="145" t="str">
        <x:v>Détail de la ligne / fiche concernée</x:v>
      </x:c>
      <x:c r="G94" s="145" t="str">
        <x:v>Directe dans l’écran</x:v>
      </x:c>
      <x:c r="H94" s="145" t="str">
        <x:v>Régulière</x:v>
      </x:c>
      <x:c r="I94" s="145" t="str">
        <x:f>OPERATIONS!H94</x:f>
        <x:v>À conserver</x:v>
      </x:c>
      <x:c r="J94" s="145" t="str">
        <x:v>MVP</x:v>
      </x:c>
      <x:c r="K94" s="145"/>
    </x:row>
    <x:row r="95" ht="34" customHeight="1">
      <x:c r="A95" s="145" t="str">
        <x:v>FOU-005</x:v>
      </x:c>
      <x:c r="B95" s="145" t="str">
        <x:v>Fournisseurs et charges</x:v>
      </x:c>
      <x:c r="C95" s="145" t="str">
        <x:v>Classer une charge</x:v>
      </x:c>
      <x:c r="D95" s="145" t="str">
        <x:v>Facturation &amp; paiements &gt; Fournisseurs &amp; charges</x:v>
      </x:c>
      <x:c r="E95" s="145" t="str">
        <x:v>Fiche / action contextuelle</x:v>
      </x:c>
      <x:c r="F95" s="145" t="str">
        <x:v>Détail de la ligne / fiche concernée</x:v>
      </x:c>
      <x:c r="G95" s="145" t="str">
        <x:v>Directe dans l’écran</x:v>
      </x:c>
      <x:c r="H95" s="145" t="str">
        <x:v>Régulière</x:v>
      </x:c>
      <x:c r="I95" s="145" t="str">
        <x:f>OPERATIONS!H95</x:f>
        <x:v>À conserver</x:v>
      </x:c>
      <x:c r="J95" s="145" t="str">
        <x:v>MVP</x:v>
      </x:c>
      <x:c r="K95" s="145"/>
    </x:row>
    <x:row r="96" ht="34" customHeight="1">
      <x:c r="A96" s="145" t="str">
        <x:v>FOU-006</x:v>
      </x:c>
      <x:c r="B96" s="145" t="str">
        <x:v>Fournisseurs et charges</x:v>
      </x:c>
      <x:c r="C96" s="145" t="str">
        <x:v>Ajouter un justificatif fournisseur</x:v>
      </x:c>
      <x:c r="D96" s="145" t="str">
        <x:v>Facturation &amp; paiements &gt; Fournisseurs &amp; charges</x:v>
      </x:c>
      <x:c r="E96" s="145" t="str">
        <x:v>Bouton primaire</x:v>
      </x:c>
      <x:c r="F96" s="145" t="str">
        <x:v>En-tête de page, bouton à droite</x:v>
      </x:c>
      <x:c r="G96" s="145" t="str">
        <x:v>Directe dans l’écran</x:v>
      </x:c>
      <x:c r="H96" s="145" t="str">
        <x:v>Régulière</x:v>
      </x:c>
      <x:c r="I96" s="145" t="str">
        <x:f>OPERATIONS!H96</x:f>
        <x:v>À conserver</x:v>
      </x:c>
      <x:c r="J96" s="145" t="str">
        <x:v>MVP</x:v>
      </x:c>
      <x:c r="K96" s="145"/>
    </x:row>
    <x:row r="97" ht="34" customHeight="1">
      <x:c r="A97" s="145" t="str">
        <x:v>FOU-007</x:v>
      </x:c>
      <x:c r="B97" s="145" t="str">
        <x:v>Fournisseurs et charges</x:v>
      </x:c>
      <x:c r="C97" s="145" t="str">
        <x:v>Valider une charge</x:v>
      </x:c>
      <x:c r="D97" s="145" t="str">
        <x:v>Facturation &amp; paiements &gt; Fournisseurs &amp; charges</x:v>
      </x:c>
      <x:c r="E97" s="145" t="str">
        <x:v>Fiche / action contextuelle</x:v>
      </x:c>
      <x:c r="F97" s="145" t="str">
        <x:v>Détail de la ligne / fiche concernée</x:v>
      </x:c>
      <x:c r="G97" s="145" t="str">
        <x:v>Directe dans l’écran</x:v>
      </x:c>
      <x:c r="H97" s="145" t="str">
        <x:v>Régulière</x:v>
      </x:c>
      <x:c r="I97" s="145" t="str">
        <x:f>OPERATIONS!H97</x:f>
        <x:v>À conserver</x:v>
      </x:c>
      <x:c r="J97" s="145" t="str">
        <x:v>MVP</x:v>
      </x:c>
      <x:c r="K97" s="145"/>
    </x:row>
    <x:row r="98" ht="34" customHeight="1">
      <x:c r="A98" s="145" t="str">
        <x:v>FOU-008</x:v>
      </x:c>
      <x:c r="B98" s="145" t="str">
        <x:v>Fournisseurs et charges</x:v>
      </x:c>
      <x:c r="C98" s="145" t="str">
        <x:v>Planifier une échéance de paiement</x:v>
      </x:c>
      <x:c r="D98" s="145" t="str">
        <x:v>Facturation &amp; paiements &gt; Fournisseurs &amp; charges</x:v>
      </x:c>
      <x:c r="E98" s="145" t="str">
        <x:v>Fiche / action contextuelle</x:v>
      </x:c>
      <x:c r="F98" s="145" t="str">
        <x:v>Fiche concernée</x:v>
      </x:c>
      <x:c r="G98" s="145" t="str">
        <x:v>Directe dans l’écran</x:v>
      </x:c>
      <x:c r="H98" s="145" t="str">
        <x:v>Mensuelle / ponctuelle</x:v>
      </x:c>
      <x:c r="I98" s="145" t="str">
        <x:f>OPERATIONS!H98</x:f>
        <x:v>À conserver</x:v>
      </x:c>
      <x:c r="J98" s="145" t="str">
        <x:v>MVP</x:v>
      </x:c>
      <x:c r="K98" s="145"/>
    </x:row>
    <x:row r="99" ht="34" customHeight="1">
      <x:c r="A99" s="145" t="str">
        <x:v>FOU-009</x:v>
      </x:c>
      <x:c r="B99" s="145" t="str">
        <x:v>Fournisseurs et charges</x:v>
      </x:c>
      <x:c r="C99" s="145" t="str">
        <x:v>Enregistrer un paiement fournisseur</x:v>
      </x:c>
      <x:c r="D99" s="145" t="str">
        <x:v>Facturation &amp; paiements &gt; Fournisseurs &amp; charges</x:v>
      </x:c>
      <x:c r="E99" s="145" t="str">
        <x:v>Bouton primaire</x:v>
      </x:c>
      <x:c r="F99" s="145" t="str">
        <x:v>En-tête de page, bouton à droite</x:v>
      </x:c>
      <x:c r="G99" s="145" t="str">
        <x:v>Directe dans l’écran</x:v>
      </x:c>
      <x:c r="H99" s="145" t="str">
        <x:v>Régulière</x:v>
      </x:c>
      <x:c r="I99" s="145" t="str">
        <x:f>OPERATIONS!H99</x:f>
        <x:v>À conserver</x:v>
      </x:c>
      <x:c r="J99" s="145" t="str">
        <x:v>MVP</x:v>
      </x:c>
      <x:c r="K99" s="145"/>
    </x:row>
    <x:row r="100" ht="34" customHeight="1">
      <x:c r="A100" s="145" t="str">
        <x:v>FOU-010</x:v>
      </x:c>
      <x:c r="B100" s="145" t="str">
        <x:v>Fournisseurs et charges</x:v>
      </x:c>
      <x:c r="C100" s="145" t="str">
        <x:v>Rapprocher un paiement bancaire</x:v>
      </x:c>
      <x:c r="D100" s="145" t="str">
        <x:v>Facturation &amp; paiements &gt; Fournisseurs &amp; charges</x:v>
      </x:c>
      <x:c r="E100" s="145" t="str">
        <x:v>Fiche / action contextuelle</x:v>
      </x:c>
      <x:c r="F100" s="145" t="str">
        <x:v>Fiche concernée</x:v>
      </x:c>
      <x:c r="G100" s="145" t="str">
        <x:v>Directe dans l’écran</x:v>
      </x:c>
      <x:c r="H100" s="145" t="str">
        <x:v>Régulière</x:v>
      </x:c>
      <x:c r="I100" s="145" t="str">
        <x:f>OPERATIONS!H100</x:f>
        <x:v>À conserver</x:v>
      </x:c>
      <x:c r="J100" s="145" t="str">
        <x:v>MVP</x:v>
      </x:c>
      <x:c r="K100" s="145"/>
    </x:row>
    <x:row r="101" ht="34" customHeight="1">
      <x:c r="A101" s="145" t="str">
        <x:v>FOU-011</x:v>
      </x:c>
      <x:c r="B101" s="145" t="str">
        <x:v>Fournisseurs et charges</x:v>
      </x:c>
      <x:c r="C101" s="145" t="str">
        <x:v>Consulter les dettes fournisseurs</x:v>
      </x:c>
      <x:c r="D101" s="145" t="str">
        <x:v>Facturation &amp; paiements &gt; Fournisseurs &amp; charges</x:v>
      </x:c>
      <x:c r="E101" s="145" t="str">
        <x:v>Vue / filtre</x:v>
      </x:c>
      <x:c r="F101" s="145" t="str">
        <x:v>Vue liste, filtre enregistré ou onglet de fiche</x:v>
      </x:c>
      <x:c r="G101" s="145" t="str">
        <x:v>Directe via liste / filtre</x:v>
      </x:c>
      <x:c r="H101" s="145" t="str">
        <x:v>Régulière</x:v>
      </x:c>
      <x:c r="I101" s="145" t="str">
        <x:f>OPERATIONS!H101</x:f>
        <x:v>À conserver</x:v>
      </x:c>
      <x:c r="J101" s="145" t="str">
        <x:v>MVP</x:v>
      </x:c>
      <x:c r="K101" s="145"/>
    </x:row>
    <x:row r="102" ht="34" customHeight="1">
      <x:c r="A102" s="145" t="str">
        <x:v>FOU-012</x:v>
      </x:c>
      <x:c r="B102" s="145" t="str">
        <x:v>Fournisseurs et charges</x:v>
      </x:c>
      <x:c r="C102" s="145" t="str">
        <x:v>Détecter un doublon de facture fournisseur</x:v>
      </x:c>
      <x:c r="D102" s="145" t="str">
        <x:v>Facturation &amp; paiements &gt; Fournisseurs &amp; charges</x:v>
      </x:c>
      <x:c r="E102" s="145" t="str">
        <x:v>Fiche / action contextuelle</x:v>
      </x:c>
      <x:c r="F102" s="145" t="str">
        <x:v>Fiche concernée</x:v>
      </x:c>
      <x:c r="G102" s="145" t="str">
        <x:v>Directe dans l’écran</x:v>
      </x:c>
      <x:c r="H102" s="145" t="str">
        <x:v>Régulière</x:v>
      </x:c>
      <x:c r="I102" s="145" t="str">
        <x:f>OPERATIONS!H102</x:f>
        <x:v>À conserver</x:v>
      </x:c>
      <x:c r="J102" s="145" t="str">
        <x:v>MVP</x:v>
      </x:c>
      <x:c r="K102" s="145"/>
    </x:row>
    <x:row r="103" ht="34" customHeight="1">
      <x:c r="A103" s="145" t="str">
        <x:v>FOU-013</x:v>
      </x:c>
      <x:c r="B103" s="145" t="str">
        <x:v>Fournisseurs et charges</x:v>
      </x:c>
      <x:c r="C103" s="145" t="str">
        <x:v>Archiver une charge annulée ou erronée</x:v>
      </x:c>
      <x:c r="D103" s="145" t="str">
        <x:v>Facturation &amp; paiements &gt; Fournisseurs &amp; charges</x:v>
      </x:c>
      <x:c r="E103" s="145" t="str">
        <x:v>Actions avancées</x:v>
      </x:c>
      <x:c r="F103" s="145" t="str">
        <x:v>Fiche concernée &gt; menu « Actions avancées »</x:v>
      </x:c>
      <x:c r="G103" s="145" t="str">
        <x:v>Secondaire protégée</x:v>
      </x:c>
      <x:c r="H103" s="145" t="str">
        <x:v>Rare</x:v>
      </x:c>
      <x:c r="I103" s="145" t="str">
        <x:f>OPERATIONS!H103</x:f>
        <x:v>À conserver</x:v>
      </x:c>
      <x:c r="J103" s="145" t="str">
        <x:v>MVP</x:v>
      </x:c>
      <x:c r="K103" s="145"/>
    </x:row>
    <x:row r="104" ht="34" customHeight="1">
      <x:c r="A104" s="145" t="str">
        <x:v>MEN-001</x:v>
      </x:c>
      <x:c r="B104" s="145" t="str">
        <x:v>Ménages</x:v>
      </x:c>
      <x:c r="C104" s="145" t="str">
        <x:v>Afficher les ménages attendus</x:v>
      </x:c>
      <x:c r="D104" s="145" t="str">
        <x:v>Activité &gt; Ménages</x:v>
      </x:c>
      <x:c r="E104" s="145" t="str">
        <x:v>Vue / filtre</x:v>
      </x:c>
      <x:c r="F104" s="145" t="str">
        <x:v>Vue liste, filtre enregistré ou onglet de fiche</x:v>
      </x:c>
      <x:c r="G104" s="145" t="str">
        <x:v>Directe via liste / filtre</x:v>
      </x:c>
      <x:c r="H104" s="145" t="str">
        <x:v>Régulière</x:v>
      </x:c>
      <x:c r="I104" s="145" t="str">
        <x:f>OPERATIONS!H104</x:f>
        <x:v>À conserver</x:v>
      </x:c>
      <x:c r="J104" s="145" t="str">
        <x:v>MVP</x:v>
      </x:c>
      <x:c r="K104" s="145"/>
    </x:row>
    <x:row r="105" ht="34" customHeight="1">
      <x:c r="A105" s="145" t="str">
        <x:v>MEN-002</x:v>
      </x:c>
      <x:c r="B105" s="145" t="str">
        <x:v>Ménages</x:v>
      </x:c>
      <x:c r="C105" s="145" t="str">
        <x:v>Importer ou consulter les tâches Hostaway</x:v>
      </x:c>
      <x:c r="D105" s="145" t="str">
        <x:v>Activité &gt; Ménages</x:v>
      </x:c>
      <x:c r="E105" s="145" t="str">
        <x:v>Bouton primaire</x:v>
      </x:c>
      <x:c r="F105" s="145" t="str">
        <x:v>En-tête de page, bouton à droite</x:v>
      </x:c>
      <x:c r="G105" s="145" t="str">
        <x:v>Directe via liste / filtre</x:v>
      </x:c>
      <x:c r="H105" s="145" t="str">
        <x:v>Régulière</x:v>
      </x:c>
      <x:c r="I105" s="145" t="str">
        <x:f>OPERATIONS!H105</x:f>
        <x:v>À conserver</x:v>
      </x:c>
      <x:c r="J105" s="145" t="str">
        <x:v>MVP</x:v>
      </x:c>
      <x:c r="K105" s="145"/>
    </x:row>
    <x:row r="106" ht="34" customHeight="1">
      <x:c r="A106" s="145" t="str">
        <x:v>MEN-003</x:v>
      </x:c>
      <x:c r="B106" s="145" t="str">
        <x:v>Ménages</x:v>
      </x:c>
      <x:c r="C106" s="145" t="str">
        <x:v>Créer une déclaration de ménage interne</x:v>
      </x:c>
      <x:c r="D106" s="145" t="str">
        <x:v>Activité &gt; Ménages</x:v>
      </x:c>
      <x:c r="E106" s="145" t="str">
        <x:v>Bouton primaire</x:v>
      </x:c>
      <x:c r="F106" s="145" t="str">
        <x:v>En-tête de page, bouton à droite</x:v>
      </x:c>
      <x:c r="G106" s="145" t="str">
        <x:v>Directe dans l’écran</x:v>
      </x:c>
      <x:c r="H106" s="145" t="str">
        <x:v>Régulière</x:v>
      </x:c>
      <x:c r="I106" s="145" t="str">
        <x:f>OPERATIONS!H106</x:f>
        <x:v>À conserver</x:v>
      </x:c>
      <x:c r="J106" s="145" t="str">
        <x:v>MVP</x:v>
      </x:c>
      <x:c r="K106" s="145"/>
    </x:row>
    <x:row r="107" ht="34" customHeight="1">
      <x:c r="A107" s="145" t="str">
        <x:v>MEN-004</x:v>
      </x:c>
      <x:c r="B107" s="145" t="str">
        <x:v>Ménages</x:v>
      </x:c>
      <x:c r="C107" s="145" t="str">
        <x:v>Modifier une déclaration de ménage interne</x:v>
      </x:c>
      <x:c r="D107" s="145" t="str">
        <x:v>Activité &gt; Ménages</x:v>
      </x:c>
      <x:c r="E107" s="145" t="str">
        <x:v>Fiche / action contextuelle</x:v>
      </x:c>
      <x:c r="F107" s="145" t="str">
        <x:v>Fiche concernée</x:v>
      </x:c>
      <x:c r="G107" s="145" t="str">
        <x:v>Directe dans l’écran</x:v>
      </x:c>
      <x:c r="H107" s="145" t="str">
        <x:v>Régulière</x:v>
      </x:c>
      <x:c r="I107" s="145" t="str">
        <x:f>OPERATIONS!H107</x:f>
        <x:v>À conserver</x:v>
      </x:c>
      <x:c r="J107" s="145" t="str">
        <x:v>MVP</x:v>
      </x:c>
      <x:c r="K107" s="145"/>
    </x:row>
    <x:row r="108" ht="34" customHeight="1">
      <x:c r="A108" s="145" t="str">
        <x:v>MEN-005</x:v>
      </x:c>
      <x:c r="B108" s="145" t="str">
        <x:v>Ménages</x:v>
      </x:c>
      <x:c r="C108" s="145" t="str">
        <x:v>Saisir ou associer une facture de ménage externe</x:v>
      </x:c>
      <x:c r="D108" s="145" t="str">
        <x:v>Activité &gt; Ménages</x:v>
      </x:c>
      <x:c r="E108" s="145" t="str">
        <x:v>Bouton primaire</x:v>
      </x:c>
      <x:c r="F108" s="145" t="str">
        <x:v>En-tête de page, bouton à droite</x:v>
      </x:c>
      <x:c r="G108" s="145" t="str">
        <x:v>Directe dans l’écran</x:v>
      </x:c>
      <x:c r="H108" s="145" t="str">
        <x:v>Régulière</x:v>
      </x:c>
      <x:c r="I108" s="145" t="str">
        <x:f>OPERATIONS!H108</x:f>
        <x:v>À conserver</x:v>
      </x:c>
      <x:c r="J108" s="145" t="str">
        <x:v>MVP</x:v>
      </x:c>
      <x:c r="K108" s="145"/>
    </x:row>
    <x:row r="109" ht="34" customHeight="1">
      <x:c r="A109" s="145" t="str">
        <x:v>MEN-006</x:v>
      </x:c>
      <x:c r="B109" s="145" t="str">
        <x:v>Ménages</x:v>
      </x:c>
      <x:c r="C109" s="145" t="str">
        <x:v>Lancer le matching automatique</x:v>
      </x:c>
      <x:c r="D109" s="145" t="str">
        <x:v>Activité &gt; Ménages</x:v>
      </x:c>
      <x:c r="E109" s="145" t="str">
        <x:v>Bouton primaire</x:v>
      </x:c>
      <x:c r="F109" s="145" t="str">
        <x:v>En-tête de page, bouton à droite</x:v>
      </x:c>
      <x:c r="G109" s="145" t="str">
        <x:v>Directe dans l’écran</x:v>
      </x:c>
      <x:c r="H109" s="145" t="str">
        <x:v>Régulière</x:v>
      </x:c>
      <x:c r="I109" s="145" t="str">
        <x:f>OPERATIONS!H109</x:f>
        <x:v>À conserver</x:v>
      </x:c>
      <x:c r="J109" s="145" t="str">
        <x:v>MVP</x:v>
      </x:c>
      <x:c r="K109" s="145"/>
    </x:row>
    <x:row r="110" ht="34" customHeight="1">
      <x:c r="A110" s="145" t="str">
        <x:v>MEN-007</x:v>
      </x:c>
      <x:c r="B110" s="145" t="str">
        <x:v>Ménages</x:v>
      </x:c>
      <x:c r="C110" s="145" t="str">
        <x:v>Consulter le détail d’un écart</x:v>
      </x:c>
      <x:c r="D110" s="145" t="str">
        <x:v>Activité &gt; Ménages</x:v>
      </x:c>
      <x:c r="E110" s="145" t="str">
        <x:v>Vue / filtre</x:v>
      </x:c>
      <x:c r="F110" s="145" t="str">
        <x:v>Vue liste, filtre enregistré ou onglet de fiche</x:v>
      </x:c>
      <x:c r="G110" s="145" t="str">
        <x:v>Directe via liste / filtre</x:v>
      </x:c>
      <x:c r="H110" s="145" t="str">
        <x:v>Régulière</x:v>
      </x:c>
      <x:c r="I110" s="145" t="str">
        <x:f>OPERATIONS!H110</x:f>
        <x:v>À conserver</x:v>
      </x:c>
      <x:c r="J110" s="145" t="str">
        <x:v>MVP</x:v>
      </x:c>
      <x:c r="K110" s="145"/>
    </x:row>
    <x:row r="111" ht="34" customHeight="1">
      <x:c r="A111" s="145" t="str">
        <x:v>MEN-008</x:v>
      </x:c>
      <x:c r="B111" s="145" t="str">
        <x:v>Ménages</x:v>
      </x:c>
      <x:c r="C111" s="145" t="str">
        <x:v>Corriger une donnée source autorisée</x:v>
      </x:c>
      <x:c r="D111" s="145" t="str">
        <x:v>Activité &gt; Ménages</x:v>
      </x:c>
      <x:c r="E111" s="145" t="str">
        <x:v>Fiche / action contextuelle</x:v>
      </x:c>
      <x:c r="F111" s="145" t="str">
        <x:v>Détail de la ligne / fiche concernée</x:v>
      </x:c>
      <x:c r="G111" s="145" t="str">
        <x:v>Directe dans l’écran</x:v>
      </x:c>
      <x:c r="H111" s="145" t="str">
        <x:v>Régulière</x:v>
      </x:c>
      <x:c r="I111" s="145" t="str">
        <x:f>OPERATIONS!H111</x:f>
        <x:v>À conserver</x:v>
      </x:c>
      <x:c r="J111" s="145" t="str">
        <x:v>MVP</x:v>
      </x:c>
      <x:c r="K111" s="145"/>
    </x:row>
    <x:row r="112" ht="34" customHeight="1">
      <x:c r="A112" s="145" t="str">
        <x:v>MEN-009</x:v>
      </x:c>
      <x:c r="B112" s="145" t="str">
        <x:v>Ménages</x:v>
      </x:c>
      <x:c r="C112" s="145" t="str">
        <x:v>Relancer le matching après correction</x:v>
      </x:c>
      <x:c r="D112" s="145" t="str">
        <x:v>Activité &gt; Ménages</x:v>
      </x:c>
      <x:c r="E112" s="145" t="str">
        <x:v>Fiche / action contextuelle</x:v>
      </x:c>
      <x:c r="F112" s="145" t="str">
        <x:v>Fiche concernée</x:v>
      </x:c>
      <x:c r="G112" s="145" t="str">
        <x:v>Directe dans l’écran</x:v>
      </x:c>
      <x:c r="H112" s="145" t="str">
        <x:v>Régulière</x:v>
      </x:c>
      <x:c r="I112" s="145" t="str">
        <x:f>OPERATIONS!H112</x:f>
        <x:v>À conserver</x:v>
      </x:c>
      <x:c r="J112" s="145" t="str">
        <x:v>MVP</x:v>
      </x:c>
      <x:c r="K112" s="145"/>
    </x:row>
    <x:row r="113" ht="34" customHeight="1">
      <x:c r="A113" s="145" t="str">
        <x:v>MEN-010</x:v>
      </x:c>
      <x:c r="B113" s="145" t="str">
        <x:v>Ménages</x:v>
      </x:c>
      <x:c r="C113" s="145" t="str">
        <x:v>Outrepasser un écart</x:v>
      </x:c>
      <x:c r="D113" s="145" t="str">
        <x:v>Activité &gt; Ménages</x:v>
      </x:c>
      <x:c r="E113" s="145" t="str">
        <x:v>Actions avancées</x:v>
      </x:c>
      <x:c r="F113" s="145" t="str">
        <x:v>Fiche concernée &gt; menu « Actions avancées »</x:v>
      </x:c>
      <x:c r="G113" s="145" t="str">
        <x:v>Secondaire protégée</x:v>
      </x:c>
      <x:c r="H113" s="145" t="str">
        <x:v>Régulière</x:v>
      </x:c>
      <x:c r="I113" s="145" t="str">
        <x:f>OPERATIONS!H113</x:f>
        <x:v>À conserver</x:v>
      </x:c>
      <x:c r="J113" s="145" t="str">
        <x:v>MVP</x:v>
      </x:c>
      <x:c r="K113" s="145"/>
    </x:row>
    <x:row r="114" ht="34" customHeight="1">
      <x:c r="A114" s="145" t="str">
        <x:v>MEN-011</x:v>
      </x:c>
      <x:c r="B114" s="145" t="str">
        <x:v>Ménages</x:v>
      </x:c>
      <x:c r="C114" s="145" t="str">
        <x:v>Clôturer un rapprochement ménage</x:v>
      </x:c>
      <x:c r="D114" s="145" t="str">
        <x:v>Activité &gt; Ménages</x:v>
      </x:c>
      <x:c r="E114" s="145" t="str">
        <x:v>Fiche / action contextuelle</x:v>
      </x:c>
      <x:c r="F114" s="145" t="str">
        <x:v>Fiche concernée</x:v>
      </x:c>
      <x:c r="G114" s="145" t="str">
        <x:v>Directe dans l’écran</x:v>
      </x:c>
      <x:c r="H114" s="145" t="str">
        <x:v>Mensuelle / ponctuelle</x:v>
      </x:c>
      <x:c r="I114" s="145" t="str">
        <x:f>OPERATIONS!H114</x:f>
        <x:v>À conserver</x:v>
      </x:c>
      <x:c r="J114" s="145" t="str">
        <x:v>MVP</x:v>
      </x:c>
      <x:c r="K114" s="145"/>
    </x:row>
    <x:row r="115" ht="34" customHeight="1">
      <x:c r="A115" s="145" t="str">
        <x:v>MEN-012</x:v>
      </x:c>
      <x:c r="B115" s="145" t="str">
        <x:v>Ménages</x:v>
      </x:c>
      <x:c r="C115" s="145" t="str">
        <x:v>Calculer le coût complet de ménage</x:v>
      </x:c>
      <x:c r="D115" s="145" t="str">
        <x:v>Activité &gt; Ménages</x:v>
      </x:c>
      <x:c r="E115" s="145" t="str">
        <x:v>Fiche / action contextuelle</x:v>
      </x:c>
      <x:c r="F115" s="145" t="str">
        <x:v>Fiche concernée</x:v>
      </x:c>
      <x:c r="G115" s="145" t="str">
        <x:v>Directe dans l’écran</x:v>
      </x:c>
      <x:c r="H115" s="145" t="str">
        <x:v>Régulière</x:v>
      </x:c>
      <x:c r="I115" s="145" t="str">
        <x:f>OPERATIONS!H115</x:f>
        <x:v>À conserver</x:v>
      </x:c>
      <x:c r="J115" s="145" t="str">
        <x:v>MVP</x:v>
      </x:c>
      <x:c r="K115" s="145"/>
    </x:row>
    <x:row r="116" ht="34" customHeight="1">
      <x:c r="A116" s="145" t="str">
        <x:v>MEN-013</x:v>
      </x:c>
      <x:c r="B116" s="145" t="str">
        <x:v>Ménages</x:v>
      </x:c>
      <x:c r="C116" s="145" t="str">
        <x:v>Consulter gain ou perte ménage par logement</x:v>
      </x:c>
      <x:c r="D116" s="145" t="str">
        <x:v>Activité &gt; Ménages</x:v>
      </x:c>
      <x:c r="E116" s="145" t="str">
        <x:v>Vue / filtre</x:v>
      </x:c>
      <x:c r="F116" s="145" t="str">
        <x:v>Vue liste, filtre enregistré ou onglet de fiche</x:v>
      </x:c>
      <x:c r="G116" s="145" t="str">
        <x:v>Directe via liste / filtre</x:v>
      </x:c>
      <x:c r="H116" s="145" t="str">
        <x:v>Régulière</x:v>
      </x:c>
      <x:c r="I116" s="145" t="str">
        <x:f>OPERATIONS!H116</x:f>
        <x:v>À conserver</x:v>
      </x:c>
      <x:c r="J116" s="145" t="str">
        <x:v>MVP</x:v>
      </x:c>
      <x:c r="K116" s="145"/>
    </x:row>
    <x:row r="117" ht="34" customHeight="1">
      <x:c r="A117" s="145" t="str">
        <x:v>MEN-014</x:v>
      </x:c>
      <x:c r="B117" s="145" t="str">
        <x:v>Ménages</x:v>
      </x:c>
      <x:c r="C117" s="145" t="str">
        <x:v>Consulter les anomalies de ménage</x:v>
      </x:c>
      <x:c r="D117" s="145" t="str">
        <x:v>Activité &gt; Ménages</x:v>
      </x:c>
      <x:c r="E117" s="145" t="str">
        <x:v>Vue / filtre</x:v>
      </x:c>
      <x:c r="F117" s="145" t="str">
        <x:v>Vue liste, filtre enregistré ou onglet de fiche</x:v>
      </x:c>
      <x:c r="G117" s="145" t="str">
        <x:v>Directe via liste / filtre</x:v>
      </x:c>
      <x:c r="H117" s="145" t="str">
        <x:v>Régulière</x:v>
      </x:c>
      <x:c r="I117" s="145" t="str">
        <x:f>OPERATIONS!H117</x:f>
        <x:v>À conserver</x:v>
      </x:c>
      <x:c r="J117" s="145" t="str">
        <x:v>MVP</x:v>
      </x:c>
      <x:c r="K117" s="145"/>
    </x:row>
    <x:row r="118" ht="34" customHeight="1">
      <x:c r="A118" s="145" t="str">
        <x:v>BAN-001</x:v>
      </x:c>
      <x:c r="B118" s="145" t="str">
        <x:v>Banque et caisse</x:v>
      </x:c>
      <x:c r="C118" s="145" t="str">
        <x:v>Importer un relevé bancaire</x:v>
      </x:c>
      <x:c r="D118" s="145" t="str">
        <x:v>Banque &amp; trésorerie &gt; Banque</x:v>
      </x:c>
      <x:c r="E118" s="145" t="str">
        <x:v>Bouton primaire</x:v>
      </x:c>
      <x:c r="F118" s="145" t="str">
        <x:v>En-tête de page, bouton à droite</x:v>
      </x:c>
      <x:c r="G118" s="145" t="str">
        <x:v>Directe dans l’écran</x:v>
      </x:c>
      <x:c r="H118" s="145" t="str">
        <x:v>Régulière</x:v>
      </x:c>
      <x:c r="I118" s="145" t="str">
        <x:f>OPERATIONS!H118</x:f>
        <x:v>À conserver</x:v>
      </x:c>
      <x:c r="J118" s="145" t="str">
        <x:v>MVP</x:v>
      </x:c>
      <x:c r="K118" s="145"/>
    </x:row>
    <x:row r="119" ht="34" customHeight="1">
      <x:c r="A119" s="145" t="str">
        <x:v>BAN-002</x:v>
      </x:c>
      <x:c r="B119" s="145" t="str">
        <x:v>Banque et caisse</x:v>
      </x:c>
      <x:c r="C119" s="145" t="str">
        <x:v>Ajouter une ligne bancaire manuelle</x:v>
      </x:c>
      <x:c r="D119" s="145" t="str">
        <x:v>Banque &amp; trésorerie &gt; Banque</x:v>
      </x:c>
      <x:c r="E119" s="145" t="str">
        <x:v>Bouton primaire</x:v>
      </x:c>
      <x:c r="F119" s="145" t="str">
        <x:v>En-tête de page, bouton à droite</x:v>
      </x:c>
      <x:c r="G119" s="145" t="str">
        <x:v>Directe dans l’écran</x:v>
      </x:c>
      <x:c r="H119" s="145" t="str">
        <x:v>Régulière</x:v>
      </x:c>
      <x:c r="I119" s="145" t="str">
        <x:f>OPERATIONS!H119</x:f>
        <x:v>À conserver</x:v>
      </x:c>
      <x:c r="J119" s="145" t="str">
        <x:v>MVP</x:v>
      </x:c>
      <x:c r="K119" s="145"/>
    </x:row>
    <x:row r="120" ht="34" customHeight="1">
      <x:c r="A120" s="145" t="str">
        <x:v>BAN-003</x:v>
      </x:c>
      <x:c r="B120" s="145" t="str">
        <x:v>Banque et caisse</x:v>
      </x:c>
      <x:c r="C120" s="145" t="str">
        <x:v>Détecter les doublons bancaires</x:v>
      </x:c>
      <x:c r="D120" s="145" t="str">
        <x:v>Banque &amp; trésorerie &gt; Banque</x:v>
      </x:c>
      <x:c r="E120" s="145" t="str">
        <x:v>Fiche / action contextuelle</x:v>
      </x:c>
      <x:c r="F120" s="145" t="str">
        <x:v>Fiche concernée</x:v>
      </x:c>
      <x:c r="G120" s="145" t="str">
        <x:v>Directe dans l’écran</x:v>
      </x:c>
      <x:c r="H120" s="145" t="str">
        <x:v>Régulière</x:v>
      </x:c>
      <x:c r="I120" s="145" t="str">
        <x:f>OPERATIONS!H120</x:f>
        <x:v>À conserver</x:v>
      </x:c>
      <x:c r="J120" s="145" t="str">
        <x:v>MVP</x:v>
      </x:c>
      <x:c r="K120" s="145"/>
    </x:row>
    <x:row r="121" ht="34" customHeight="1">
      <x:c r="A121" s="145" t="str">
        <x:v>BAN-004</x:v>
      </x:c>
      <x:c r="B121" s="145" t="str">
        <x:v>Banque et caisse</x:v>
      </x:c>
      <x:c r="C121" s="145" t="str">
        <x:v>Consulter les lignes non classées</x:v>
      </x:c>
      <x:c r="D121" s="145" t="str">
        <x:v>Banque &amp; trésorerie &gt; Banque</x:v>
      </x:c>
      <x:c r="E121" s="145" t="str">
        <x:v>Vue / filtre</x:v>
      </x:c>
      <x:c r="F121" s="145" t="str">
        <x:v>Vue liste, filtre enregistré ou onglet de fiche</x:v>
      </x:c>
      <x:c r="G121" s="145" t="str">
        <x:v>Directe via liste / filtre</x:v>
      </x:c>
      <x:c r="H121" s="145" t="str">
        <x:v>Régulière</x:v>
      </x:c>
      <x:c r="I121" s="145" t="str">
        <x:f>OPERATIONS!H121</x:f>
        <x:v>À conserver</x:v>
      </x:c>
      <x:c r="J121" s="145" t="str">
        <x:v>MVP</x:v>
      </x:c>
      <x:c r="K121" s="145"/>
    </x:row>
    <x:row r="122" ht="34" customHeight="1">
      <x:c r="A122" s="145" t="str">
        <x:v>BAN-005</x:v>
      </x:c>
      <x:c r="B122" s="145" t="str">
        <x:v>Banque et caisse</x:v>
      </x:c>
      <x:c r="C122" s="145" t="str">
        <x:v>Proposer un classement d’une ligne bancaire</x:v>
      </x:c>
      <x:c r="D122" s="145" t="str">
        <x:v>Banque &amp; trésorerie &gt; Banque</x:v>
      </x:c>
      <x:c r="E122" s="145" t="str">
        <x:v>Fiche / action contextuelle</x:v>
      </x:c>
      <x:c r="F122" s="145" t="str">
        <x:v>Fiche concernée</x:v>
      </x:c>
      <x:c r="G122" s="145" t="str">
        <x:v>Directe dans l’écran</x:v>
      </x:c>
      <x:c r="H122" s="145" t="str">
        <x:v>Régulière</x:v>
      </x:c>
      <x:c r="I122" s="145" t="str">
        <x:f>OPERATIONS!H122</x:f>
        <x:v>À conserver</x:v>
      </x:c>
      <x:c r="J122" s="145" t="str">
        <x:v>V2</x:v>
      </x:c>
      <x:c r="K122" s="145"/>
    </x:row>
    <x:row r="123" ht="34" customHeight="1">
      <x:c r="A123" s="145" t="str">
        <x:v>BAN-006</x:v>
      </x:c>
      <x:c r="B123" s="145" t="str">
        <x:v>Banque et caisse</x:v>
      </x:c>
      <x:c r="C123" s="145" t="str">
        <x:v>Valider le classement d’une ligne bancaire</x:v>
      </x:c>
      <x:c r="D123" s="145" t="str">
        <x:v>Banque &amp; trésorerie &gt; Banque</x:v>
      </x:c>
      <x:c r="E123" s="145" t="str">
        <x:v>Fiche / action contextuelle</x:v>
      </x:c>
      <x:c r="F123" s="145" t="str">
        <x:v>Détail de la ligne / fiche concernée</x:v>
      </x:c>
      <x:c r="G123" s="145" t="str">
        <x:v>Directe dans l’écran</x:v>
      </x:c>
      <x:c r="H123" s="145" t="str">
        <x:v>Régulière</x:v>
      </x:c>
      <x:c r="I123" s="145" t="str">
        <x:f>OPERATIONS!H123</x:f>
        <x:v>À conserver</x:v>
      </x:c>
      <x:c r="J123" s="145" t="str">
        <x:v>MVP</x:v>
      </x:c>
      <x:c r="K123" s="145"/>
    </x:row>
    <x:row r="124" ht="34" customHeight="1">
      <x:c r="A124" s="145" t="str">
        <x:v>BAN-007</x:v>
      </x:c>
      <x:c r="B124" s="145" t="str">
        <x:v>Banque et caisse</x:v>
      </x:c>
      <x:c r="C124" s="145" t="str">
        <x:v>Rattacher une ligne bancaire à une facture client</x:v>
      </x:c>
      <x:c r="D124" s="145" t="str">
        <x:v>Banque &amp; trésorerie &gt; Banque</x:v>
      </x:c>
      <x:c r="E124" s="145" t="str">
        <x:v>Fiche / action contextuelle</x:v>
      </x:c>
      <x:c r="F124" s="145" t="str">
        <x:v>Détail de la ligne / fiche concernée</x:v>
      </x:c>
      <x:c r="G124" s="145" t="str">
        <x:v>Directe dans l’écran</x:v>
      </x:c>
      <x:c r="H124" s="145" t="str">
        <x:v>Régulière</x:v>
      </x:c>
      <x:c r="I124" s="145" t="str">
        <x:f>OPERATIONS!H124</x:f>
        <x:v>À conserver</x:v>
      </x:c>
      <x:c r="J124" s="145" t="str">
        <x:v>MVP</x:v>
      </x:c>
      <x:c r="K124" s="145"/>
    </x:row>
    <x:row r="125" ht="34" customHeight="1">
      <x:c r="A125" s="145" t="str">
        <x:v>BAN-008</x:v>
      </x:c>
      <x:c r="B125" s="145" t="str">
        <x:v>Banque et caisse</x:v>
      </x:c>
      <x:c r="C125" s="145" t="str">
        <x:v>Rattacher une ligne bancaire à une facture fournisseur</x:v>
      </x:c>
      <x:c r="D125" s="145" t="str">
        <x:v>Banque &amp; trésorerie &gt; Banque</x:v>
      </x:c>
      <x:c r="E125" s="145" t="str">
        <x:v>Fiche / action contextuelle</x:v>
      </x:c>
      <x:c r="F125" s="145" t="str">
        <x:v>Détail de la ligne / fiche concernée</x:v>
      </x:c>
      <x:c r="G125" s="145" t="str">
        <x:v>Directe dans l’écran</x:v>
      </x:c>
      <x:c r="H125" s="145" t="str">
        <x:v>Régulière</x:v>
      </x:c>
      <x:c r="I125" s="145" t="str">
        <x:f>OPERATIONS!H125</x:f>
        <x:v>À conserver</x:v>
      </x:c>
      <x:c r="J125" s="145" t="str">
        <x:v>MVP</x:v>
      </x:c>
      <x:c r="K125" s="145"/>
    </x:row>
    <x:row r="126" ht="34" customHeight="1">
      <x:c r="A126" s="145" t="str">
        <x:v>BAN-009</x:v>
      </x:c>
      <x:c r="B126" s="145" t="str">
        <x:v>Banque et caisse</x:v>
      </x:c>
      <x:c r="C126" s="145" t="str">
        <x:v>Rattacher une ligne bancaire à un reversement propriétaire</x:v>
      </x:c>
      <x:c r="D126" s="145" t="str">
        <x:v>Banque &amp; trésorerie &gt; Banque</x:v>
      </x:c>
      <x:c r="E126" s="145" t="str">
        <x:v>Fiche / action contextuelle</x:v>
      </x:c>
      <x:c r="F126" s="145" t="str">
        <x:v>Détail de la ligne / fiche concernée</x:v>
      </x:c>
      <x:c r="G126" s="145" t="str">
        <x:v>Directe dans l’écran</x:v>
      </x:c>
      <x:c r="H126" s="145" t="str">
        <x:v>Régulière</x:v>
      </x:c>
      <x:c r="I126" s="145" t="str">
        <x:f>OPERATIONS!H126</x:f>
        <x:v>À conserver</x:v>
      </x:c>
      <x:c r="J126" s="145" t="str">
        <x:v>MVP</x:v>
      </x:c>
      <x:c r="K126" s="145"/>
    </x:row>
    <x:row r="127" ht="34" customHeight="1">
      <x:c r="A127" s="145" t="str">
        <x:v>BAN-010</x:v>
      </x:c>
      <x:c r="B127" s="145" t="str">
        <x:v>Banque et caisse</x:v>
      </x:c>
      <x:c r="C127" s="145" t="str">
        <x:v>Rattacher une ligne bancaire à une réservation ou un acompte</x:v>
      </x:c>
      <x:c r="D127" s="145" t="str">
        <x:v>Banque &amp; trésorerie &gt; Banque</x:v>
      </x:c>
      <x:c r="E127" s="145" t="str">
        <x:v>Fiche / action contextuelle</x:v>
      </x:c>
      <x:c r="F127" s="145" t="str">
        <x:v>Détail de la ligne / fiche concernée</x:v>
      </x:c>
      <x:c r="G127" s="145" t="str">
        <x:v>Directe dans l’écran</x:v>
      </x:c>
      <x:c r="H127" s="145" t="str">
        <x:v>Régulière</x:v>
      </x:c>
      <x:c r="I127" s="145" t="str">
        <x:f>OPERATIONS!H127</x:f>
        <x:v>À conserver</x:v>
      </x:c>
      <x:c r="J127" s="145" t="str">
        <x:v>MVP</x:v>
      </x:c>
      <x:c r="K127" s="145"/>
    </x:row>
    <x:row r="128" ht="34" customHeight="1">
      <x:c r="A128" s="145" t="str">
        <x:v>BAN-011</x:v>
      </x:c>
      <x:c r="B128" s="145" t="str">
        <x:v>Banque et caisse</x:v>
      </x:c>
      <x:c r="C128" s="145" t="str">
        <x:v>Rattacher une ligne bancaire à une charge existante</x:v>
      </x:c>
      <x:c r="D128" s="145" t="str">
        <x:v>Banque &amp; trésorerie &gt; Banque</x:v>
      </x:c>
      <x:c r="E128" s="145" t="str">
        <x:v>Fiche / action contextuelle</x:v>
      </x:c>
      <x:c r="F128" s="145" t="str">
        <x:v>Détail de la ligne / fiche concernée</x:v>
      </x:c>
      <x:c r="G128" s="145" t="str">
        <x:v>Directe dans l’écran</x:v>
      </x:c>
      <x:c r="H128" s="145" t="str">
        <x:v>Régulière</x:v>
      </x:c>
      <x:c r="I128" s="145" t="str">
        <x:f>OPERATIONS!H128</x:f>
        <x:v>À conserver</x:v>
      </x:c>
      <x:c r="J128" s="145" t="str">
        <x:v>MVP</x:v>
      </x:c>
      <x:c r="K128" s="145"/>
    </x:row>
    <x:row r="129" ht="34" customHeight="1">
      <x:c r="A129" s="145" t="str">
        <x:v>BAN-012</x:v>
      </x:c>
      <x:c r="B129" s="145" t="str">
        <x:v>Banque et caisse</x:v>
      </x:c>
      <x:c r="C129" s="145" t="str">
        <x:v>Créer une charge depuis une ligne bancaire validée</x:v>
      </x:c>
      <x:c r="D129" s="145" t="str">
        <x:v>Banque &amp; trésorerie &gt; Banque</x:v>
      </x:c>
      <x:c r="E129" s="145" t="str">
        <x:v>Bouton primaire</x:v>
      </x:c>
      <x:c r="F129" s="145" t="str">
        <x:v>En-tête de page, bouton à droite</x:v>
      </x:c>
      <x:c r="G129" s="145" t="str">
        <x:v>Directe dans l’écran</x:v>
      </x:c>
      <x:c r="H129" s="145" t="str">
        <x:v>Régulière</x:v>
      </x:c>
      <x:c r="I129" s="145" t="str">
        <x:f>OPERATIONS!H129</x:f>
        <x:v>À conserver</x:v>
      </x:c>
      <x:c r="J129" s="145" t="str">
        <x:v>MVP</x:v>
      </x:c>
      <x:c r="K129" s="145"/>
    </x:row>
    <x:row r="130" ht="34" customHeight="1">
      <x:c r="A130" s="145" t="str">
        <x:v>BAN-013</x:v>
      </x:c>
      <x:c r="B130" s="145" t="str">
        <x:v>Banque et caisse</x:v>
      </x:c>
      <x:c r="C130" s="145" t="str">
        <x:v>Rattacher un transfert entre comptes</x:v>
      </x:c>
      <x:c r="D130" s="145" t="str">
        <x:v>Banque &amp; trésorerie &gt; Banque</x:v>
      </x:c>
      <x:c r="E130" s="145" t="str">
        <x:v>Fiche / action contextuelle</x:v>
      </x:c>
      <x:c r="F130" s="145" t="str">
        <x:v>Détail de la ligne / fiche concernée</x:v>
      </x:c>
      <x:c r="G130" s="145" t="str">
        <x:v>Directe dans l’écran</x:v>
      </x:c>
      <x:c r="H130" s="145" t="str">
        <x:v>Régulière</x:v>
      </x:c>
      <x:c r="I130" s="145" t="str">
        <x:f>OPERATIONS!H130</x:f>
        <x:v>À conserver</x:v>
      </x:c>
      <x:c r="J130" s="145" t="str">
        <x:v>MVP</x:v>
      </x:c>
      <x:c r="K130" s="145"/>
    </x:row>
    <x:row r="131" ht="34" customHeight="1">
      <x:c r="A131" s="145" t="str">
        <x:v>BAN-014</x:v>
      </x:c>
      <x:c r="B131" s="145" t="str">
        <x:v>Banque et caisse</x:v>
      </x:c>
      <x:c r="C131" s="145" t="str">
        <x:v>Rattacher une avance ou un remboursement associé</x:v>
      </x:c>
      <x:c r="D131" s="145" t="str">
        <x:v>Banque &amp; trésorerie &gt; Banque</x:v>
      </x:c>
      <x:c r="E131" s="145" t="str">
        <x:v>Fiche / action contextuelle</x:v>
      </x:c>
      <x:c r="F131" s="145" t="str">
        <x:v>Détail de la ligne / fiche concernée</x:v>
      </x:c>
      <x:c r="G131" s="145" t="str">
        <x:v>Directe dans l’écran</x:v>
      </x:c>
      <x:c r="H131" s="145" t="str">
        <x:v>Régulière</x:v>
      </x:c>
      <x:c r="I131" s="145" t="str">
        <x:f>OPERATIONS!H131</x:f>
        <x:v>À conserver</x:v>
      </x:c>
      <x:c r="J131" s="145" t="str">
        <x:v>MVP</x:v>
      </x:c>
      <x:c r="K131" s="145"/>
    </x:row>
    <x:row r="132" ht="34" customHeight="1">
      <x:c r="A132" s="145" t="str">
        <x:v>BAN-015</x:v>
      </x:c>
      <x:c r="B132" s="145" t="str">
        <x:v>Banque et caisse</x:v>
      </x:c>
      <x:c r="C132" s="145" t="str">
        <x:v>Détacher et retraiter un rapprochement</x:v>
      </x:c>
      <x:c r="D132" s="145" t="str">
        <x:v>Banque &amp; trésorerie &gt; Banque</x:v>
      </x:c>
      <x:c r="E132" s="145" t="str">
        <x:v>Actions avancées</x:v>
      </x:c>
      <x:c r="F132" s="145" t="str">
        <x:v>Fiche concernée &gt; menu « Actions avancées »</x:v>
      </x:c>
      <x:c r="G132" s="145" t="str">
        <x:v>Secondaire protégée</x:v>
      </x:c>
      <x:c r="H132" s="145" t="str">
        <x:v>Régulière</x:v>
      </x:c>
      <x:c r="I132" s="145" t="str">
        <x:f>OPERATIONS!H132</x:f>
        <x:v>À conserver</x:v>
      </x:c>
      <x:c r="J132" s="145" t="str">
        <x:v>MVP</x:v>
      </x:c>
      <x:c r="K132" s="145"/>
    </x:row>
    <x:row r="133" ht="34" customHeight="1">
      <x:c r="A133" s="145" t="str">
        <x:v>BAN-016</x:v>
      </x:c>
      <x:c r="B133" s="145" t="str">
        <x:v>Banque et caisse</x:v>
      </x:c>
      <x:c r="C133" s="145" t="str">
        <x:v>Comparer le solde bancaire calculé au relevé</x:v>
      </x:c>
      <x:c r="D133" s="145" t="str">
        <x:v>Banque &amp; trésorerie &gt; Banque</x:v>
      </x:c>
      <x:c r="E133" s="145" t="str">
        <x:v>Fiche / action contextuelle</x:v>
      </x:c>
      <x:c r="F133" s="145" t="str">
        <x:v>Fiche concernée</x:v>
      </x:c>
      <x:c r="G133" s="145" t="str">
        <x:v>Directe dans l’écran</x:v>
      </x:c>
      <x:c r="H133" s="145" t="str">
        <x:v>Régulière</x:v>
      </x:c>
      <x:c r="I133" s="145" t="str">
        <x:f>OPERATIONS!H133</x:f>
        <x:v>À conserver</x:v>
      </x:c>
      <x:c r="J133" s="145" t="str">
        <x:v>V2</x:v>
      </x:c>
      <x:c r="K133" s="145"/>
    </x:row>
    <x:row r="134" ht="34" customHeight="1">
      <x:c r="A134" s="145" t="str">
        <x:v>CAI-001</x:v>
      </x:c>
      <x:c r="B134" s="145" t="str">
        <x:v>Banque et caisse</x:v>
      </x:c>
      <x:c r="C134" s="145" t="str">
        <x:v>Enregistrer une entrée de caisse</x:v>
      </x:c>
      <x:c r="D134" s="145" t="str">
        <x:v>Banque &amp; trésorerie &gt; Caisse</x:v>
      </x:c>
      <x:c r="E134" s="145" t="str">
        <x:v>Bouton primaire</x:v>
      </x:c>
      <x:c r="F134" s="145" t="str">
        <x:v>En-tête de page, bouton à droite</x:v>
      </x:c>
      <x:c r="G134" s="145" t="str">
        <x:v>Directe dans l’écran</x:v>
      </x:c>
      <x:c r="H134" s="145" t="str">
        <x:v>Régulière</x:v>
      </x:c>
      <x:c r="I134" s="145" t="str">
        <x:f>OPERATIONS!H134</x:f>
        <x:v>À conserver</x:v>
      </x:c>
      <x:c r="J134" s="145" t="str">
        <x:v>MVP</x:v>
      </x:c>
      <x:c r="K134" s="145"/>
    </x:row>
    <x:row r="135" ht="34" customHeight="1">
      <x:c r="A135" s="145" t="str">
        <x:v>CAI-002</x:v>
      </x:c>
      <x:c r="B135" s="145" t="str">
        <x:v>Banque et caisse</x:v>
      </x:c>
      <x:c r="C135" s="145" t="str">
        <x:v>Enregistrer une sortie de caisse</x:v>
      </x:c>
      <x:c r="D135" s="145" t="str">
        <x:v>Banque &amp; trésorerie &gt; Caisse</x:v>
      </x:c>
      <x:c r="E135" s="145" t="str">
        <x:v>Bouton primaire</x:v>
      </x:c>
      <x:c r="F135" s="145" t="str">
        <x:v>En-tête de page, bouton à droite</x:v>
      </x:c>
      <x:c r="G135" s="145" t="str">
        <x:v>Directe dans l’écran</x:v>
      </x:c>
      <x:c r="H135" s="145" t="str">
        <x:v>Régulière</x:v>
      </x:c>
      <x:c r="I135" s="145" t="str">
        <x:f>OPERATIONS!H135</x:f>
        <x:v>À conserver</x:v>
      </x:c>
      <x:c r="J135" s="145" t="str">
        <x:v>MVP</x:v>
      </x:c>
      <x:c r="K135" s="145"/>
    </x:row>
    <x:row r="136" ht="34" customHeight="1">
      <x:c r="A136" s="145" t="str">
        <x:v>CAI-003</x:v>
      </x:c>
      <x:c r="B136" s="145" t="str">
        <x:v>Banque et caisse</x:v>
      </x:c>
      <x:c r="C136" s="145" t="str">
        <x:v>Enregistrer un transfert banque-caisse</x:v>
      </x:c>
      <x:c r="D136" s="145" t="str">
        <x:v>Banque &amp; trésorerie &gt; Caisse</x:v>
      </x:c>
      <x:c r="E136" s="145" t="str">
        <x:v>Bouton primaire</x:v>
      </x:c>
      <x:c r="F136" s="145" t="str">
        <x:v>En-tête de page, bouton à droite</x:v>
      </x:c>
      <x:c r="G136" s="145" t="str">
        <x:v>Directe dans l’écran</x:v>
      </x:c>
      <x:c r="H136" s="145" t="str">
        <x:v>Régulière</x:v>
      </x:c>
      <x:c r="I136" s="145" t="str">
        <x:f>OPERATIONS!H136</x:f>
        <x:v>À conserver</x:v>
      </x:c>
      <x:c r="J136" s="145" t="str">
        <x:v>MVP</x:v>
      </x:c>
      <x:c r="K136" s="145"/>
    </x:row>
    <x:row r="137" ht="34" customHeight="1">
      <x:c r="A137" s="145" t="str">
        <x:v>CAI-004</x:v>
      </x:c>
      <x:c r="B137" s="145" t="str">
        <x:v>Banque et caisse</x:v>
      </x:c>
      <x:c r="C137" s="145" t="str">
        <x:v>Enregistrer un comptage physique de caisse</x:v>
      </x:c>
      <x:c r="D137" s="145" t="str">
        <x:v>Banque &amp; trésorerie &gt; Caisse</x:v>
      </x:c>
      <x:c r="E137" s="145" t="str">
        <x:v>Bouton primaire</x:v>
      </x:c>
      <x:c r="F137" s="145" t="str">
        <x:v>En-tête de page, bouton à droite</x:v>
      </x:c>
      <x:c r="G137" s="145" t="str">
        <x:v>Directe dans l’écran</x:v>
      </x:c>
      <x:c r="H137" s="145" t="str">
        <x:v>Régulière</x:v>
      </x:c>
      <x:c r="I137" s="145" t="str">
        <x:f>OPERATIONS!H137</x:f>
        <x:v>À conserver</x:v>
      </x:c>
      <x:c r="J137" s="145" t="str">
        <x:v>MVP</x:v>
      </x:c>
      <x:c r="K137" s="145"/>
    </x:row>
    <x:row r="138" ht="34" customHeight="1">
      <x:c r="A138" s="145" t="str">
        <x:v>CAI-005</x:v>
      </x:c>
      <x:c r="B138" s="145" t="str">
        <x:v>Banque et caisse</x:v>
      </x:c>
      <x:c r="C138" s="145" t="str">
        <x:v>Traiter un écart de caisse</x:v>
      </x:c>
      <x:c r="D138" s="145" t="str">
        <x:v>Banque &amp; trésorerie &gt; Caisse</x:v>
      </x:c>
      <x:c r="E138" s="145" t="str">
        <x:v>Fiche / action contextuelle</x:v>
      </x:c>
      <x:c r="F138" s="145" t="str">
        <x:v>Fiche concernée</x:v>
      </x:c>
      <x:c r="G138" s="145" t="str">
        <x:v>Directe dans l’écran</x:v>
      </x:c>
      <x:c r="H138" s="145" t="str">
        <x:v>Régulière</x:v>
      </x:c>
      <x:c r="I138" s="145" t="str">
        <x:f>OPERATIONS!H138</x:f>
        <x:v>À conserver</x:v>
      </x:c>
      <x:c r="J138" s="145" t="str">
        <x:v>MVP</x:v>
      </x:c>
      <x:c r="K138" s="145"/>
    </x:row>
    <x:row r="139" ht="34" customHeight="1">
      <x:c r="A139" s="145" t="str">
        <x:v>CAI-006</x:v>
      </x:c>
      <x:c r="B139" s="145" t="str">
        <x:v>Banque et caisse</x:v>
      </x:c>
      <x:c r="C139" s="145" t="str">
        <x:v>Consulter l’historique de caisse</x:v>
      </x:c>
      <x:c r="D139" s="145" t="str">
        <x:v>Banque &amp; trésorerie &gt; Caisse</x:v>
      </x:c>
      <x:c r="E139" s="145" t="str">
        <x:v>Vue / filtre</x:v>
      </x:c>
      <x:c r="F139" s="145" t="str">
        <x:v>Vue liste, filtre enregistré ou onglet de fiche</x:v>
      </x:c>
      <x:c r="G139" s="145" t="str">
        <x:v>Directe via liste / filtre</x:v>
      </x:c>
      <x:c r="H139" s="145" t="str">
        <x:v>Régulière</x:v>
      </x:c>
      <x:c r="I139" s="145" t="str">
        <x:f>OPERATIONS!H139</x:f>
        <x:v>À conserver</x:v>
      </x:c>
      <x:c r="J139" s="145" t="str">
        <x:v>MVP</x:v>
      </x:c>
      <x:c r="K139" s="145"/>
    </x:row>
    <x:row r="140" ht="34" customHeight="1">
      <x:c r="A140" s="145" t="str">
        <x:v>TRE-001</x:v>
      </x:c>
      <x:c r="B140" s="145" t="str">
        <x:v>Trésorerie</x:v>
      </x:c>
      <x:c r="C140" s="145" t="str">
        <x:v>Consulter le solde bancaire réel</x:v>
      </x:c>
      <x:c r="D140" s="145" t="str">
        <x:v>Accueil &gt; Solde banque + caisse</x:v>
      </x:c>
      <x:c r="E140" s="145" t="str">
        <x:v>Vue / filtre</x:v>
      </x:c>
      <x:c r="F140" s="145" t="str">
        <x:v>Vue liste, filtre enregistré ou onglet de fiche</x:v>
      </x:c>
      <x:c r="G140" s="145" t="str">
        <x:v>Directe via liste / filtre</x:v>
      </x:c>
      <x:c r="H140" s="145" t="str">
        <x:v>Régulière</x:v>
      </x:c>
      <x:c r="I140" s="145" t="str">
        <x:f>OPERATIONS!H140</x:f>
        <x:v>À conserver</x:v>
      </x:c>
      <x:c r="J140" s="145" t="str">
        <x:v>MVP</x:v>
      </x:c>
      <x:c r="K140" s="145"/>
    </x:row>
    <x:row r="141" ht="34" customHeight="1">
      <x:c r="A141" s="145" t="str">
        <x:v>TRE-002</x:v>
      </x:c>
      <x:c r="B141" s="145" t="str">
        <x:v>Trésorerie</x:v>
      </x:c>
      <x:c r="C141" s="145" t="str">
        <x:v>Consulter le solde de caisse réel</x:v>
      </x:c>
      <x:c r="D141" s="145" t="str">
        <x:v>Accueil &gt; Solde banque + caisse</x:v>
      </x:c>
      <x:c r="E141" s="145" t="str">
        <x:v>Vue / filtre</x:v>
      </x:c>
      <x:c r="F141" s="145" t="str">
        <x:v>Vue liste, filtre enregistré ou onglet de fiche</x:v>
      </x:c>
      <x:c r="G141" s="145" t="str">
        <x:v>Directe via liste / filtre</x:v>
      </x:c>
      <x:c r="H141" s="145" t="str">
        <x:v>Régulière</x:v>
      </x:c>
      <x:c r="I141" s="145" t="str">
        <x:f>OPERATIONS!H141</x:f>
        <x:v>À conserver</x:v>
      </x:c>
      <x:c r="J141" s="145" t="str">
        <x:v>MVP</x:v>
      </x:c>
      <x:c r="K141" s="145"/>
    </x:row>
    <x:row r="142" ht="34" customHeight="1">
      <x:c r="A142" s="145" t="str">
        <x:v>TRE-003</x:v>
      </x:c>
      <x:c r="B142" s="145" t="str">
        <x:v>Trésorerie</x:v>
      </x:c>
      <x:c r="C142" s="145" t="str">
        <x:v>Créer ou modifier une dépense fixe prévisionnelle</x:v>
      </x:c>
      <x:c r="D142" s="145" t="str">
        <x:v>Banque &amp; trésorerie &gt; Prévisions de trésorerie</x:v>
      </x:c>
      <x:c r="E142" s="145" t="str">
        <x:v>Bouton primaire</x:v>
      </x:c>
      <x:c r="F142" s="145" t="str">
        <x:v>En-tête de page, bouton à droite</x:v>
      </x:c>
      <x:c r="G142" s="145" t="str">
        <x:v>Directe dans l’écran</x:v>
      </x:c>
      <x:c r="H142" s="145" t="str">
        <x:v>Régulière</x:v>
      </x:c>
      <x:c r="I142" s="145" t="str">
        <x:f>OPERATIONS!H142</x:f>
        <x:v>À conserver</x:v>
      </x:c>
      <x:c r="J142" s="145" t="str">
        <x:v>MVP</x:v>
      </x:c>
      <x:c r="K142" s="145"/>
    </x:row>
    <x:row r="143" ht="34" customHeight="1">
      <x:c r="A143" s="145" t="str">
        <x:v>TRE-004</x:v>
      </x:c>
      <x:c r="B143" s="145" t="str">
        <x:v>Trésorerie</x:v>
      </x:c>
      <x:c r="C143" s="145" t="str">
        <x:v>Ajouter un encaissement prévisionnel</x:v>
      </x:c>
      <x:c r="D143" s="145" t="str">
        <x:v>Banque &amp; trésorerie &gt; Prévisions de trésorerie</x:v>
      </x:c>
      <x:c r="E143" s="145" t="str">
        <x:v>Bouton primaire</x:v>
      </x:c>
      <x:c r="F143" s="145" t="str">
        <x:v>En-tête de page, bouton à droite</x:v>
      </x:c>
      <x:c r="G143" s="145" t="str">
        <x:v>Directe dans l’écran</x:v>
      </x:c>
      <x:c r="H143" s="145" t="str">
        <x:v>Régulière</x:v>
      </x:c>
      <x:c r="I143" s="145" t="str">
        <x:f>OPERATIONS!H143</x:f>
        <x:v>À conserver</x:v>
      </x:c>
      <x:c r="J143" s="145" t="str">
        <x:v>MVP</x:v>
      </x:c>
      <x:c r="K143" s="145"/>
    </x:row>
    <x:row r="144" ht="34" customHeight="1">
      <x:c r="A144" s="145" t="str">
        <x:v>TRE-005</x:v>
      </x:c>
      <x:c r="B144" s="145" t="str">
        <x:v>Trésorerie</x:v>
      </x:c>
      <x:c r="C144" s="145" t="str">
        <x:v>Projeter les factures fournisseurs à payer</x:v>
      </x:c>
      <x:c r="D144" s="145" t="str">
        <x:v>Banque &amp; trésorerie &gt; Prévisions de trésorerie</x:v>
      </x:c>
      <x:c r="E144" s="145" t="str">
        <x:v>Fiche / action contextuelle</x:v>
      </x:c>
      <x:c r="F144" s="145" t="str">
        <x:v>Fiche concernée</x:v>
      </x:c>
      <x:c r="G144" s="145" t="str">
        <x:v>Directe dans l’écran</x:v>
      </x:c>
      <x:c r="H144" s="145" t="str">
        <x:v>Régulière</x:v>
      </x:c>
      <x:c r="I144" s="145" t="str">
        <x:f>OPERATIONS!H144</x:f>
        <x:v>À conserver</x:v>
      </x:c>
      <x:c r="J144" s="145" t="str">
        <x:v>MVP</x:v>
      </x:c>
      <x:c r="K144" s="145"/>
    </x:row>
    <x:row r="145" ht="34" customHeight="1">
      <x:c r="A145" s="145" t="str">
        <x:v>TRE-006</x:v>
      </x:c>
      <x:c r="B145" s="145" t="str">
        <x:v>Trésorerie</x:v>
      </x:c>
      <x:c r="C145" s="145" t="str">
        <x:v>Projeter les reversements propriétaires</x:v>
      </x:c>
      <x:c r="D145" s="145" t="str">
        <x:v>Banque &amp; trésorerie &gt; Prévisions de trésorerie</x:v>
      </x:c>
      <x:c r="E145" s="145" t="str">
        <x:v>Fiche / action contextuelle</x:v>
      </x:c>
      <x:c r="F145" s="145" t="str">
        <x:v>Fiche concernée</x:v>
      </x:c>
      <x:c r="G145" s="145" t="str">
        <x:v>Directe dans l’écran</x:v>
      </x:c>
      <x:c r="H145" s="145" t="str">
        <x:v>Régulière</x:v>
      </x:c>
      <x:c r="I145" s="145" t="str">
        <x:f>OPERATIONS!H145</x:f>
        <x:v>À conserver</x:v>
      </x:c>
      <x:c r="J145" s="145" t="str">
        <x:v>MVP</x:v>
      </x:c>
      <x:c r="K145" s="145"/>
    </x:row>
    <x:row r="146" ht="34" customHeight="1">
      <x:c r="A146" s="145" t="str">
        <x:v>TRE-007</x:v>
      </x:c>
      <x:c r="B146" s="145" t="str">
        <x:v>Trésorerie</x:v>
      </x:c>
      <x:c r="C146" s="145" t="str">
        <x:v>Consulter la trésorerie prévisionnelle</x:v>
      </x:c>
      <x:c r="D146" s="145" t="str">
        <x:v>Banque &amp; trésorerie &gt; Prévisions de trésorerie</x:v>
      </x:c>
      <x:c r="E146" s="145" t="str">
        <x:v>Vue / filtre</x:v>
      </x:c>
      <x:c r="F146" s="145" t="str">
        <x:v>Vue liste, filtre enregistré ou onglet de fiche</x:v>
      </x:c>
      <x:c r="G146" s="145" t="str">
        <x:v>Directe via liste / filtre</x:v>
      </x:c>
      <x:c r="H146" s="145" t="str">
        <x:v>Régulière</x:v>
      </x:c>
      <x:c r="I146" s="145" t="str">
        <x:f>OPERATIONS!H146</x:f>
        <x:v>À conserver</x:v>
      </x:c>
      <x:c r="J146" s="145" t="str">
        <x:v>MVP</x:v>
      </x:c>
      <x:c r="K146" s="145"/>
    </x:row>
    <x:row r="147" ht="34" customHeight="1">
      <x:c r="A147" s="145" t="str">
        <x:v>TRE-008</x:v>
      </x:c>
      <x:c r="B147" s="145" t="str">
        <x:v>Trésorerie</x:v>
      </x:c>
      <x:c r="C147" s="145" t="str">
        <x:v>Afficher les alertes de trésorerie</x:v>
      </x:c>
      <x:c r="D147" s="145" t="str">
        <x:v>Banque &amp; trésorerie &gt; Prévisions de trésorerie</x:v>
      </x:c>
      <x:c r="E147" s="145" t="str">
        <x:v>Vue / filtre</x:v>
      </x:c>
      <x:c r="F147" s="145" t="str">
        <x:v>Vue liste, filtre enregistré ou onglet de fiche</x:v>
      </x:c>
      <x:c r="G147" s="145" t="str">
        <x:v>Directe via liste / filtre</x:v>
      </x:c>
      <x:c r="H147" s="145" t="str">
        <x:v>Régulière</x:v>
      </x:c>
      <x:c r="I147" s="145" t="str">
        <x:f>OPERATIONS!H147</x:f>
        <x:v>À conserver</x:v>
      </x:c>
      <x:c r="J147" s="145" t="str">
        <x:v>MVP</x:v>
      </x:c>
      <x:c r="K147" s="145"/>
    </x:row>
    <x:row r="148" ht="34" customHeight="1">
      <x:c r="A148" s="145" t="str">
        <x:v>TRE-009</x:v>
      </x:c>
      <x:c r="B148" s="145" t="str">
        <x:v>Trésorerie</x:v>
      </x:c>
      <x:c r="C148" s="145" t="str">
        <x:v>Comparer prévision et réalisé</x:v>
      </x:c>
      <x:c r="D148" s="145" t="str">
        <x:v>Banque &amp; trésorerie &gt; Prévisions de trésorerie</x:v>
      </x:c>
      <x:c r="E148" s="145" t="str">
        <x:v>Fiche / action contextuelle</x:v>
      </x:c>
      <x:c r="F148" s="145" t="str">
        <x:v>Fiche concernée</x:v>
      </x:c>
      <x:c r="G148" s="145" t="str">
        <x:v>Directe dans l’écran</x:v>
      </x:c>
      <x:c r="H148" s="145" t="str">
        <x:v>Régulière</x:v>
      </x:c>
      <x:c r="I148" s="145" t="str">
        <x:f>OPERATIONS!H148</x:f>
        <x:v>À retirer</x:v>
      </x:c>
      <x:c r="J148" s="145" t="str">
        <x:v>V2</x:v>
      </x:c>
      <x:c r="K148" s="145"/>
    </x:row>
    <x:row r="149" ht="34" customHeight="1">
      <x:c r="A149" s="145" t="str">
        <x:v>TRE-010</x:v>
      </x:c>
      <x:c r="B149" s="145" t="str">
        <x:v>Trésorerie</x:v>
      </x:c>
      <x:c r="C149" s="145" t="str">
        <x:v>Simuler un scénario de trésorerie</x:v>
      </x:c>
      <x:c r="D149" s="145" t="str">
        <x:v>Banque &amp; trésorerie &gt; Prévisions de trésorerie</x:v>
      </x:c>
      <x:c r="E149" s="145" t="str">
        <x:v>Fiche / action contextuelle</x:v>
      </x:c>
      <x:c r="F149" s="145" t="str">
        <x:v>Fiche concernée</x:v>
      </x:c>
      <x:c r="G149" s="145" t="str">
        <x:v>Directe dans l’écran</x:v>
      </x:c>
      <x:c r="H149" s="145" t="str">
        <x:v>Régulière</x:v>
      </x:c>
      <x:c r="I149" s="145" t="str">
        <x:f>OPERATIONS!H149</x:f>
        <x:v>À retirer</x:v>
      </x:c>
      <x:c r="J149" s="145" t="str">
        <x:v>V2</x:v>
      </x:c>
      <x:c r="K149" s="145"/>
    </x:row>
    <x:row r="150" ht="34" customHeight="1">
      <x:c r="A150" s="145" t="str">
        <x:v>ASS-001</x:v>
      </x:c>
      <x:c r="B150" s="145" t="str">
        <x:v>Associés, avances et avantages</x:v>
      </x:c>
      <x:c r="C150" s="145" t="str">
        <x:v>Enregistrer une dépense professionnelle payée personnellement</x:v>
      </x:c>
      <x:c r="D150" s="145" t="str">
        <x:v>Banque &amp; trésorerie &gt; Associés / avances</x:v>
      </x:c>
      <x:c r="E150" s="145" t="str">
        <x:v>Bouton primaire</x:v>
      </x:c>
      <x:c r="F150" s="145" t="str">
        <x:v>En-tête de page, bouton à droite</x:v>
      </x:c>
      <x:c r="G150" s="145" t="str">
        <x:v>Directe dans l’écran</x:v>
      </x:c>
      <x:c r="H150" s="145" t="str">
        <x:v>Régulière</x:v>
      </x:c>
      <x:c r="I150" s="145" t="str">
        <x:f>OPERATIONS!H150</x:f>
        <x:v>À conserver</x:v>
      </x:c>
      <x:c r="J150" s="145" t="str">
        <x:v>MVP</x:v>
      </x:c>
      <x:c r="K150" s="145"/>
    </x:row>
    <x:row r="151" ht="34" customHeight="1">
      <x:c r="A151" s="145" t="str">
        <x:v>ASS-002</x:v>
      </x:c>
      <x:c r="B151" s="145" t="str">
        <x:v>Associés, avances et avantages</x:v>
      </x:c>
      <x:c r="C151" s="145" t="str">
        <x:v>Enregistrer une dépense personnelle payée par la société</x:v>
      </x:c>
      <x:c r="D151" s="145" t="str">
        <x:v>Banque &amp; trésorerie &gt; Associés / avances</x:v>
      </x:c>
      <x:c r="E151" s="145" t="str">
        <x:v>Bouton primaire</x:v>
      </x:c>
      <x:c r="F151" s="145" t="str">
        <x:v>En-tête de page, bouton à droite</x:v>
      </x:c>
      <x:c r="G151" s="145" t="str">
        <x:v>Directe dans l’écran</x:v>
      </x:c>
      <x:c r="H151" s="145" t="str">
        <x:v>Régulière</x:v>
      </x:c>
      <x:c r="I151" s="145" t="str">
        <x:f>OPERATIONS!H151</x:f>
        <x:v>À conserver</x:v>
      </x:c>
      <x:c r="J151" s="145" t="str">
        <x:v>MVP</x:v>
      </x:c>
      <x:c r="K151" s="145"/>
    </x:row>
    <x:row r="152" ht="34" customHeight="1">
      <x:c r="A152" s="145" t="str">
        <x:v>ASS-003</x:v>
      </x:c>
      <x:c r="B152" s="145" t="str">
        <x:v>Associés, avances et avantages</x:v>
      </x:c>
      <x:c r="C152" s="145" t="str">
        <x:v>Enregistrer une avance d’associé</x:v>
      </x:c>
      <x:c r="D152" s="145" t="str">
        <x:v>Banque &amp; trésorerie &gt; Associés / avances</x:v>
      </x:c>
      <x:c r="E152" s="145" t="str">
        <x:v>Bouton primaire</x:v>
      </x:c>
      <x:c r="F152" s="145" t="str">
        <x:v>En-tête de page, bouton à droite</x:v>
      </x:c>
      <x:c r="G152" s="145" t="str">
        <x:v>Directe dans l’écran</x:v>
      </x:c>
      <x:c r="H152" s="145" t="str">
        <x:v>Régulière</x:v>
      </x:c>
      <x:c r="I152" s="145" t="str">
        <x:f>OPERATIONS!H152</x:f>
        <x:v>À conserver</x:v>
      </x:c>
      <x:c r="J152" s="145" t="str">
        <x:v>MVP</x:v>
      </x:c>
      <x:c r="K152" s="145"/>
    </x:row>
    <x:row r="153" ht="34" customHeight="1">
      <x:c r="A153" s="145" t="str">
        <x:v>ASS-004</x:v>
      </x:c>
      <x:c r="B153" s="145" t="str">
        <x:v>Associés, avances et avantages</x:v>
      </x:c>
      <x:c r="C153" s="145" t="str">
        <x:v>Enregistrer un remboursement d’associé</x:v>
      </x:c>
      <x:c r="D153" s="145" t="str">
        <x:v>Banque &amp; trésorerie &gt; Associés / avances</x:v>
      </x:c>
      <x:c r="E153" s="145" t="str">
        <x:v>Bouton primaire</x:v>
      </x:c>
      <x:c r="F153" s="145" t="str">
        <x:v>En-tête de page, bouton à droite</x:v>
      </x:c>
      <x:c r="G153" s="145" t="str">
        <x:v>Directe dans l’écran</x:v>
      </x:c>
      <x:c r="H153" s="145" t="str">
        <x:v>Régulière</x:v>
      </x:c>
      <x:c r="I153" s="145" t="str">
        <x:f>OPERATIONS!H153</x:f>
        <x:v>À conserver</x:v>
      </x:c>
      <x:c r="J153" s="145" t="str">
        <x:v>MVP</x:v>
      </x:c>
      <x:c r="K153" s="145"/>
    </x:row>
    <x:row r="154" ht="34" customHeight="1">
      <x:c r="A154" s="145" t="str">
        <x:v>ASS-005</x:v>
      </x:c>
      <x:c r="B154" s="145" t="str">
        <x:v>Associés, avances et avantages</x:v>
      </x:c>
      <x:c r="C154" s="145" t="str">
        <x:v>Enregistrer un montant récupéré hors Hostaway</x:v>
      </x:c>
      <x:c r="D154" s="145" t="str">
        <x:v>Banque &amp; trésorerie &gt; Associés / avances</x:v>
      </x:c>
      <x:c r="E154" s="145" t="str">
        <x:v>Bouton primaire</x:v>
      </x:c>
      <x:c r="F154" s="145" t="str">
        <x:v>En-tête de page, bouton à droite</x:v>
      </x:c>
      <x:c r="G154" s="145" t="str">
        <x:v>Directe dans l’écran</x:v>
      </x:c>
      <x:c r="H154" s="145" t="str">
        <x:v>Régulière</x:v>
      </x:c>
      <x:c r="I154" s="145" t="str">
        <x:f>OPERATIONS!H154</x:f>
        <x:v>À conserver</x:v>
      </x:c>
      <x:c r="J154" s="145" t="str">
        <x:v>MVP</x:v>
      </x:c>
      <x:c r="K154" s="145"/>
    </x:row>
    <x:row r="155" ht="34" customHeight="1">
      <x:c r="A155" s="145" t="str">
        <x:v>ASS-006</x:v>
      </x:c>
      <x:c r="B155" s="145" t="str">
        <x:v>Associés, avances et avantages</x:v>
      </x:c>
      <x:c r="C155" s="145" t="str">
        <x:v>Consulter le solde par associé</x:v>
      </x:c>
      <x:c r="D155" s="145" t="str">
        <x:v>Banque &amp; trésorerie &gt; Associés / avances</x:v>
      </x:c>
      <x:c r="E155" s="145" t="str">
        <x:v>Vue / filtre</x:v>
      </x:c>
      <x:c r="F155" s="145" t="str">
        <x:v>Vue liste, filtre enregistré ou onglet de fiche</x:v>
      </x:c>
      <x:c r="G155" s="145" t="str">
        <x:v>Directe via liste / filtre</x:v>
      </x:c>
      <x:c r="H155" s="145" t="str">
        <x:v>Régulière</x:v>
      </x:c>
      <x:c r="I155" s="145" t="str">
        <x:f>OPERATIONS!H155</x:f>
        <x:v>À conserver</x:v>
      </x:c>
      <x:c r="J155" s="145" t="str">
        <x:v>MVP</x:v>
      </x:c>
      <x:c r="K155" s="145"/>
    </x:row>
    <x:row r="156" ht="34" customHeight="1">
      <x:c r="A156" s="145" t="str">
        <x:v>ASS-007</x:v>
      </x:c>
      <x:c r="B156" s="145" t="str">
        <x:v>Associés, avances et avantages</x:v>
      </x:c>
      <x:c r="C156" s="145" t="str">
        <x:v>Joindre un justificatif à un mouvement associé</x:v>
      </x:c>
      <x:c r="D156" s="145" t="str">
        <x:v>Banque &amp; trésorerie &gt; Associés / avances</x:v>
      </x:c>
      <x:c r="E156" s="145" t="str">
        <x:v>Fiche / action contextuelle</x:v>
      </x:c>
      <x:c r="F156" s="145" t="str">
        <x:v>Fiche concernée</x:v>
      </x:c>
      <x:c r="G156" s="145" t="str">
        <x:v>Directe dans l’écran</x:v>
      </x:c>
      <x:c r="H156" s="145" t="str">
        <x:v>Régulière</x:v>
      </x:c>
      <x:c r="I156" s="145" t="str">
        <x:f>OPERATIONS!H156</x:f>
        <x:v>À conserver</x:v>
      </x:c>
      <x:c r="J156" s="145" t="str">
        <x:v>V2</x:v>
      </x:c>
      <x:c r="K156" s="145"/>
    </x:row>
    <x:row r="157" ht="34" customHeight="1">
      <x:c r="A157" s="145" t="str">
        <x:v>COM-001</x:v>
      </x:c>
      <x:c r="B157" s="145" t="str">
        <x:v>Suivi comptable</x:v>
      </x:c>
      <x:c r="C157" s="145" t="str">
        <x:v>Lister les pièces à comptabiliser</x:v>
      </x:c>
      <x:c r="D157" s="145" t="str">
        <x:v>Pilotage &amp; clôture &gt; Précomptabilité</x:v>
      </x:c>
      <x:c r="E157" s="145" t="str">
        <x:v>Vue / filtre</x:v>
      </x:c>
      <x:c r="F157" s="145" t="str">
        <x:v>Vue liste, filtre enregistré ou onglet de fiche</x:v>
      </x:c>
      <x:c r="G157" s="145" t="str">
        <x:v>Directe via liste / filtre</x:v>
      </x:c>
      <x:c r="H157" s="145" t="str">
        <x:v>Mensuelle / ponctuelle</x:v>
      </x:c>
      <x:c r="I157" s="145" t="str">
        <x:f>OPERATIONS!H157</x:f>
        <x:v>À conserver</x:v>
      </x:c>
      <x:c r="J157" s="145" t="str">
        <x:v>MVP</x:v>
      </x:c>
      <x:c r="K157" s="145"/>
    </x:row>
    <x:row r="158" ht="34" customHeight="1">
      <x:c r="A158" s="145" t="str">
        <x:v>COM-002</x:v>
      </x:c>
      <x:c r="B158" s="145" t="str">
        <x:v>Suivi comptable</x:v>
      </x:c>
      <x:c r="C158" s="145" t="str">
        <x:v>Vérifier la présence des justificatifs</x:v>
      </x:c>
      <x:c r="D158" s="145" t="str">
        <x:v>Pilotage &amp; clôture &gt; Précomptabilité</x:v>
      </x:c>
      <x:c r="E158" s="145" t="str">
        <x:v>Fiche / action contextuelle</x:v>
      </x:c>
      <x:c r="F158" s="145" t="str">
        <x:v>Fiche concernée</x:v>
      </x:c>
      <x:c r="G158" s="145" t="str">
        <x:v>Directe dans l’écran</x:v>
      </x:c>
      <x:c r="H158" s="145" t="str">
        <x:v>Mensuelle / ponctuelle</x:v>
      </x:c>
      <x:c r="I158" s="145" t="str">
        <x:f>OPERATIONS!H158</x:f>
        <x:v>À conserver</x:v>
      </x:c>
      <x:c r="J158" s="145" t="str">
        <x:v>MVP</x:v>
      </x:c>
      <x:c r="K158" s="145"/>
    </x:row>
    <x:row r="159" ht="34" customHeight="1">
      <x:c r="A159" s="145" t="str">
        <x:v>COM-003</x:v>
      </x:c>
      <x:c r="B159" s="145" t="str">
        <x:v>Suivi comptable</x:v>
      </x:c>
      <x:c r="C159" s="145" t="str">
        <x:v>Classer l’impact réel et comptable</x:v>
      </x:c>
      <x:c r="D159" s="145" t="str">
        <x:v>Pilotage &amp; clôture &gt; Précomptabilité</x:v>
      </x:c>
      <x:c r="E159" s="145" t="str">
        <x:v>Fiche / action contextuelle</x:v>
      </x:c>
      <x:c r="F159" s="145" t="str">
        <x:v>Détail de la ligne / fiche concernée</x:v>
      </x:c>
      <x:c r="G159" s="145" t="str">
        <x:v>Directe dans l’écran</x:v>
      </x:c>
      <x:c r="H159" s="145" t="str">
        <x:v>Mensuelle / ponctuelle</x:v>
      </x:c>
      <x:c r="I159" s="145" t="str">
        <x:f>OPERATIONS!H159</x:f>
        <x:v>À conserver</x:v>
      </x:c>
      <x:c r="J159" s="145" t="str">
        <x:v>MVP</x:v>
      </x:c>
      <x:c r="K159" s="145"/>
    </x:row>
    <x:row r="160" ht="34" customHeight="1">
      <x:c r="A160" s="145" t="str">
        <x:v>COM-004</x:v>
      </x:c>
      <x:c r="B160" s="145" t="str">
        <x:v>Suivi comptable</x:v>
      </x:c>
      <x:c r="C160" s="145" t="str">
        <x:v>Marquer une opération comme transmise à la comptabilité</x:v>
      </x:c>
      <x:c r="D160" s="145" t="str">
        <x:v>Pilotage &amp; clôture &gt; Précomptabilité</x:v>
      </x:c>
      <x:c r="E160" s="145" t="str">
        <x:v>Fiche / action contextuelle</x:v>
      </x:c>
      <x:c r="F160" s="145" t="str">
        <x:v>Fiche concernée</x:v>
      </x:c>
      <x:c r="G160" s="145" t="str">
        <x:v>Directe dans l’écran</x:v>
      </x:c>
      <x:c r="H160" s="145" t="str">
        <x:v>Mensuelle / ponctuelle</x:v>
      </x:c>
      <x:c r="I160" s="145" t="str">
        <x:f>OPERATIONS!H160</x:f>
        <x:v>À conserver</x:v>
      </x:c>
      <x:c r="J160" s="145" t="str">
        <x:v>MVP</x:v>
      </x:c>
      <x:c r="K160" s="145"/>
    </x:row>
    <x:row r="161" ht="34" customHeight="1">
      <x:c r="A161" s="145" t="str">
        <x:v>COM-005</x:v>
      </x:c>
      <x:c r="B161" s="145" t="str">
        <x:v>Suivi comptable</x:v>
      </x:c>
      <x:c r="C161" s="145" t="str">
        <x:v>Marquer une opération comme comptabilisée</x:v>
      </x:c>
      <x:c r="D161" s="145" t="str">
        <x:v>Pilotage &amp; clôture &gt; Précomptabilité</x:v>
      </x:c>
      <x:c r="E161" s="145" t="str">
        <x:v>Fiche / action contextuelle</x:v>
      </x:c>
      <x:c r="F161" s="145" t="str">
        <x:v>Fiche concernée</x:v>
      </x:c>
      <x:c r="G161" s="145" t="str">
        <x:v>Directe dans l’écran</x:v>
      </x:c>
      <x:c r="H161" s="145" t="str">
        <x:v>Mensuelle / ponctuelle</x:v>
      </x:c>
      <x:c r="I161" s="145" t="str">
        <x:f>OPERATIONS!H161</x:f>
        <x:v>À conserver</x:v>
      </x:c>
      <x:c r="J161" s="145" t="str">
        <x:v>MVP</x:v>
      </x:c>
      <x:c r="K161" s="145"/>
    </x:row>
    <x:row r="162" ht="34" customHeight="1">
      <x:c r="A162" s="145" t="str">
        <x:v>COM-006</x:v>
      </x:c>
      <x:c r="B162" s="145" t="str">
        <x:v>Suivi comptable</x:v>
      </x:c>
      <x:c r="C162" s="145" t="str">
        <x:v>Consulter les opérations non comptabilisées</x:v>
      </x:c>
      <x:c r="D162" s="145" t="str">
        <x:v>Pilotage &amp; clôture &gt; Précomptabilité</x:v>
      </x:c>
      <x:c r="E162" s="145" t="str">
        <x:v>Vue / filtre</x:v>
      </x:c>
      <x:c r="F162" s="145" t="str">
        <x:v>Vue liste, filtre enregistré ou onglet de fiche</x:v>
      </x:c>
      <x:c r="G162" s="145" t="str">
        <x:v>Directe via liste / filtre</x:v>
      </x:c>
      <x:c r="H162" s="145" t="str">
        <x:v>Mensuelle / ponctuelle</x:v>
      </x:c>
      <x:c r="I162" s="145" t="str">
        <x:f>OPERATIONS!H162</x:f>
        <x:v>À conserver</x:v>
      </x:c>
      <x:c r="J162" s="145" t="str">
        <x:v>MVP</x:v>
      </x:c>
      <x:c r="K162" s="145"/>
    </x:row>
    <x:row r="163" ht="34" customHeight="1">
      <x:c r="A163" s="145" t="str">
        <x:v>COM-007</x:v>
      </x:c>
      <x:c r="B163" s="145" t="str">
        <x:v>Suivi comptable</x:v>
      </x:c>
      <x:c r="C163" s="145" t="str">
        <x:v>Exporter un lot précomptable</x:v>
      </x:c>
      <x:c r="D163" s="145" t="str">
        <x:v>Pilotage &amp; clôture &gt; Précomptabilité</x:v>
      </x:c>
      <x:c r="E163" s="145" t="str">
        <x:v>Fiche / action contextuelle</x:v>
      </x:c>
      <x:c r="F163" s="145" t="str">
        <x:v>Fiche concernée</x:v>
      </x:c>
      <x:c r="G163" s="145" t="str">
        <x:v>Directe dans l’écran</x:v>
      </x:c>
      <x:c r="H163" s="145" t="str">
        <x:v>Rare</x:v>
      </x:c>
      <x:c r="I163" s="145" t="str">
        <x:f>OPERATIONS!H163</x:f>
        <x:v>À conserver</x:v>
      </x:c>
      <x:c r="J163" s="145" t="str">
        <x:v>V2</x:v>
      </x:c>
      <x:c r="K163" s="145"/>
    </x:row>
    <x:row r="164" ht="34" customHeight="1">
      <x:c r="A164" s="145" t="str">
        <x:v>COM-008</x:v>
      </x:c>
      <x:c r="B164" s="145" t="str">
        <x:v>Suivi comptable</x:v>
      </x:c>
      <x:c r="C164" s="145" t="str">
        <x:v>Consulter les anomalies comptables ouvertes</x:v>
      </x:c>
      <x:c r="D164" s="145" t="str">
        <x:v>Pilotage &amp; clôture &gt; Précomptabilité</x:v>
      </x:c>
      <x:c r="E164" s="145" t="str">
        <x:v>Vue / filtre</x:v>
      </x:c>
      <x:c r="F164" s="145" t="str">
        <x:v>Vue liste, filtre enregistré ou onglet de fiche</x:v>
      </x:c>
      <x:c r="G164" s="145" t="str">
        <x:v>Directe via liste / filtre</x:v>
      </x:c>
      <x:c r="H164" s="145" t="str">
        <x:v>Mensuelle / ponctuelle</x:v>
      </x:c>
      <x:c r="I164" s="145" t="str">
        <x:f>OPERATIONS!H164</x:f>
        <x:v>À conserver</x:v>
      </x:c>
      <x:c r="J164" s="145" t="str">
        <x:v>MVP</x:v>
      </x:c>
      <x:c r="K164" s="145"/>
    </x:row>
    <x:row r="165" ht="34" customHeight="1">
      <x:c r="A165" s="145" t="str">
        <x:v>CLO-001</x:v>
      </x:c>
      <x:c r="B165" s="145" t="str">
        <x:v>Clôture</x:v>
      </x:c>
      <x:c r="C165" s="145" t="str">
        <x:v>Consulter l’état de préparation à la clôture</x:v>
      </x:c>
      <x:c r="D165" s="145" t="str">
        <x:v>Pilotage &amp; clôture &gt; Clôture mensuelle</x:v>
      </x:c>
      <x:c r="E165" s="145" t="str">
        <x:v>Vue / filtre</x:v>
      </x:c>
      <x:c r="F165" s="145" t="str">
        <x:v>Vue liste, filtre enregistré ou onglet de fiche</x:v>
      </x:c>
      <x:c r="G165" s="145" t="str">
        <x:v>Directe via liste / filtre</x:v>
      </x:c>
      <x:c r="H165" s="145" t="str">
        <x:v>Mensuelle / ponctuelle</x:v>
      </x:c>
      <x:c r="I165" s="145" t="str">
        <x:f>OPERATIONS!H165</x:f>
        <x:v>À conserver</x:v>
      </x:c>
      <x:c r="J165" s="145" t="str">
        <x:v>MVP</x:v>
      </x:c>
      <x:c r="K165" s="145"/>
    </x:row>
    <x:row r="166" ht="34" customHeight="1">
      <x:c r="A166" s="145" t="str">
        <x:v>CLO-002</x:v>
      </x:c>
      <x:c r="B166" s="145" t="str">
        <x:v>Clôture</x:v>
      </x:c>
      <x:c r="C166" s="145" t="str">
        <x:v>Passer un mois en contrôle</x:v>
      </x:c>
      <x:c r="D166" s="145" t="str">
        <x:v>Pilotage &amp; clôture &gt; Clôture mensuelle</x:v>
      </x:c>
      <x:c r="E166" s="145" t="str">
        <x:v>Fiche / action contextuelle</x:v>
      </x:c>
      <x:c r="F166" s="145" t="str">
        <x:v>Fiche concernée</x:v>
      </x:c>
      <x:c r="G166" s="145" t="str">
        <x:v>Directe dans l’écran</x:v>
      </x:c>
      <x:c r="H166" s="145" t="str">
        <x:v>Mensuelle / ponctuelle</x:v>
      </x:c>
      <x:c r="I166" s="145" t="str">
        <x:f>OPERATIONS!H166</x:f>
        <x:v>À conserver</x:v>
      </x:c>
      <x:c r="J166" s="145" t="str">
        <x:v>MVP</x:v>
      </x:c>
      <x:c r="K166" s="145"/>
    </x:row>
    <x:row r="167" ht="34" customHeight="1">
      <x:c r="A167" s="145" t="str">
        <x:v>CLO-003</x:v>
      </x:c>
      <x:c r="B167" s="145" t="str">
        <x:v>Clôture</x:v>
      </x:c>
      <x:c r="C167" s="145" t="str">
        <x:v>Voir les contrôles bloquants</x:v>
      </x:c>
      <x:c r="D167" s="145" t="str">
        <x:v>Pilotage &amp; clôture &gt; Clôture mensuelle</x:v>
      </x:c>
      <x:c r="E167" s="145" t="str">
        <x:v>Vue / filtre</x:v>
      </x:c>
      <x:c r="F167" s="145" t="str">
        <x:v>Vue liste, filtre enregistré ou onglet de fiche</x:v>
      </x:c>
      <x:c r="G167" s="145" t="str">
        <x:v>Directe via liste / filtre</x:v>
      </x:c>
      <x:c r="H167" s="145" t="str">
        <x:v>Mensuelle / ponctuelle</x:v>
      </x:c>
      <x:c r="I167" s="145" t="str">
        <x:f>OPERATIONS!H167</x:f>
        <x:v>À conserver</x:v>
      </x:c>
      <x:c r="J167" s="145" t="str">
        <x:v>MVP</x:v>
      </x:c>
      <x:c r="K167" s="145"/>
    </x:row>
    <x:row r="168" ht="34" customHeight="1">
      <x:c r="A168" s="145" t="str">
        <x:v>CLO-004</x:v>
      </x:c>
      <x:c r="B168" s="145" t="str">
        <x:v>Clôture</x:v>
      </x:c>
      <x:c r="C168" s="145" t="str">
        <x:v>Valider un sous-module</x:v>
      </x:c>
      <x:c r="D168" s="145" t="str">
        <x:v>Pilotage &amp; clôture &gt; Clôture mensuelle</x:v>
      </x:c>
      <x:c r="E168" s="145" t="str">
        <x:v>Fiche / action contextuelle</x:v>
      </x:c>
      <x:c r="F168" s="145" t="str">
        <x:v>Détail de la ligne / fiche concernée</x:v>
      </x:c>
      <x:c r="G168" s="145" t="str">
        <x:v>Directe dans l’écran</x:v>
      </x:c>
      <x:c r="H168" s="145" t="str">
        <x:v>Mensuelle / ponctuelle</x:v>
      </x:c>
      <x:c r="I168" s="145" t="str">
        <x:f>OPERATIONS!H168</x:f>
        <x:v>À conserver</x:v>
      </x:c>
      <x:c r="J168" s="145" t="str">
        <x:v>MVP</x:v>
      </x:c>
      <x:c r="K168" s="145"/>
    </x:row>
    <x:row r="169" ht="34" customHeight="1">
      <x:c r="A169" s="145" t="str">
        <x:v>CLO-005</x:v>
      </x:c>
      <x:c r="B169" s="145" t="str">
        <x:v>Clôture</x:v>
      </x:c>
      <x:c r="C169" s="145" t="str">
        <x:v>Préparer la clôture du mois</x:v>
      </x:c>
      <x:c r="D169" s="145" t="str">
        <x:v>Pilotage &amp; clôture &gt; Clôture mensuelle</x:v>
      </x:c>
      <x:c r="E169" s="145" t="str">
        <x:v>Fiche / action contextuelle</x:v>
      </x:c>
      <x:c r="F169" s="145" t="str">
        <x:v>Fiche concernée</x:v>
      </x:c>
      <x:c r="G169" s="145" t="str">
        <x:v>Directe dans l’écran</x:v>
      </x:c>
      <x:c r="H169" s="145" t="str">
        <x:v>Mensuelle / ponctuelle</x:v>
      </x:c>
      <x:c r="I169" s="145" t="str">
        <x:f>OPERATIONS!H169</x:f>
        <x:v>À conserver</x:v>
      </x:c>
      <x:c r="J169" s="145" t="str">
        <x:v>MVP</x:v>
      </x:c>
      <x:c r="K169" s="145"/>
    </x:row>
    <x:row r="170" ht="34" customHeight="1">
      <x:c r="A170" s="145" t="str">
        <x:v>CLO-006</x:v>
      </x:c>
      <x:c r="B170" s="145" t="str">
        <x:v>Clôture</x:v>
      </x:c>
      <x:c r="C170" s="145" t="str">
        <x:v>Clôturer un mois</x:v>
      </x:c>
      <x:c r="D170" s="145" t="str">
        <x:v>Pilotage &amp; clôture &gt; Clôture mensuelle</x:v>
      </x:c>
      <x:c r="E170" s="145" t="str">
        <x:v>Fiche / action contextuelle</x:v>
      </x:c>
      <x:c r="F170" s="145" t="str">
        <x:v>Fiche concernée</x:v>
      </x:c>
      <x:c r="G170" s="145" t="str">
        <x:v>Directe dans l’écran</x:v>
      </x:c>
      <x:c r="H170" s="145" t="str">
        <x:v>Mensuelle / ponctuelle</x:v>
      </x:c>
      <x:c r="I170" s="145" t="str">
        <x:f>OPERATIONS!H170</x:f>
        <x:v>À conserver</x:v>
      </x:c>
      <x:c r="J170" s="145" t="str">
        <x:v>MVP</x:v>
      </x:c>
      <x:c r="K170" s="145"/>
    </x:row>
    <x:row r="171" ht="34" customHeight="1">
      <x:c r="A171" s="145" t="str">
        <x:v>CLO-007</x:v>
      </x:c>
      <x:c r="B171" s="145" t="str">
        <x:v>Clôture</x:v>
      </x:c>
      <x:c r="C171" s="145" t="str">
        <x:v>Forcer une clôture</x:v>
      </x:c>
      <x:c r="D171" s="145" t="str">
        <x:v>Pilotage &amp; clôture &gt; Clôture mensuelle</x:v>
      </x:c>
      <x:c r="E171" s="145" t="str">
        <x:v>Actions avancées</x:v>
      </x:c>
      <x:c r="F171" s="145" t="str">
        <x:v>Fiche concernée &gt; menu « Actions avancées »</x:v>
      </x:c>
      <x:c r="G171" s="145" t="str">
        <x:v>Secondaire protégée</x:v>
      </x:c>
      <x:c r="H171" s="145" t="str">
        <x:v>Rare</x:v>
      </x:c>
      <x:c r="I171" s="145" t="str">
        <x:f>OPERATIONS!H171</x:f>
        <x:v>À conserver</x:v>
      </x:c>
      <x:c r="J171" s="145" t="str">
        <x:v>MVP</x:v>
      </x:c>
      <x:c r="K171" s="145"/>
    </x:row>
    <x:row r="172" ht="34" customHeight="1">
      <x:c r="A172" s="145" t="str">
        <x:v>CLO-008</x:v>
      </x:c>
      <x:c r="B172" s="145" t="str">
        <x:v>Clôture</x:v>
      </x:c>
      <x:c r="C172" s="145" t="str">
        <x:v>Réouvrir un mois clôturé</x:v>
      </x:c>
      <x:c r="D172" s="145" t="str">
        <x:v>Pilotage &amp; clôture &gt; Clôture mensuelle</x:v>
      </x:c>
      <x:c r="E172" s="145" t="str">
        <x:v>Actions avancées</x:v>
      </x:c>
      <x:c r="F172" s="145" t="str">
        <x:v>Fiche concernée &gt; menu « Actions avancées »</x:v>
      </x:c>
      <x:c r="G172" s="145" t="str">
        <x:v>Secondaire protégée</x:v>
      </x:c>
      <x:c r="H172" s="145" t="str">
        <x:v>Rare</x:v>
      </x:c>
      <x:c r="I172" s="145" t="str">
        <x:f>OPERATIONS!H172</x:f>
        <x:v>À conserver</x:v>
      </x:c>
      <x:c r="J172" s="145" t="str">
        <x:v>MVP</x:v>
      </x:c>
      <x:c r="K172" s="145"/>
    </x:row>
    <x:row r="173" ht="34" customHeight="1">
      <x:c r="A173" s="145" t="str">
        <x:v>CLO-009</x:v>
      </x:c>
      <x:c r="B173" s="145" t="str">
        <x:v>Clôture</x:v>
      </x:c>
      <x:c r="C173" s="145" t="str">
        <x:v>Créer un ajustement post-clôture</x:v>
      </x:c>
      <x:c r="D173" s="145" t="str">
        <x:v>Pilotage &amp; clôture &gt; Clôture mensuelle</x:v>
      </x:c>
      <x:c r="E173" s="145" t="str">
        <x:v>Bouton primaire</x:v>
      </x:c>
      <x:c r="F173" s="145" t="str">
        <x:v>En-tête de page, bouton à droite</x:v>
      </x:c>
      <x:c r="G173" s="145" t="str">
        <x:v>Directe dans l’écran</x:v>
      </x:c>
      <x:c r="H173" s="145" t="str">
        <x:v>Mensuelle / ponctuelle</x:v>
      </x:c>
      <x:c r="I173" s="145" t="str">
        <x:f>OPERATIONS!H173</x:f>
        <x:v>À conserver</x:v>
      </x:c>
      <x:c r="J173" s="145" t="str">
        <x:v>MVP</x:v>
      </x:c>
      <x:c r="K173" s="145"/>
    </x:row>
    <x:row r="174" ht="34" customHeight="1">
      <x:c r="A174" s="145" t="str">
        <x:v>CLO-010</x:v>
      </x:c>
      <x:c r="B174" s="145" t="str">
        <x:v>Clôture</x:v>
      </x:c>
      <x:c r="C174" s="145" t="str">
        <x:v>Consulter l’historique des clôtures et réouvertures</x:v>
      </x:c>
      <x:c r="D174" s="145" t="str">
        <x:v>Pilotage &amp; clôture &gt; Clôture mensuelle</x:v>
      </x:c>
      <x:c r="E174" s="145" t="str">
        <x:v>Vue / filtre</x:v>
      </x:c>
      <x:c r="F174" s="145" t="str">
        <x:v>Vue liste, filtre enregistré ou onglet de fiche</x:v>
      </x:c>
      <x:c r="G174" s="145" t="str">
        <x:v>Directe via liste / filtre</x:v>
      </x:c>
      <x:c r="H174" s="145" t="str">
        <x:v>Mensuelle / ponctuelle</x:v>
      </x:c>
      <x:c r="I174" s="145" t="str">
        <x:f>OPERATIONS!H174</x:f>
        <x:v>À conserver</x:v>
      </x:c>
      <x:c r="J174" s="145" t="str">
        <x:v>MVP</x:v>
      </x:c>
      <x:c r="K174" s="145"/>
    </x:row>
    <x:row r="175" ht="34" customHeight="1">
      <x:c r="A175" s="145" t="str">
        <x:v>CLO-011</x:v>
      </x:c>
      <x:c r="B175" s="145" t="str">
        <x:v>Clôture</x:v>
      </x:c>
      <x:c r="C175" s="145" t="str">
        <x:v>Générer un résumé de clôture</x:v>
      </x:c>
      <x:c r="D175" s="145" t="str">
        <x:v>Pilotage &amp; clôture &gt; Clôture mensuelle</x:v>
      </x:c>
      <x:c r="E175" s="145" t="str">
        <x:v>Bouton primaire</x:v>
      </x:c>
      <x:c r="F175" s="145" t="str">
        <x:v>En-tête de page, bouton à droite</x:v>
      </x:c>
      <x:c r="G175" s="145" t="str">
        <x:v>Directe dans l’écran</x:v>
      </x:c>
      <x:c r="H175" s="145" t="str">
        <x:v>Mensuelle / ponctuelle</x:v>
      </x:c>
      <x:c r="I175" s="145" t="str">
        <x:f>OPERATIONS!H175</x:f>
        <x:v>À conserver</x:v>
      </x:c>
      <x:c r="J175" s="145" t="str">
        <x:v>V2</x:v>
      </x:c>
      <x:c r="K175" s="145"/>
    </x:row>
    <x:row r="176" ht="34" customHeight="1">
      <x:c r="A176" s="145" t="str">
        <x:v>SAU-001</x:v>
      </x:c>
      <x:c r="B176" s="145" t="str">
        <x:v>Sauvegardes et archivage</x:v>
      </x:c>
      <x:c r="C176" s="145" t="str">
        <x:v>Créer automatiquement une sauvegarde bimensuelle</x:v>
      </x:c>
      <x:c r="D176" s="145" t="str">
        <x:v>Pilotage &amp; clôture &gt; Sauvegardes &amp; archives</x:v>
      </x:c>
      <x:c r="E176" s="145" t="str">
        <x:v>Bouton primaire</x:v>
      </x:c>
      <x:c r="F176" s="145" t="str">
        <x:v>En-tête de page, bouton à droite</x:v>
      </x:c>
      <x:c r="G176" s="145" t="str">
        <x:v>Directe dans l’écran</x:v>
      </x:c>
      <x:c r="H176" s="145" t="str">
        <x:v>Mensuelle / ponctuelle</x:v>
      </x:c>
      <x:c r="I176" s="145" t="str">
        <x:f>OPERATIONS!H176</x:f>
        <x:v>À conserver</x:v>
      </x:c>
      <x:c r="J176" s="145" t="str">
        <x:v>MVP</x:v>
      </x:c>
      <x:c r="K176" s="145"/>
    </x:row>
    <x:row r="177" ht="34" customHeight="1">
      <x:c r="A177" s="145" t="str">
        <x:v>SAU-002</x:v>
      </x:c>
      <x:c r="B177" s="145" t="str">
        <x:v>Sauvegardes et archivage</x:v>
      </x:c>
      <x:c r="C177" s="145" t="str">
        <x:v>Créer une sauvegarde avant clôture</x:v>
      </x:c>
      <x:c r="D177" s="145" t="str">
        <x:v>Pilotage &amp; clôture &gt; Sauvegardes &amp; archives</x:v>
      </x:c>
      <x:c r="E177" s="145" t="str">
        <x:v>Bouton primaire</x:v>
      </x:c>
      <x:c r="F177" s="145" t="str">
        <x:v>En-tête de page, bouton à droite</x:v>
      </x:c>
      <x:c r="G177" s="145" t="str">
        <x:v>Directe dans l’écran</x:v>
      </x:c>
      <x:c r="H177" s="145" t="str">
        <x:v>Mensuelle / ponctuelle</x:v>
      </x:c>
      <x:c r="I177" s="145" t="str">
        <x:f>OPERATIONS!H177</x:f>
        <x:v>À conserver</x:v>
      </x:c>
      <x:c r="J177" s="145" t="str">
        <x:v>MVP</x:v>
      </x:c>
      <x:c r="K177" s="145"/>
    </x:row>
    <x:row r="178" ht="34" customHeight="1">
      <x:c r="A178" s="145" t="str">
        <x:v>SAU-003</x:v>
      </x:c>
      <x:c r="B178" s="145" t="str">
        <x:v>Sauvegardes et archivage</x:v>
      </x:c>
      <x:c r="C178" s="145" t="str">
        <x:v>Créer une sauvegarde après clôture</x:v>
      </x:c>
      <x:c r="D178" s="145" t="str">
        <x:v>Pilotage &amp; clôture &gt; Sauvegardes &amp; archives</x:v>
      </x:c>
      <x:c r="E178" s="145" t="str">
        <x:v>Bouton primaire</x:v>
      </x:c>
      <x:c r="F178" s="145" t="str">
        <x:v>En-tête de page, bouton à droite</x:v>
      </x:c>
      <x:c r="G178" s="145" t="str">
        <x:v>Directe dans l’écran</x:v>
      </x:c>
      <x:c r="H178" s="145" t="str">
        <x:v>Mensuelle / ponctuelle</x:v>
      </x:c>
      <x:c r="I178" s="145" t="str">
        <x:f>OPERATIONS!H178</x:f>
        <x:v>À conserver</x:v>
      </x:c>
      <x:c r="J178" s="145" t="str">
        <x:v>MVP</x:v>
      </x:c>
      <x:c r="K178" s="145"/>
    </x:row>
    <x:row r="179" ht="34" customHeight="1">
      <x:c r="A179" s="145" t="str">
        <x:v>SAU-004</x:v>
      </x:c>
      <x:c r="B179" s="145" t="str">
        <x:v>Sauvegardes et archivage</x:v>
      </x:c>
      <x:c r="C179" s="145" t="str">
        <x:v>Créer une sauvegarde avant réouverture</x:v>
      </x:c>
      <x:c r="D179" s="145" t="str">
        <x:v>Pilotage &amp; clôture &gt; Sauvegardes &amp; archives</x:v>
      </x:c>
      <x:c r="E179" s="145" t="str">
        <x:v>Bouton primaire</x:v>
      </x:c>
      <x:c r="F179" s="145" t="str">
        <x:v>En-tête de page, bouton à droite</x:v>
      </x:c>
      <x:c r="G179" s="145" t="str">
        <x:v>Directe dans l’écran</x:v>
      </x:c>
      <x:c r="H179" s="145" t="str">
        <x:v>Mensuelle / ponctuelle</x:v>
      </x:c>
      <x:c r="I179" s="145" t="str">
        <x:f>OPERATIONS!H179</x:f>
        <x:v>À conserver</x:v>
      </x:c>
      <x:c r="J179" s="145" t="str">
        <x:v>MVP</x:v>
      </x:c>
      <x:c r="K179" s="145"/>
    </x:row>
    <x:row r="180" ht="34" customHeight="1">
      <x:c r="A180" s="145" t="str">
        <x:v>SAU-005</x:v>
      </x:c>
      <x:c r="B180" s="145" t="str">
        <x:v>Sauvegardes et archivage</x:v>
      </x:c>
      <x:c r="C180" s="145" t="str">
        <x:v>Consulter le registre des sauvegardes</x:v>
      </x:c>
      <x:c r="D180" s="145" t="str">
        <x:v>Pilotage &amp; clôture &gt; Sauvegardes &amp; archives</x:v>
      </x:c>
      <x:c r="E180" s="145" t="str">
        <x:v>Vue / filtre</x:v>
      </x:c>
      <x:c r="F180" s="145" t="str">
        <x:v>Vue liste, filtre enregistré ou onglet de fiche</x:v>
      </x:c>
      <x:c r="G180" s="145" t="str">
        <x:v>Directe via liste / filtre</x:v>
      </x:c>
      <x:c r="H180" s="145" t="str">
        <x:v>Mensuelle / ponctuelle</x:v>
      </x:c>
      <x:c r="I180" s="145" t="str">
        <x:f>OPERATIONS!H180</x:f>
        <x:v>À conserver</x:v>
      </x:c>
      <x:c r="J180" s="145" t="str">
        <x:v>MVP</x:v>
      </x:c>
      <x:c r="K180" s="145"/>
    </x:row>
    <x:row r="181" ht="34" customHeight="1">
      <x:c r="A181" s="145" t="str">
        <x:v>SAU-006</x:v>
      </x:c>
      <x:c r="B181" s="145" t="str">
        <x:v>Sauvegardes et archivage</x:v>
      </x:c>
      <x:c r="C181" s="145" t="str">
        <x:v>Restaurer une sauvegarde dans une copie de travail</x:v>
      </x:c>
      <x:c r="D181" s="145" t="str">
        <x:v>Pilotage &amp; clôture &gt; Sauvegardes &amp; archives</x:v>
      </x:c>
      <x:c r="E181" s="145" t="str">
        <x:v>Actions avancées</x:v>
      </x:c>
      <x:c r="F181" s="145" t="str">
        <x:v>Fiche concernée &gt; menu « Actions avancées »</x:v>
      </x:c>
      <x:c r="G181" s="145" t="str">
        <x:v>Secondaire protégée</x:v>
      </x:c>
      <x:c r="H181" s="145" t="str">
        <x:v>Rare</x:v>
      </x:c>
      <x:c r="I181" s="145" t="str">
        <x:f>OPERATIONS!H181</x:f>
        <x:v>À conserver</x:v>
      </x:c>
      <x:c r="J181" s="145" t="str">
        <x:v>V2</x:v>
      </x:c>
      <x:c r="K181" s="145"/>
    </x:row>
    <x:row r="182" ht="34" customHeight="1">
      <x:c r="A182" s="145" t="str">
        <x:v>SAU-007</x:v>
      </x:c>
      <x:c r="B182" s="145" t="str">
        <x:v>Sauvegardes et archivage</x:v>
      </x:c>
      <x:c r="C182" s="145" t="str">
        <x:v>Archiver des documents et données inactives</x:v>
      </x:c>
      <x:c r="D182" s="145" t="str">
        <x:v>Pilotage &amp; clôture &gt; Sauvegardes &amp; archives</x:v>
      </x:c>
      <x:c r="E182" s="145" t="str">
        <x:v>Actions avancées</x:v>
      </x:c>
      <x:c r="F182" s="145" t="str">
        <x:v>Fiche concernée &gt; menu « Actions avancées »</x:v>
      </x:c>
      <x:c r="G182" s="145" t="str">
        <x:v>Secondaire protégée</x:v>
      </x:c>
      <x:c r="H182" s="145" t="str">
        <x:v>Rare</x:v>
      </x:c>
      <x:c r="I182" s="145" t="str">
        <x:f>OPERATIONS!H182</x:f>
        <x:v>À conserver</x:v>
      </x:c>
      <x:c r="J182" s="145" t="str">
        <x:v>V2</x:v>
      </x:c>
      <x:c r="K182" s="145"/>
    </x:row>
    <x:row r="183" ht="34" customHeight="1">
      <x:c r="A183" s="145" t="str">
        <x:v>NAV-001</x:v>
      </x:c>
      <x:c r="B183" s="145" t="str">
        <x:v>Navigation et suivi</x:v>
      </x:c>
      <x:c r="C183" s="145" t="str">
        <x:v>Afficher les soldes essentiels</x:v>
      </x:c>
      <x:c r="D183" s="145" t="str">
        <x:v>Accueil</x:v>
      </x:c>
      <x:c r="E183" s="145" t="str">
        <x:v>Vue / filtre</x:v>
      </x:c>
      <x:c r="F183" s="145" t="str">
        <x:v>Vue liste, filtre enregistré ou onglet de fiche</x:v>
      </x:c>
      <x:c r="G183" s="145" t="str">
        <x:v>Directe via liste / filtre</x:v>
      </x:c>
      <x:c r="H183" s="145" t="str">
        <x:v>Régulière</x:v>
      </x:c>
      <x:c r="I183" s="145" t="str">
        <x:f>OPERATIONS!H183</x:f>
        <x:v>À conserver</x:v>
      </x:c>
      <x:c r="J183" s="145" t="str">
        <x:v>MVP</x:v>
      </x:c>
      <x:c r="K183" s="145"/>
    </x:row>
    <x:row r="184" ht="34" customHeight="1">
      <x:c r="A184" s="145" t="str">
        <x:v>NAV-002</x:v>
      </x:c>
      <x:c r="B184" s="145" t="str">
        <x:v>Navigation et suivi</x:v>
      </x:c>
      <x:c r="C184" s="145" t="str">
        <x:v>Afficher les anomalies prioritaires</x:v>
      </x:c>
      <x:c r="D184" s="145" t="str">
        <x:v>Accueil</x:v>
      </x:c>
      <x:c r="E184" s="145" t="str">
        <x:v>Vue / filtre</x:v>
      </x:c>
      <x:c r="F184" s="145" t="str">
        <x:v>Vue liste, filtre enregistré ou onglet de fiche</x:v>
      </x:c>
      <x:c r="G184" s="145" t="str">
        <x:v>Directe via liste / filtre</x:v>
      </x:c>
      <x:c r="H184" s="145" t="str">
        <x:v>Régulière</x:v>
      </x:c>
      <x:c r="I184" s="145" t="str">
        <x:f>OPERATIONS!H184</x:f>
        <x:v>À conserver</x:v>
      </x:c>
      <x:c r="J184" s="145" t="str">
        <x:v>MVP</x:v>
      </x:c>
      <x:c r="K184" s="145"/>
    </x:row>
    <x:row r="185" ht="34" customHeight="1">
      <x:c r="A185" s="145" t="str">
        <x:v>NAV-003</x:v>
      </x:c>
      <x:c r="B185" s="145" t="str">
        <x:v>Navigation et suivi</x:v>
      </x:c>
      <x:c r="C185" s="145" t="str">
        <x:v>Afficher les tâches AirCover ou à suivre</x:v>
      </x:c>
      <x:c r="D185" s="145" t="str">
        <x:v>Accueil</x:v>
      </x:c>
      <x:c r="E185" s="145" t="str">
        <x:v>Vue / filtre</x:v>
      </x:c>
      <x:c r="F185" s="145" t="str">
        <x:v>Vue liste, filtre enregistré ou onglet de fiche</x:v>
      </x:c>
      <x:c r="G185" s="145" t="str">
        <x:v>Directe via liste / filtre</x:v>
      </x:c>
      <x:c r="H185" s="145" t="str">
        <x:v>Régulière</x:v>
      </x:c>
      <x:c r="I185" s="145" t="str">
        <x:f>OPERATIONS!H185</x:f>
        <x:v>À conserver</x:v>
      </x:c>
      <x:c r="J185" s="145" t="str">
        <x:v>V2</x:v>
      </x:c>
      <x:c r="K185" s="145"/>
    </x:row>
    <x:row r="186" ht="34" customHeight="1">
      <x:c r="A186" s="145" t="str">
        <x:v>NAV-004</x:v>
      </x:c>
      <x:c r="B186" s="145" t="str">
        <x:v>Navigation et suivi</x:v>
      </x:c>
      <x:c r="C186" s="145" t="str">
        <x:v>Rechercher un acteur, logement, réservation ou facture</x:v>
      </x:c>
      <x:c r="D186" s="145" t="str">
        <x:v>En-tête &gt; Recherche globale</x:v>
      </x:c>
      <x:c r="E186" s="145" t="str">
        <x:v>Fiche / action contextuelle</x:v>
      </x:c>
      <x:c r="F186" s="145" t="str">
        <x:v>Fiche concernée</x:v>
      </x:c>
      <x:c r="G186" s="145" t="str">
        <x:v>Directe dans l’écran</x:v>
      </x:c>
      <x:c r="H186" s="145" t="str">
        <x:v>Régulière</x:v>
      </x:c>
      <x:c r="I186" s="145" t="str">
        <x:f>OPERATIONS!H186</x:f>
        <x:v>À conserver</x:v>
      </x:c>
      <x:c r="J186" s="145" t="str">
        <x:v>MVP</x:v>
      </x:c>
      <x:c r="K186" s="145"/>
    </x:row>
    <x:row r="187" ht="34" customHeight="1">
      <x:c r="A187" s="145" t="str">
        <x:v>NAV-005</x:v>
      </x:c>
      <x:c r="B187" s="145" t="str">
        <x:v>Navigation et suivi</x:v>
      </x:c>
      <x:c r="C187" s="145" t="str">
        <x:v>Filtrer les listes</x:v>
      </x:c>
      <x:c r="D187" s="145" t="str">
        <x:v>En-tête &gt; Recherche globale</x:v>
      </x:c>
      <x:c r="E187" s="145" t="str">
        <x:v>Fiche / action contextuelle</x:v>
      </x:c>
      <x:c r="F187" s="145" t="str">
        <x:v>Fiche concernée</x:v>
      </x:c>
      <x:c r="G187" s="145" t="str">
        <x:v>Directe dans l’écran</x:v>
      </x:c>
      <x:c r="H187" s="145" t="str">
        <x:v>Régulière</x:v>
      </x:c>
      <x:c r="I187" s="145" t="str">
        <x:f>OPERATIONS!H187</x:f>
        <x:v>À conserver</x:v>
      </x:c>
      <x:c r="J187" s="145" t="str">
        <x:v>MVP</x:v>
      </x:c>
      <x:c r="K187" s="145"/>
    </x:row>
    <x:row r="188" ht="34" customHeight="1">
      <x:c r="A188" s="145" t="str">
        <x:v>NAV-006</x:v>
      </x:c>
      <x:c r="B188" s="145" t="str">
        <x:v>Navigation et suivi</x:v>
      </x:c>
      <x:c r="C188" s="145" t="str">
        <x:v>Consulter les dates de création et modification</x:v>
      </x:c>
      <x:c r="D188" s="145" t="str">
        <x:v>Fiche concernée &gt; Historique / traçabilité</x:v>
      </x:c>
      <x:c r="E188" s="145" t="str">
        <x:v>Vue / filtre</x:v>
      </x:c>
      <x:c r="F188" s="145" t="str">
        <x:v>Vue liste, filtre enregistré ou onglet de fiche</x:v>
      </x:c>
      <x:c r="G188" s="145" t="str">
        <x:v>Directe via liste / filtre</x:v>
      </x:c>
      <x:c r="H188" s="145" t="str">
        <x:v>Régulière</x:v>
      </x:c>
      <x:c r="I188" s="145" t="str">
        <x:f>OPERATIONS!H188</x:f>
        <x:v>À conserver</x:v>
      </x:c>
      <x:c r="J188" s="145" t="str">
        <x:v>MVP</x:v>
      </x:c>
      <x:c r="K188" s="145"/>
    </x:row>
    <x:row r="189" ht="34" customHeight="1">
      <x:c r="A189" s="145" t="str">
        <x:v>NAV-007</x:v>
      </x:c>
      <x:c r="B189" s="145" t="str">
        <x:v>Navigation et suivi</x:v>
      </x:c>
      <x:c r="C189" s="145" t="str">
        <x:v>Consulter les commentaires et motifs de dérogation</x:v>
      </x:c>
      <x:c r="D189" s="145" t="str">
        <x:v>Fiche concernée &gt; Historique / traçabilité</x:v>
      </x:c>
      <x:c r="E189" s="145" t="str">
        <x:v>Vue / filtre</x:v>
      </x:c>
      <x:c r="F189" s="145" t="str">
        <x:v>Vue liste, filtre enregistré ou onglet de fiche</x:v>
      </x:c>
      <x:c r="G189" s="145" t="str">
        <x:v>Directe via liste / filtre</x:v>
      </x:c>
      <x:c r="H189" s="145" t="str">
        <x:v>Régulière</x:v>
      </x:c>
      <x:c r="I189" s="145" t="str">
        <x:f>OPERATIONS!H189</x:f>
        <x:v>À conserver</x:v>
      </x:c>
      <x:c r="J189" s="145" t="str">
        <x:v>MVP</x:v>
      </x:c>
      <x:c r="K189" s="145"/>
    </x:row>
  </x:sheetData>
  <x:mergeCells>
    <x:mergeCell ref="A1:K1"/>
    <x:mergeCell ref="A2:K2"/>
  </x:mergeCells>
  <x:conditionalFormatting sqref="G6:G189">
    <x:cfRule type="expression" dxfId="7" priority="1">
      <x:formula>G6="Secondaire protégée"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023f846253479c"/>
  </x:tableParts>
</x:worksheet>
</file>
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" sheetId="1" state="visible" r:id="rId1"/>
    <sheet xmlns:r="http://schemas.openxmlformats.org/officeDocument/2006/relationships" name="REF_LOCALE" sheetId="2" state="visible" r:id="rId2"/>
    <sheet xmlns:r="http://schemas.openxmlformats.org/officeDocument/2006/relationships" name="CONTROLES_SAISIE" sheetId="3" state="visible" r:id="rId3"/>
    <sheet xmlns:r="http://schemas.openxmlformats.org/officeDocument/2006/relationships" name="README" sheetId="4" state="visible" r:id="rId4"/>
  </sheets>
  <definedNames>
    <definedName name="lst_Categories">'REF_LOCALE'!$A$2:$A$25</definedName>
    <definedName name="lst_TypesFlux_Lot3">'REF_LOCALE'!$B$2:$B$10</definedName>
    <definedName name="lst_Codes_Impact">'REF_LOCALE'!$C$2:$C$4</definedName>
    <definedName name="lst_Sens_Flux">'REF_LOCALE'!$D$2:$D$6</definedName>
    <definedName name="lst_Associes">'REF_LOCALE'!$E$2:$E$3</definedName>
    <definedName name="lst_ModesPaiement">'REF_LOCALE'!$F$2:$F$6</definedName>
    <definedName name="lst_Cartes">'REF_LOCALE'!$G$2:$G$3</definedName>
    <definedName name="lst_Affectation">'REF_LOCALE'!$H$2:$H$5</definedName>
    <definedName name="lst_Logements">'REF_LOCALE'!$I$2:$I$19</definedName>
    <definedName name="lst_Proprietaires">'REF_LOCALE'!$J$2:$J$13</definedName>
    <definedName name="lst_Statuts_Controle">'REF_LOCALE'!$K$2:$K$5</definedName>
    <definedName name="lst_Niveau_Anomalie">'REF_LOCALE'!$L$2:$L$4</definedName>
    <definedName name="lst_Source_Flux">'REF_LOCALE'!$M$2:$M$6</definedName>
    <definedName name="lst_Methode">'REF_LOCALE'!$N$2:$N$6</definedName>
    <definedName name="lst_Statut_Rapprochement">'REF_LOCALE'!$O$2:$O$5</definedName>
    <definedName name="lst_Prise_Compta">'REF_LOCALE'!$P$2:$P$3</definedName>
    <definedName name="lst_Refacturable">'REF_LOCALE'!$Q$2:$Q$3</definedName>
    <definedName name="lst_Justificatif">'REF_LOCALE'!$R$2:$R$4</definedName>
    <definedName name="lst_Profils_Impact">'REF_LOCALE'!$S$2:$S$6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0"/>
    </font>
    <font>
      <b val="1"/>
      <color rgb="001F497D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974706"/>
        <bgColor rgb="00974706"/>
      </patternFill>
    </fill>
    <fill>
      <patternFill patternType="solid">
        <fgColor rgb="001F3864"/>
        <bgColor rgb="001F3864"/>
      </patternFill>
    </fill>
    <fill>
      <patternFill patternType="solid">
        <fgColor rgb="00833C00"/>
        <bgColor rgb="00833C00"/>
      </patternFill>
    </fill>
    <fill>
      <patternFill patternType="solid">
        <fgColor rgb="00595959"/>
        <bgColor rgb="00595959"/>
      </patternFill>
    </fill>
    <fill>
      <patternFill patternType="solid">
        <fgColor rgb="007B0000"/>
        <bgColor rgb="007B0000"/>
      </patternFill>
    </fill>
    <fill>
      <patternFill patternType="solid">
        <fgColor rgb="00262626"/>
        <bgColor rgb="0026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AAAA"/>
          <bgColor rgb="00FFAAAA"/>
        </patternFill>
      </fill>
    </dxf>
    <dxf>
      <fill>
        <patternFill patternType="solid">
          <fgColor rgb="00FFE699"/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lot6</author>
  </authors>
  <commentList>
    <comment ref="AG1" authorId="0" shapeId="0">
      <text>
        <t>Valeurs: MENAGE_INTERNE / COMMUN_MENAGE / INT_xxxx / INT_xxxx;INT_yyyy (séparateur ;)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8" customWidth="1" min="5" max="5"/>
    <col width="24" customWidth="1" min="6" max="6"/>
    <col width="30" customWidth="1" min="7" max="7"/>
    <col width="12" customWidth="1" min="8" max="8"/>
    <col width="22" customWidth="1" min="9" max="9"/>
    <col width="24" customWidth="1" min="10" max="10"/>
    <col width="14" customWidth="1" min="11" max="11"/>
    <col width="14" customWidth="1" min="12" max="12"/>
    <col width="18" customWidth="1" min="13" max="13"/>
    <col width="12" customWidth="1" min="14" max="14"/>
    <col width="22" customWidth="1" min="15" max="15"/>
    <col width="22" customWidth="1" min="16" max="16"/>
    <col width="22" customWidth="1" min="17" max="17"/>
    <col width="20" customWidth="1" min="18" max="18"/>
    <col width="14" customWidth="1" min="19" max="19"/>
    <col width="24" customWidth="1" min="20" max="20"/>
    <col width="30" customWidth="1" min="21" max="21"/>
    <col width="24" customWidth="1" min="22" max="22"/>
    <col width="24" customWidth="1" min="23" max="23"/>
    <col width="18" customWidth="1" min="24" max="24"/>
    <col width="18" customWidth="1" min="25" max="25"/>
    <col width="22" customWidth="1" min="26" max="26"/>
    <col width="24" customWidth="1" min="27" max="27"/>
    <col width="14" customWidth="1" min="28" max="28"/>
    <col width="28" customWidth="1" min="29" max="29"/>
    <col width="38" customWidth="1" min="30" max="30"/>
    <col width="14" customWidth="1" min="31" max="31"/>
  </cols>
  <sheetData>
    <row r="1" ht="38" customHeight="1">
      <c r="A1" s="1" t="inlineStr">
        <is>
          <t>charge_id</t>
        </is>
      </c>
      <c r="B1" s="1" t="inlineStr">
        <is>
          <t>date_charge</t>
        </is>
      </c>
      <c r="C1" s="1" t="inlineStr">
        <is>
          <t>mois</t>
        </is>
      </c>
      <c r="D1" s="2" t="inlineStr">
        <is>
          <t>montant</t>
        </is>
      </c>
      <c r="E1" s="2" t="inlineStr">
        <is>
          <t>sens_flux</t>
        </is>
      </c>
      <c r="F1" s="3" t="inlineStr">
        <is>
          <t>categorie_charge_id</t>
        </is>
      </c>
      <c r="G1" s="3" t="inlineStr">
        <is>
          <t>type_flux_id</t>
        </is>
      </c>
      <c r="H1" s="4" t="inlineStr">
        <is>
          <t>code_impact</t>
        </is>
      </c>
      <c r="I1" s="4" t="inlineStr">
        <is>
          <t>impact_resultat_reel</t>
        </is>
      </c>
      <c r="J1" s="4" t="inlineStr">
        <is>
          <t>impact_resultat_comptable</t>
        </is>
      </c>
      <c r="K1" s="4" t="inlineStr">
        <is>
          <t>prise_en_compta</t>
        </is>
      </c>
      <c r="L1" s="5" t="inlineStr">
        <is>
          <t>associe_id</t>
        </is>
      </c>
      <c r="M1" s="5" t="inlineStr">
        <is>
          <t>mode_paiement_id</t>
        </is>
      </c>
      <c r="N1" s="5" t="inlineStr">
        <is>
          <t>carte_id</t>
        </is>
      </c>
      <c r="O1" s="6" t="inlineStr">
        <is>
          <t>affectation_type</t>
        </is>
      </c>
      <c r="P1" s="6" t="inlineStr">
        <is>
          <t>logement_id</t>
        </is>
      </c>
      <c r="Q1" s="6" t="inlineStr">
        <is>
          <t>proprietaire_id</t>
        </is>
      </c>
      <c r="R1" s="7" t="inlineStr">
        <is>
          <t>reservation_id</t>
        </is>
      </c>
      <c r="S1" s="7" t="inlineStr">
        <is>
          <t>refacturable</t>
        </is>
      </c>
      <c r="T1" s="8" t="inlineStr">
        <is>
          <t>source_flux</t>
        </is>
      </c>
      <c r="U1" s="8" t="inlineStr">
        <is>
          <t>methode_traitement</t>
        </is>
      </c>
      <c r="V1" s="8" t="inlineStr">
        <is>
          <t>paye_avec_montant_recupere</t>
        </is>
      </c>
      <c r="W1" s="8" t="inlineStr">
        <is>
          <t>lien_virement_banque</t>
        </is>
      </c>
      <c r="X1" s="9" t="inlineStr">
        <is>
          <t>statut_controle</t>
        </is>
      </c>
      <c r="Y1" s="9" t="inlineStr">
        <is>
          <t>niveau_anomalie</t>
        </is>
      </c>
      <c r="Z1" s="9" t="inlineStr">
        <is>
          <t>code_anomalie</t>
        </is>
      </c>
      <c r="AA1" s="9" t="inlineStr">
        <is>
          <t>statut_rapprochement</t>
        </is>
      </c>
      <c r="AB1" s="8" t="inlineStr">
        <is>
          <t>justificatif</t>
        </is>
      </c>
      <c r="AC1" s="8" t="inlineStr">
        <is>
          <t>commentaire</t>
        </is>
      </c>
      <c r="AD1" s="10" t="inlineStr">
        <is>
          <t>ROW_HASH</t>
        </is>
      </c>
      <c r="AE1" s="10" t="inlineStr">
        <is>
          <t>date_saisie</t>
        </is>
      </c>
      <c r="AF1" t="inlineStr">
        <is>
          <t>affectable_menage</t>
        </is>
      </c>
      <c r="AG1" t="inlineStr">
        <is>
          <t>intervenant_concerne</t>
        </is>
      </c>
      <c r="AH1" t="inlineStr">
        <is>
          <t>profil_impact_charge</t>
        </is>
      </c>
      <c r="AI1" t="inlineStr">
        <is>
          <t>libelle_categorie_personnalise</t>
        </is>
      </c>
    </row>
    <row r="2">
      <c r="C2">
        <f>IF(B2="","",TEXT(B2,"YYYY-MM"))</f>
        <v/>
      </c>
      <c r="I2">
        <f>IF(H2="IC","OUI",IF(H2="HC","OUI",IF(H2="HR","NON","A_CONTROLER")))</f>
        <v/>
      </c>
      <c r="J2">
        <f>IF(H2="IC","OUI",IF(H2="HC","NON",IF(H2="HR","NON","A_CONTROLER")))</f>
        <v/>
      </c>
      <c r="AD2">
        <f>IF(A2="","",TEXT(B2,"YYYYMMDD")&amp;"|"&amp;TEXT(D2,"0.00")&amp;"|"&amp;F2&amp;"|"&amp;M2)</f>
        <v/>
      </c>
    </row>
    <row r="3">
      <c r="C3">
        <f>IF(B3="","",TEXT(B3,"YYYY-MM"))</f>
        <v/>
      </c>
      <c r="I3">
        <f>IF(H3="IC","OUI",IF(H3="HC","OUI",IF(H3="HR","NON","A_CONTROLER")))</f>
        <v/>
      </c>
      <c r="J3">
        <f>IF(H3="IC","OUI",IF(H3="HC","NON",IF(H3="HR","NON","A_CONTROLER")))</f>
        <v/>
      </c>
      <c r="AD3">
        <f>IF(A3="","",TEXT(B3,"YYYYMMDD")&amp;"|"&amp;TEXT(D3,"0.00")&amp;"|"&amp;F3&amp;"|"&amp;M3)</f>
        <v/>
      </c>
    </row>
    <row r="4">
      <c r="C4">
        <f>IF(B4="","",TEXT(B4,"YYYY-MM"))</f>
        <v/>
      </c>
      <c r="I4">
        <f>IF(H4="IC","OUI",IF(H4="HC","OUI",IF(H4="HR","NON","A_CONTROLER")))</f>
        <v/>
      </c>
      <c r="J4">
        <f>IF(H4="IC","OUI",IF(H4="HC","NON",IF(H4="HR","NON","A_CONTROLER")))</f>
        <v/>
      </c>
      <c r="AD4">
        <f>IF(A4="","",TEXT(B4,"YYYYMMDD")&amp;"|"&amp;TEXT(D4,"0.00")&amp;"|"&amp;F4&amp;"|"&amp;M4)</f>
        <v/>
      </c>
    </row>
    <row r="5">
      <c r="C5">
        <f>IF(B5="","",TEXT(B5,"YYYY-MM"))</f>
        <v/>
      </c>
      <c r="I5">
        <f>IF(H5="IC","OUI",IF(H5="HC","OUI",IF(H5="HR","NON","A_CONTROLER")))</f>
        <v/>
      </c>
      <c r="J5">
        <f>IF(H5="IC","OUI",IF(H5="HC","NON",IF(H5="HR","NON","A_CONTROLER")))</f>
        <v/>
      </c>
      <c r="AD5">
        <f>IF(A5="","",TEXT(B5,"YYYYMMDD")&amp;"|"&amp;TEXT(D5,"0.00")&amp;"|"&amp;F5&amp;"|"&amp;M5)</f>
        <v/>
      </c>
    </row>
    <row r="6">
      <c r="C6">
        <f>IF(B6="","",TEXT(B6,"YYYY-MM"))</f>
        <v/>
      </c>
      <c r="I6">
        <f>IF(H6="IC","OUI",IF(H6="HC","OUI",IF(H6="HR","NON","A_CONTROLER")))</f>
        <v/>
      </c>
      <c r="J6">
        <f>IF(H6="IC","OUI",IF(H6="HC","NON",IF(H6="HR","NON","A_CONTROLER")))</f>
        <v/>
      </c>
      <c r="AD6">
        <f>IF(A6="","",TEXT(B6,"YYYYMMDD")&amp;"|"&amp;TEXT(D6,"0.00")&amp;"|"&amp;F6&amp;"|"&amp;M6)</f>
        <v/>
      </c>
    </row>
    <row r="7">
      <c r="C7">
        <f>IF(B7="","",TEXT(B7,"YYYY-MM"))</f>
        <v/>
      </c>
      <c r="I7">
        <f>IF(H7="IC","OUI",IF(H7="HC","OUI",IF(H7="HR","NON","A_CONTROLER")))</f>
        <v/>
      </c>
      <c r="J7">
        <f>IF(H7="IC","OUI",IF(H7="HC","NON",IF(H7="HR","NON","A_CONTROLER")))</f>
        <v/>
      </c>
      <c r="AD7">
        <f>IF(A7="","",TEXT(B7,"YYYYMMDD")&amp;"|"&amp;TEXT(D7,"0.00")&amp;"|"&amp;F7&amp;"|"&amp;M7)</f>
        <v/>
      </c>
    </row>
    <row r="8">
      <c r="C8">
        <f>IF(B8="","",TEXT(B8,"YYYY-MM"))</f>
        <v/>
      </c>
      <c r="I8">
        <f>IF(H8="IC","OUI",IF(H8="HC","OUI",IF(H8="HR","NON","A_CONTROLER")))</f>
        <v/>
      </c>
      <c r="J8">
        <f>IF(H8="IC","OUI",IF(H8="HC","NON",IF(H8="HR","NON","A_CONTROLER")))</f>
        <v/>
      </c>
      <c r="AD8">
        <f>IF(A8="","",TEXT(B8,"YYYYMMDD")&amp;"|"&amp;TEXT(D8,"0.00")&amp;"|"&amp;F8&amp;"|"&amp;M8)</f>
        <v/>
      </c>
    </row>
    <row r="9">
      <c r="C9">
        <f>IF(B9="","",TEXT(B9,"YYYY-MM"))</f>
        <v/>
      </c>
      <c r="I9">
        <f>IF(H9="IC","OUI",IF(H9="HC","OUI",IF(H9="HR","NON","A_CONTROLER")))</f>
        <v/>
      </c>
      <c r="J9">
        <f>IF(H9="IC","OUI",IF(H9="HC","NON",IF(H9="HR","NON","A_CONTROLER")))</f>
        <v/>
      </c>
      <c r="AD9">
        <f>IF(A9="","",TEXT(B9,"YYYYMMDD")&amp;"|"&amp;TEXT(D9,"0.00")&amp;"|"&amp;F9&amp;"|"&amp;M9)</f>
        <v/>
      </c>
    </row>
    <row r="10">
      <c r="C10">
        <f>IF(B10="","",TEXT(B10,"YYYY-MM"))</f>
        <v/>
      </c>
      <c r="I10">
        <f>IF(H10="IC","OUI",IF(H10="HC","OUI",IF(H10="HR","NON","A_CONTROLER")))</f>
        <v/>
      </c>
      <c r="J10">
        <f>IF(H10="IC","OUI",IF(H10="HC","NON",IF(H10="HR","NON","A_CONTROLER")))</f>
        <v/>
      </c>
      <c r="AD10">
        <f>IF(A10="","",TEXT(B10,"YYYYMMDD")&amp;"|"&amp;TEXT(D10,"0.00")&amp;"|"&amp;F10&amp;"|"&amp;M10)</f>
        <v/>
      </c>
    </row>
    <row r="11">
      <c r="C11">
        <f>IF(B11="","",TEXT(B11,"YYYY-MM"))</f>
        <v/>
      </c>
      <c r="I11">
        <f>IF(H11="IC","OUI",IF(H11="HC","OUI",IF(H11="HR","NON","A_CONTROLER")))</f>
        <v/>
      </c>
      <c r="J11">
        <f>IF(H11="IC","OUI",IF(H11="HC","NON",IF(H11="HR","NON","A_CONTROLER")))</f>
        <v/>
      </c>
      <c r="AD11">
        <f>IF(A11="","",TEXT(B11,"YYYYMMDD")&amp;"|"&amp;TEXT(D11,"0.00")&amp;"|"&amp;F11&amp;"|"&amp;M11)</f>
        <v/>
      </c>
    </row>
    <row r="12">
      <c r="C12">
        <f>IF(B12="","",TEXT(B12,"YYYY-MM"))</f>
        <v/>
      </c>
      <c r="I12">
        <f>IF(H12="IC","OUI",IF(H12="HC","OUI",IF(H12="HR","NON","A_CONTROLER")))</f>
        <v/>
      </c>
      <c r="J12">
        <f>IF(H12="IC","OUI",IF(H12="HC","NON",IF(H12="HR","NON","A_CONTROLER")))</f>
        <v/>
      </c>
      <c r="AD12">
        <f>IF(A12="","",TEXT(B12,"YYYYMMDD")&amp;"|"&amp;TEXT(D12,"0.00")&amp;"|"&amp;F12&amp;"|"&amp;M12)</f>
        <v/>
      </c>
    </row>
    <row r="13">
      <c r="C13">
        <f>IF(B13="","",TEXT(B13,"YYYY-MM"))</f>
        <v/>
      </c>
      <c r="I13">
        <f>IF(H13="IC","OUI",IF(H13="HC","OUI",IF(H13="HR","NON","A_CONTROLER")))</f>
        <v/>
      </c>
      <c r="J13">
        <f>IF(H13="IC","OUI",IF(H13="HC","NON",IF(H13="HR","NON","A_CONTROLER")))</f>
        <v/>
      </c>
      <c r="AD13">
        <f>IF(A13="","",TEXT(B13,"YYYYMMDD")&amp;"|"&amp;TEXT(D13,"0.00")&amp;"|"&amp;F13&amp;"|"&amp;M13)</f>
        <v/>
      </c>
    </row>
    <row r="14">
      <c r="C14">
        <f>IF(B14="","",TEXT(B14,"YYYY-MM"))</f>
        <v/>
      </c>
      <c r="I14">
        <f>IF(H14="IC","OUI",IF(H14="HC","OUI",IF(H14="HR","NON","A_CONTROLER")))</f>
        <v/>
      </c>
      <c r="J14">
        <f>IF(H14="IC","OUI",IF(H14="HC","NON",IF(H14="HR","NON","A_CONTROLER")))</f>
        <v/>
      </c>
      <c r="AD14">
        <f>IF(A14="","",TEXT(B14,"YYYYMMDD")&amp;"|"&amp;TEXT(D14,"0.00")&amp;"|"&amp;F14&amp;"|"&amp;M14)</f>
        <v/>
      </c>
    </row>
    <row r="15">
      <c r="C15">
        <f>IF(B15="","",TEXT(B15,"YYYY-MM"))</f>
        <v/>
      </c>
      <c r="I15">
        <f>IF(H15="IC","OUI",IF(H15="HC","OUI",IF(H15="HR","NON","A_CONTROLER")))</f>
        <v/>
      </c>
      <c r="J15">
        <f>IF(H15="IC","OUI",IF(H15="HC","NON",IF(H15="HR","NON","A_CONTROLER")))</f>
        <v/>
      </c>
      <c r="AD15">
        <f>IF(A15="","",TEXT(B15,"YYYYMMDD")&amp;"|"&amp;TEXT(D15,"0.00")&amp;"|"&amp;F15&amp;"|"&amp;M15)</f>
        <v/>
      </c>
    </row>
    <row r="16">
      <c r="C16">
        <f>IF(B16="","",TEXT(B16,"YYYY-MM"))</f>
        <v/>
      </c>
      <c r="I16">
        <f>IF(H16="IC","OUI",IF(H16="HC","OUI",IF(H16="HR","NON","A_CONTROLER")))</f>
        <v/>
      </c>
      <c r="J16">
        <f>IF(H16="IC","OUI",IF(H16="HC","NON",IF(H16="HR","NON","A_CONTROLER")))</f>
        <v/>
      </c>
      <c r="AD16">
        <f>IF(A16="","",TEXT(B16,"YYYYMMDD")&amp;"|"&amp;TEXT(D16,"0.00")&amp;"|"&amp;F16&amp;"|"&amp;M16)</f>
        <v/>
      </c>
    </row>
    <row r="17">
      <c r="C17">
        <f>IF(B17="","",TEXT(B17,"YYYY-MM"))</f>
        <v/>
      </c>
      <c r="I17">
        <f>IF(H17="IC","OUI",IF(H17="HC","OUI",IF(H17="HR","NON","A_CONTROLER")))</f>
        <v/>
      </c>
      <c r="J17">
        <f>IF(H17="IC","OUI",IF(H17="HC","NON",IF(H17="HR","NON","A_CONTROLER")))</f>
        <v/>
      </c>
      <c r="AD17">
        <f>IF(A17="","",TEXT(B17,"YYYYMMDD")&amp;"|"&amp;TEXT(D17,"0.00")&amp;"|"&amp;F17&amp;"|"&amp;M17)</f>
        <v/>
      </c>
    </row>
    <row r="18">
      <c r="C18">
        <f>IF(B18="","",TEXT(B18,"YYYY-MM"))</f>
        <v/>
      </c>
      <c r="I18">
        <f>IF(H18="IC","OUI",IF(H18="HC","OUI",IF(H18="HR","NON","A_CONTROLER")))</f>
        <v/>
      </c>
      <c r="J18">
        <f>IF(H18="IC","OUI",IF(H18="HC","NON",IF(H18="HR","NON","A_CONTROLER")))</f>
        <v/>
      </c>
      <c r="AD18">
        <f>IF(A18="","",TEXT(B18,"YYYYMMDD")&amp;"|"&amp;TEXT(D18,"0.00")&amp;"|"&amp;F18&amp;"|"&amp;M18)</f>
        <v/>
      </c>
    </row>
    <row r="19">
      <c r="C19">
        <f>IF(B19="","",TEXT(B19,"YYYY-MM"))</f>
        <v/>
      </c>
      <c r="I19">
        <f>IF(H19="IC","OUI",IF(H19="HC","OUI",IF(H19="HR","NON","A_CONTROLER")))</f>
        <v/>
      </c>
      <c r="J19">
        <f>IF(H19="IC","OUI",IF(H19="HC","NON",IF(H19="HR","NON","A_CONTROLER")))</f>
        <v/>
      </c>
      <c r="AD19">
        <f>IF(A19="","",TEXT(B19,"YYYYMMDD")&amp;"|"&amp;TEXT(D19,"0.00")&amp;"|"&amp;F19&amp;"|"&amp;M19)</f>
        <v/>
      </c>
    </row>
    <row r="20">
      <c r="C20">
        <f>IF(B20="","",TEXT(B20,"YYYY-MM"))</f>
        <v/>
      </c>
      <c r="I20">
        <f>IF(H20="IC","OUI",IF(H20="HC","OUI",IF(H20="HR","NON","A_CONTROLER")))</f>
        <v/>
      </c>
      <c r="J20">
        <f>IF(H20="IC","OUI",IF(H20="HC","NON",IF(H20="HR","NON","A_CONTROLER")))</f>
        <v/>
      </c>
      <c r="AD20">
        <f>IF(A20="","",TEXT(B20,"YYYYMMDD")&amp;"|"&amp;TEXT(D20,"0.00")&amp;"|"&amp;F20&amp;"|"&amp;M20)</f>
        <v/>
      </c>
    </row>
    <row r="21">
      <c r="C21">
        <f>IF(B21="","",TEXT(B21,"YYYY-MM"))</f>
        <v/>
      </c>
      <c r="I21">
        <f>IF(H21="IC","OUI",IF(H21="HC","OUI",IF(H21="HR","NON","A_CONTROLER")))</f>
        <v/>
      </c>
      <c r="J21">
        <f>IF(H21="IC","OUI",IF(H21="HC","NON",IF(H21="HR","NON","A_CONTROLER")))</f>
        <v/>
      </c>
      <c r="AD21">
        <f>IF(A21="","",TEXT(B21,"YYYYMMDD")&amp;"|"&amp;TEXT(D21,"0.00")&amp;"|"&amp;F21&amp;"|"&amp;M21)</f>
        <v/>
      </c>
    </row>
    <row r="22">
      <c r="C22">
        <f>IF(B22="","",TEXT(B22,"YYYY-MM"))</f>
        <v/>
      </c>
      <c r="I22">
        <f>IF(H22="IC","OUI",IF(H22="HC","OUI",IF(H22="HR","NON","A_CONTROLER")))</f>
        <v/>
      </c>
      <c r="J22">
        <f>IF(H22="IC","OUI",IF(H22="HC","NON",IF(H22="HR","NON","A_CONTROLER")))</f>
        <v/>
      </c>
      <c r="AD22">
        <f>IF(A22="","",TEXT(B22,"YYYYMMDD")&amp;"|"&amp;TEXT(D22,"0.00")&amp;"|"&amp;F22&amp;"|"&amp;M22)</f>
        <v/>
      </c>
    </row>
    <row r="23">
      <c r="C23">
        <f>IF(B23="","",TEXT(B23,"YYYY-MM"))</f>
        <v/>
      </c>
      <c r="I23">
        <f>IF(H23="IC","OUI",IF(H23="HC","OUI",IF(H23="HR","NON","A_CONTROLER")))</f>
        <v/>
      </c>
      <c r="J23">
        <f>IF(H23="IC","OUI",IF(H23="HC","NON",IF(H23="HR","NON","A_CONTROLER")))</f>
        <v/>
      </c>
      <c r="AD23">
        <f>IF(A23="","",TEXT(B23,"YYYYMMDD")&amp;"|"&amp;TEXT(D23,"0.00")&amp;"|"&amp;F23&amp;"|"&amp;M23)</f>
        <v/>
      </c>
    </row>
    <row r="24">
      <c r="C24">
        <f>IF(B24="","",TEXT(B24,"YYYY-MM"))</f>
        <v/>
      </c>
      <c r="I24">
        <f>IF(H24="IC","OUI",IF(H24="HC","OUI",IF(H24="HR","NON","A_CONTROLER")))</f>
        <v/>
      </c>
      <c r="J24">
        <f>IF(H24="IC","OUI",IF(H24="HC","NON",IF(H24="HR","NON","A_CONTROLER")))</f>
        <v/>
      </c>
      <c r="AD24">
        <f>IF(A24="","",TEXT(B24,"YYYYMMDD")&amp;"|"&amp;TEXT(D24,"0.00")&amp;"|"&amp;F24&amp;"|"&amp;M24)</f>
        <v/>
      </c>
    </row>
    <row r="25">
      <c r="C25">
        <f>IF(B25="","",TEXT(B25,"YYYY-MM"))</f>
        <v/>
      </c>
      <c r="I25">
        <f>IF(H25="IC","OUI",IF(H25="HC","OUI",IF(H25="HR","NON","A_CONTROLER")))</f>
        <v/>
      </c>
      <c r="J25">
        <f>IF(H25="IC","OUI",IF(H25="HC","NON",IF(H25="HR","NON","A_CONTROLER")))</f>
        <v/>
      </c>
      <c r="AD25">
        <f>IF(A25="","",TEXT(B25,"YYYYMMDD")&amp;"|"&amp;TEXT(D25,"0.00")&amp;"|"&amp;F25&amp;"|"&amp;M25)</f>
        <v/>
      </c>
    </row>
    <row r="26">
      <c r="C26">
        <f>IF(B26="","",TEXT(B26,"YYYY-MM"))</f>
        <v/>
      </c>
      <c r="I26">
        <f>IF(H26="IC","OUI",IF(H26="HC","OUI",IF(H26="HR","NON","A_CONTROLER")))</f>
        <v/>
      </c>
      <c r="J26">
        <f>IF(H26="IC","OUI",IF(H26="HC","NON",IF(H26="HR","NON","A_CONTROLER")))</f>
        <v/>
      </c>
      <c r="AD26">
        <f>IF(A26="","",TEXT(B26,"YYYYMMDD")&amp;"|"&amp;TEXT(D26,"0.00")&amp;"|"&amp;F26&amp;"|"&amp;M26)</f>
        <v/>
      </c>
    </row>
    <row r="27">
      <c r="C27">
        <f>IF(B27="","",TEXT(B27,"YYYY-MM"))</f>
        <v/>
      </c>
      <c r="I27">
        <f>IF(H27="IC","OUI",IF(H27="HC","OUI",IF(H27="HR","NON","A_CONTROLER")))</f>
        <v/>
      </c>
      <c r="J27">
        <f>IF(H27="IC","OUI",IF(H27="HC","NON",IF(H27="HR","NON","A_CONTROLER")))</f>
        <v/>
      </c>
      <c r="AD27">
        <f>IF(A27="","",TEXT(B27,"YYYYMMDD")&amp;"|"&amp;TEXT(D27,"0.00")&amp;"|"&amp;F27&amp;"|"&amp;M27)</f>
        <v/>
      </c>
    </row>
    <row r="28">
      <c r="C28">
        <f>IF(B28="","",TEXT(B28,"YYYY-MM"))</f>
        <v/>
      </c>
      <c r="I28">
        <f>IF(H28="IC","OUI",IF(H28="HC","OUI",IF(H28="HR","NON","A_CONTROLER")))</f>
        <v/>
      </c>
      <c r="J28">
        <f>IF(H28="IC","OUI",IF(H28="HC","NON",IF(H28="HR","NON","A_CONTROLER")))</f>
        <v/>
      </c>
      <c r="AD28">
        <f>IF(A28="","",TEXT(B28,"YYYYMMDD")&amp;"|"&amp;TEXT(D28,"0.00")&amp;"|"&amp;F28&amp;"|"&amp;M28)</f>
        <v/>
      </c>
    </row>
    <row r="29">
      <c r="C29">
        <f>IF(B29="","",TEXT(B29,"YYYY-MM"))</f>
        <v/>
      </c>
      <c r="I29">
        <f>IF(H29="IC","OUI",IF(H29="HC","OUI",IF(H29="HR","NON","A_CONTROLER")))</f>
        <v/>
      </c>
      <c r="J29">
        <f>IF(H29="IC","OUI",IF(H29="HC","NON",IF(H29="HR","NON","A_CONTROLER")))</f>
        <v/>
      </c>
      <c r="AD29">
        <f>IF(A29="","",TEXT(B29,"YYYYMMDD")&amp;"|"&amp;TEXT(D29,"0.00")&amp;"|"&amp;F29&amp;"|"&amp;M29)</f>
        <v/>
      </c>
    </row>
    <row r="30">
      <c r="C30">
        <f>IF(B30="","",TEXT(B30,"YYYY-MM"))</f>
        <v/>
      </c>
      <c r="I30">
        <f>IF(H30="IC","OUI",IF(H30="HC","OUI",IF(H30="HR","NON","A_CONTROLER")))</f>
        <v/>
      </c>
      <c r="J30">
        <f>IF(H30="IC","OUI",IF(H30="HC","NON",IF(H30="HR","NON","A_CONTROLER")))</f>
        <v/>
      </c>
      <c r="AD30">
        <f>IF(A30="","",TEXT(B30,"YYYYMMDD")&amp;"|"&amp;TEXT(D30,"0.00")&amp;"|"&amp;F30&amp;"|"&amp;M30)</f>
        <v/>
      </c>
    </row>
    <row r="31">
      <c r="C31">
        <f>IF(B31="","",TEXT(B31,"YYYY-MM"))</f>
        <v/>
      </c>
      <c r="I31">
        <f>IF(H31="IC","OUI",IF(H31="HC","OUI",IF(H31="HR","NON","A_CONTROLER")))</f>
        <v/>
      </c>
      <c r="J31">
        <f>IF(H31="IC","OUI",IF(H31="HC","NON",IF(H31="HR","NON","A_CONTROLER")))</f>
        <v/>
      </c>
      <c r="AD31">
        <f>IF(A31="","",TEXT(B31,"YYYYMMDD")&amp;"|"&amp;TEXT(D31,"0.00")&amp;"|"&amp;F31&amp;"|"&amp;M31)</f>
        <v/>
      </c>
    </row>
    <row r="32">
      <c r="C32">
        <f>IF(B32="","",TEXT(B32,"YYYY-MM"))</f>
        <v/>
      </c>
      <c r="I32">
        <f>IF(H32="IC","OUI",IF(H32="HC","OUI",IF(H32="HR","NON","A_CONTROLER")))</f>
        <v/>
      </c>
      <c r="J32">
        <f>IF(H32="IC","OUI",IF(H32="HC","NON",IF(H32="HR","NON","A_CONTROLER")))</f>
        <v/>
      </c>
      <c r="AD32">
        <f>IF(A32="","",TEXT(B32,"YYYYMMDD")&amp;"|"&amp;TEXT(D32,"0.00")&amp;"|"&amp;F32&amp;"|"&amp;M32)</f>
        <v/>
      </c>
    </row>
    <row r="33">
      <c r="C33">
        <f>IF(B33="","",TEXT(B33,"YYYY-MM"))</f>
        <v/>
      </c>
      <c r="I33">
        <f>IF(H33="IC","OUI",IF(H33="HC","OUI",IF(H33="HR","NON","A_CONTROLER")))</f>
        <v/>
      </c>
      <c r="J33">
        <f>IF(H33="IC","OUI",IF(H33="HC","NON",IF(H33="HR","NON","A_CONTROLER")))</f>
        <v/>
      </c>
      <c r="AD33">
        <f>IF(A33="","",TEXT(B33,"YYYYMMDD")&amp;"|"&amp;TEXT(D33,"0.00")&amp;"|"&amp;F33&amp;"|"&amp;M33)</f>
        <v/>
      </c>
    </row>
    <row r="34">
      <c r="C34">
        <f>IF(B34="","",TEXT(B34,"YYYY-MM"))</f>
        <v/>
      </c>
      <c r="I34">
        <f>IF(H34="IC","OUI",IF(H34="HC","OUI",IF(H34="HR","NON","A_CONTROLER")))</f>
        <v/>
      </c>
      <c r="J34">
        <f>IF(H34="IC","OUI",IF(H34="HC","NON",IF(H34="HR","NON","A_CONTROLER")))</f>
        <v/>
      </c>
      <c r="AD34">
        <f>IF(A34="","",TEXT(B34,"YYYYMMDD")&amp;"|"&amp;TEXT(D34,"0.00")&amp;"|"&amp;F34&amp;"|"&amp;M34)</f>
        <v/>
      </c>
    </row>
    <row r="35">
      <c r="C35">
        <f>IF(B35="","",TEXT(B35,"YYYY-MM"))</f>
        <v/>
      </c>
      <c r="I35">
        <f>IF(H35="IC","OUI",IF(H35="HC","OUI",IF(H35="HR","NON","A_CONTROLER")))</f>
        <v/>
      </c>
      <c r="J35">
        <f>IF(H35="IC","OUI",IF(H35="HC","NON",IF(H35="HR","NON","A_CONTROLER")))</f>
        <v/>
      </c>
      <c r="AD35">
        <f>IF(A35="","",TEXT(B35,"YYYYMMDD")&amp;"|"&amp;TEXT(D35,"0.00")&amp;"|"&amp;F35&amp;"|"&amp;M35)</f>
        <v/>
      </c>
    </row>
    <row r="36">
      <c r="C36">
        <f>IF(B36="","",TEXT(B36,"YYYY-MM"))</f>
        <v/>
      </c>
      <c r="I36">
        <f>IF(H36="IC","OUI",IF(H36="HC","OUI",IF(H36="HR","NON","A_CONTROLER")))</f>
        <v/>
      </c>
      <c r="J36">
        <f>IF(H36="IC","OUI",IF(H36="HC","NON",IF(H36="HR","NON","A_CONTROLER")))</f>
        <v/>
      </c>
      <c r="AD36">
        <f>IF(A36="","",TEXT(B36,"YYYYMMDD")&amp;"|"&amp;TEXT(D36,"0.00")&amp;"|"&amp;F36&amp;"|"&amp;M36)</f>
        <v/>
      </c>
    </row>
    <row r="37">
      <c r="C37">
        <f>IF(B37="","",TEXT(B37,"YYYY-MM"))</f>
        <v/>
      </c>
      <c r="I37">
        <f>IF(H37="IC","OUI",IF(H37="HC","OUI",IF(H37="HR","NON","A_CONTROLER")))</f>
        <v/>
      </c>
      <c r="J37">
        <f>IF(H37="IC","OUI",IF(H37="HC","NON",IF(H37="HR","NON","A_CONTROLER")))</f>
        <v/>
      </c>
      <c r="AD37">
        <f>IF(A37="","",TEXT(B37,"YYYYMMDD")&amp;"|"&amp;TEXT(D37,"0.00")&amp;"|"&amp;F37&amp;"|"&amp;M37)</f>
        <v/>
      </c>
    </row>
    <row r="38">
      <c r="C38">
        <f>IF(B38="","",TEXT(B38,"YYYY-MM"))</f>
        <v/>
      </c>
      <c r="I38">
        <f>IF(H38="IC","OUI",IF(H38="HC","OUI",IF(H38="HR","NON","A_CONTROLER")))</f>
        <v/>
      </c>
      <c r="J38">
        <f>IF(H38="IC","OUI",IF(H38="HC","NON",IF(H38="HR","NON","A_CONTROLER")))</f>
        <v/>
      </c>
      <c r="AD38">
        <f>IF(A38="","",TEXT(B38,"YYYYMMDD")&amp;"|"&amp;TEXT(D38,"0.00")&amp;"|"&amp;F38&amp;"|"&amp;M38)</f>
        <v/>
      </c>
    </row>
    <row r="39">
      <c r="C39">
        <f>IF(B39="","",TEXT(B39,"YYYY-MM"))</f>
        <v/>
      </c>
      <c r="I39">
        <f>IF(H39="IC","OUI",IF(H39="HC","OUI",IF(H39="HR","NON","A_CONTROLER")))</f>
        <v/>
      </c>
      <c r="J39">
        <f>IF(H39="IC","OUI",IF(H39="HC","NON",IF(H39="HR","NON","A_CONTROLER")))</f>
        <v/>
      </c>
      <c r="AD39">
        <f>IF(A39="","",TEXT(B39,"YYYYMMDD")&amp;"|"&amp;TEXT(D39,"0.00")&amp;"|"&amp;F39&amp;"|"&amp;M39)</f>
        <v/>
      </c>
    </row>
    <row r="40">
      <c r="C40">
        <f>IF(B40="","",TEXT(B40,"YYYY-MM"))</f>
        <v/>
      </c>
      <c r="I40">
        <f>IF(H40="IC","OUI",IF(H40="HC","OUI",IF(H40="HR","NON","A_CONTROLER")))</f>
        <v/>
      </c>
      <c r="J40">
        <f>IF(H40="IC","OUI",IF(H40="HC","NON",IF(H40="HR","NON","A_CONTROLER")))</f>
        <v/>
      </c>
      <c r="AD40">
        <f>IF(A40="","",TEXT(B40,"YYYYMMDD")&amp;"|"&amp;TEXT(D40,"0.00")&amp;"|"&amp;F40&amp;"|"&amp;M40)</f>
        <v/>
      </c>
    </row>
    <row r="41">
      <c r="C41">
        <f>IF(B41="","",TEXT(B41,"YYYY-MM"))</f>
        <v/>
      </c>
      <c r="I41">
        <f>IF(H41="IC","OUI",IF(H41="HC","OUI",IF(H41="HR","NON","A_CONTROLER")))</f>
        <v/>
      </c>
      <c r="J41">
        <f>IF(H41="IC","OUI",IF(H41="HC","NON",IF(H41="HR","NON","A_CONTROLER")))</f>
        <v/>
      </c>
      <c r="AD41">
        <f>IF(A41="","",TEXT(B41,"YYYYMMDD")&amp;"|"&amp;TEXT(D41,"0.00")&amp;"|"&amp;F41&amp;"|"&amp;M41)</f>
        <v/>
      </c>
    </row>
    <row r="42">
      <c r="C42">
        <f>IF(B42="","",TEXT(B42,"YYYY-MM"))</f>
        <v/>
      </c>
      <c r="I42">
        <f>IF(H42="IC","OUI",IF(H42="HC","OUI",IF(H42="HR","NON","A_CONTROLER")))</f>
        <v/>
      </c>
      <c r="J42">
        <f>IF(H42="IC","OUI",IF(H42="HC","NON",IF(H42="HR","NON","A_CONTROLER")))</f>
        <v/>
      </c>
      <c r="AD42">
        <f>IF(A42="","",TEXT(B42,"YYYYMMDD")&amp;"|"&amp;TEXT(D42,"0.00")&amp;"|"&amp;F42&amp;"|"&amp;M42)</f>
        <v/>
      </c>
    </row>
    <row r="43">
      <c r="C43">
        <f>IF(B43="","",TEXT(B43,"YYYY-MM"))</f>
        <v/>
      </c>
      <c r="I43">
        <f>IF(H43="IC","OUI",IF(H43="HC","OUI",IF(H43="HR","NON","A_CONTROLER")))</f>
        <v/>
      </c>
      <c r="J43">
        <f>IF(H43="IC","OUI",IF(H43="HC","NON",IF(H43="HR","NON","A_CONTROLER")))</f>
        <v/>
      </c>
      <c r="AD43">
        <f>IF(A43="","",TEXT(B43,"YYYYMMDD")&amp;"|"&amp;TEXT(D43,"0.00")&amp;"|"&amp;F43&amp;"|"&amp;M43)</f>
        <v/>
      </c>
    </row>
    <row r="44">
      <c r="C44">
        <f>IF(B44="","",TEXT(B44,"YYYY-MM"))</f>
        <v/>
      </c>
      <c r="I44">
        <f>IF(H44="IC","OUI",IF(H44="HC","OUI",IF(H44="HR","NON","A_CONTROLER")))</f>
        <v/>
      </c>
      <c r="J44">
        <f>IF(H44="IC","OUI",IF(H44="HC","NON",IF(H44="HR","NON","A_CONTROLER")))</f>
        <v/>
      </c>
      <c r="AD44">
        <f>IF(A44="","",TEXT(B44,"YYYYMMDD")&amp;"|"&amp;TEXT(D44,"0.00")&amp;"|"&amp;F44&amp;"|"&amp;M44)</f>
        <v/>
      </c>
    </row>
    <row r="45">
      <c r="C45">
        <f>IF(B45="","",TEXT(B45,"YYYY-MM"))</f>
        <v/>
      </c>
      <c r="I45">
        <f>IF(H45="IC","OUI",IF(H45="HC","OUI",IF(H45="HR","NON","A_CONTROLER")))</f>
        <v/>
      </c>
      <c r="J45">
        <f>IF(H45="IC","OUI",IF(H45="HC","NON",IF(H45="HR","NON","A_CONTROLER")))</f>
        <v/>
      </c>
      <c r="AD45">
        <f>IF(A45="","",TEXT(B45,"YYYYMMDD")&amp;"|"&amp;TEXT(D45,"0.00")&amp;"|"&amp;F45&amp;"|"&amp;M45)</f>
        <v/>
      </c>
    </row>
    <row r="46">
      <c r="C46">
        <f>IF(B46="","",TEXT(B46,"YYYY-MM"))</f>
        <v/>
      </c>
      <c r="I46">
        <f>IF(H46="IC","OUI",IF(H46="HC","OUI",IF(H46="HR","NON","A_CONTROLER")))</f>
        <v/>
      </c>
      <c r="J46">
        <f>IF(H46="IC","OUI",IF(H46="HC","NON",IF(H46="HR","NON","A_CONTROLER")))</f>
        <v/>
      </c>
      <c r="AD46">
        <f>IF(A46="","",TEXT(B46,"YYYYMMDD")&amp;"|"&amp;TEXT(D46,"0.00")&amp;"|"&amp;F46&amp;"|"&amp;M46)</f>
        <v/>
      </c>
    </row>
    <row r="47">
      <c r="C47">
        <f>IF(B47="","",TEXT(B47,"YYYY-MM"))</f>
        <v/>
      </c>
      <c r="I47">
        <f>IF(H47="IC","OUI",IF(H47="HC","OUI",IF(H47="HR","NON","A_CONTROLER")))</f>
        <v/>
      </c>
      <c r="J47">
        <f>IF(H47="IC","OUI",IF(H47="HC","NON",IF(H47="HR","NON","A_CONTROLER")))</f>
        <v/>
      </c>
      <c r="AD47">
        <f>IF(A47="","",TEXT(B47,"YYYYMMDD")&amp;"|"&amp;TEXT(D47,"0.00")&amp;"|"&amp;F47&amp;"|"&amp;M47)</f>
        <v/>
      </c>
    </row>
    <row r="48">
      <c r="C48">
        <f>IF(B48="","",TEXT(B48,"YYYY-MM"))</f>
        <v/>
      </c>
      <c r="I48">
        <f>IF(H48="IC","OUI",IF(H48="HC","OUI",IF(H48="HR","NON","A_CONTROLER")))</f>
        <v/>
      </c>
      <c r="J48">
        <f>IF(H48="IC","OUI",IF(H48="HC","NON",IF(H48="HR","NON","A_CONTROLER")))</f>
        <v/>
      </c>
      <c r="AD48">
        <f>IF(A48="","",TEXT(B48,"YYYYMMDD")&amp;"|"&amp;TEXT(D48,"0.00")&amp;"|"&amp;F48&amp;"|"&amp;M48)</f>
        <v/>
      </c>
    </row>
    <row r="49">
      <c r="C49">
        <f>IF(B49="","",TEXT(B49,"YYYY-MM"))</f>
        <v/>
      </c>
      <c r="I49">
        <f>IF(H49="IC","OUI",IF(H49="HC","OUI",IF(H49="HR","NON","A_CONTROLER")))</f>
        <v/>
      </c>
      <c r="J49">
        <f>IF(H49="IC","OUI",IF(H49="HC","NON",IF(H49="HR","NON","A_CONTROLER")))</f>
        <v/>
      </c>
      <c r="AD49">
        <f>IF(A49="","",TEXT(B49,"YYYYMMDD")&amp;"|"&amp;TEXT(D49,"0.00")&amp;"|"&amp;F49&amp;"|"&amp;M49)</f>
        <v/>
      </c>
    </row>
    <row r="50">
      <c r="C50">
        <f>IF(B50="","",TEXT(B50,"YYYY-MM"))</f>
        <v/>
      </c>
      <c r="I50">
        <f>IF(H50="IC","OUI",IF(H50="HC","OUI",IF(H50="HR","NON","A_CONTROLER")))</f>
        <v/>
      </c>
      <c r="J50">
        <f>IF(H50="IC","OUI",IF(H50="HC","NON",IF(H50="HR","NON","A_CONTROLER")))</f>
        <v/>
      </c>
      <c r="AD50">
        <f>IF(A50="","",TEXT(B50,"YYYYMMDD")&amp;"|"&amp;TEXT(D50,"0.00")&amp;"|"&amp;F50&amp;"|"&amp;M50)</f>
        <v/>
      </c>
    </row>
    <row r="51">
      <c r="C51">
        <f>IF(B51="","",TEXT(B51,"YYYY-MM"))</f>
        <v/>
      </c>
      <c r="I51">
        <f>IF(H51="IC","OUI",IF(H51="HC","OUI",IF(H51="HR","NON","A_CONTROLER")))</f>
        <v/>
      </c>
      <c r="J51">
        <f>IF(H51="IC","OUI",IF(H51="HC","NON",IF(H51="HR","NON","A_CONTROLER")))</f>
        <v/>
      </c>
      <c r="AD51">
        <f>IF(A51="","",TEXT(B51,"YYYYMMDD")&amp;"|"&amp;TEXT(D51,"0.00")&amp;"|"&amp;F51&amp;"|"&amp;M51)</f>
        <v/>
      </c>
    </row>
    <row r="52">
      <c r="C52">
        <f>IF(B52="","",TEXT(B52,"YYYY-MM"))</f>
        <v/>
      </c>
      <c r="I52">
        <f>IF(H52="IC","OUI",IF(H52="HC","OUI",IF(H52="HR","NON","A_CONTROLER")))</f>
        <v/>
      </c>
      <c r="J52">
        <f>IF(H52="IC","OUI",IF(H52="HC","NON",IF(H52="HR","NON","A_CONTROLER")))</f>
        <v/>
      </c>
      <c r="AD52">
        <f>IF(A52="","",TEXT(B52,"YYYYMMDD")&amp;"|"&amp;TEXT(D52,"0.00")&amp;"|"&amp;F52&amp;"|"&amp;M52)</f>
        <v/>
      </c>
    </row>
    <row r="53">
      <c r="C53">
        <f>IF(B53="","",TEXT(B53,"YYYY-MM"))</f>
        <v/>
      </c>
      <c r="I53">
        <f>IF(H53="IC","OUI",IF(H53="HC","OUI",IF(H53="HR","NON","A_CONTROLER")))</f>
        <v/>
      </c>
      <c r="J53">
        <f>IF(H53="IC","OUI",IF(H53="HC","NON",IF(H53="HR","NON","A_CONTROLER")))</f>
        <v/>
      </c>
      <c r="AD53">
        <f>IF(A53="","",TEXT(B53,"YYYYMMDD")&amp;"|"&amp;TEXT(D53,"0.00")&amp;"|"&amp;F53&amp;"|"&amp;M53)</f>
        <v/>
      </c>
    </row>
    <row r="54">
      <c r="C54">
        <f>IF(B54="","",TEXT(B54,"YYYY-MM"))</f>
        <v/>
      </c>
      <c r="I54">
        <f>IF(H54="IC","OUI",IF(H54="HC","OUI",IF(H54="HR","NON","A_CONTROLER")))</f>
        <v/>
      </c>
      <c r="J54">
        <f>IF(H54="IC","OUI",IF(H54="HC","NON",IF(H54="HR","NON","A_CONTROLER")))</f>
        <v/>
      </c>
      <c r="AD54">
        <f>IF(A54="","",TEXT(B54,"YYYYMMDD")&amp;"|"&amp;TEXT(D54,"0.00")&amp;"|"&amp;F54&amp;"|"&amp;M54)</f>
        <v/>
      </c>
    </row>
    <row r="55">
      <c r="C55">
        <f>IF(B55="","",TEXT(B55,"YYYY-MM"))</f>
        <v/>
      </c>
      <c r="I55">
        <f>IF(H55="IC","OUI",IF(H55="HC","OUI",IF(H55="HR","NON","A_CONTROLER")))</f>
        <v/>
      </c>
      <c r="J55">
        <f>IF(H55="IC","OUI",IF(H55="HC","NON",IF(H55="HR","NON","A_CONTROLER")))</f>
        <v/>
      </c>
      <c r="AD55">
        <f>IF(A55="","",TEXT(B55,"YYYYMMDD")&amp;"|"&amp;TEXT(D55,"0.00")&amp;"|"&amp;F55&amp;"|"&amp;M55)</f>
        <v/>
      </c>
    </row>
    <row r="56">
      <c r="C56">
        <f>IF(B56="","",TEXT(B56,"YYYY-MM"))</f>
        <v/>
      </c>
      <c r="I56">
        <f>IF(H56="IC","OUI",IF(H56="HC","OUI",IF(H56="HR","NON","A_CONTROLER")))</f>
        <v/>
      </c>
      <c r="J56">
        <f>IF(H56="IC","OUI",IF(H56="HC","NON",IF(H56="HR","NON","A_CONTROLER")))</f>
        <v/>
      </c>
      <c r="AD56">
        <f>IF(A56="","",TEXT(B56,"YYYYMMDD")&amp;"|"&amp;TEXT(D56,"0.00")&amp;"|"&amp;F56&amp;"|"&amp;M56)</f>
        <v/>
      </c>
    </row>
    <row r="57">
      <c r="C57">
        <f>IF(B57="","",TEXT(B57,"YYYY-MM"))</f>
        <v/>
      </c>
      <c r="I57">
        <f>IF(H57="IC","OUI",IF(H57="HC","OUI",IF(H57="HR","NON","A_CONTROLER")))</f>
        <v/>
      </c>
      <c r="J57">
        <f>IF(H57="IC","OUI",IF(H57="HC","NON",IF(H57="HR","NON","A_CONTROLER")))</f>
        <v/>
      </c>
      <c r="AD57">
        <f>IF(A57="","",TEXT(B57,"YYYYMMDD")&amp;"|"&amp;TEXT(D57,"0.00")&amp;"|"&amp;F57&amp;"|"&amp;M57)</f>
        <v/>
      </c>
    </row>
    <row r="58">
      <c r="C58">
        <f>IF(B58="","",TEXT(B58,"YYYY-MM"))</f>
        <v/>
      </c>
      <c r="I58">
        <f>IF(H58="IC","OUI",IF(H58="HC","OUI",IF(H58="HR","NON","A_CONTROLER")))</f>
        <v/>
      </c>
      <c r="J58">
        <f>IF(H58="IC","OUI",IF(H58="HC","NON",IF(H58="HR","NON","A_CONTROLER")))</f>
        <v/>
      </c>
      <c r="AD58">
        <f>IF(A58="","",TEXT(B58,"YYYYMMDD")&amp;"|"&amp;TEXT(D58,"0.00")&amp;"|"&amp;F58&amp;"|"&amp;M58)</f>
        <v/>
      </c>
    </row>
    <row r="59">
      <c r="C59">
        <f>IF(B59="","",TEXT(B59,"YYYY-MM"))</f>
        <v/>
      </c>
      <c r="I59">
        <f>IF(H59="IC","OUI",IF(H59="HC","OUI",IF(H59="HR","NON","A_CONTROLER")))</f>
        <v/>
      </c>
      <c r="J59">
        <f>IF(H59="IC","OUI",IF(H59="HC","NON",IF(H59="HR","NON","A_CONTROLER")))</f>
        <v/>
      </c>
      <c r="AD59">
        <f>IF(A59="","",TEXT(B59,"YYYYMMDD")&amp;"|"&amp;TEXT(D59,"0.00")&amp;"|"&amp;F59&amp;"|"&amp;M59)</f>
        <v/>
      </c>
    </row>
    <row r="60">
      <c r="C60">
        <f>IF(B60="","",TEXT(B60,"YYYY-MM"))</f>
        <v/>
      </c>
      <c r="I60">
        <f>IF(H60="IC","OUI",IF(H60="HC","OUI",IF(H60="HR","NON","A_CONTROLER")))</f>
        <v/>
      </c>
      <c r="J60">
        <f>IF(H60="IC","OUI",IF(H60="HC","NON",IF(H60="HR","NON","A_CONTROLER")))</f>
        <v/>
      </c>
      <c r="AD60">
        <f>IF(A60="","",TEXT(B60,"YYYYMMDD")&amp;"|"&amp;TEXT(D60,"0.00")&amp;"|"&amp;F60&amp;"|"&amp;M60)</f>
        <v/>
      </c>
    </row>
    <row r="61">
      <c r="C61">
        <f>IF(B61="","",TEXT(B61,"YYYY-MM"))</f>
        <v/>
      </c>
      <c r="I61">
        <f>IF(H61="IC","OUI",IF(H61="HC","OUI",IF(H61="HR","NON","A_CONTROLER")))</f>
        <v/>
      </c>
      <c r="J61">
        <f>IF(H61="IC","OUI",IF(H61="HC","NON",IF(H61="HR","NON","A_CONTROLER")))</f>
        <v/>
      </c>
      <c r="AD61">
        <f>IF(A61="","",TEXT(B61,"YYYYMMDD")&amp;"|"&amp;TEXT(D61,"0.00")&amp;"|"&amp;F61&amp;"|"&amp;M61)</f>
        <v/>
      </c>
    </row>
    <row r="62">
      <c r="C62">
        <f>IF(B62="","",TEXT(B62,"YYYY-MM"))</f>
        <v/>
      </c>
      <c r="I62">
        <f>IF(H62="IC","OUI",IF(H62="HC","OUI",IF(H62="HR","NON","A_CONTROLER")))</f>
        <v/>
      </c>
      <c r="J62">
        <f>IF(H62="IC","OUI",IF(H62="HC","NON",IF(H62="HR","NON","A_CONTROLER")))</f>
        <v/>
      </c>
      <c r="AD62">
        <f>IF(A62="","",TEXT(B62,"YYYYMMDD")&amp;"|"&amp;TEXT(D62,"0.00")&amp;"|"&amp;F62&amp;"|"&amp;M62)</f>
        <v/>
      </c>
    </row>
    <row r="63">
      <c r="C63">
        <f>IF(B63="","",TEXT(B63,"YYYY-MM"))</f>
        <v/>
      </c>
      <c r="I63">
        <f>IF(H63="IC","OUI",IF(H63="HC","OUI",IF(H63="HR","NON","A_CONTROLER")))</f>
        <v/>
      </c>
      <c r="J63">
        <f>IF(H63="IC","OUI",IF(H63="HC","NON",IF(H63="HR","NON","A_CONTROLER")))</f>
        <v/>
      </c>
      <c r="AD63">
        <f>IF(A63="","",TEXT(B63,"YYYYMMDD")&amp;"|"&amp;TEXT(D63,"0.00")&amp;"|"&amp;F63&amp;"|"&amp;M63)</f>
        <v/>
      </c>
    </row>
    <row r="64">
      <c r="C64">
        <f>IF(B64="","",TEXT(B64,"YYYY-MM"))</f>
        <v/>
      </c>
      <c r="I64">
        <f>IF(H64="IC","OUI",IF(H64="HC","OUI",IF(H64="HR","NON","A_CONTROLER")))</f>
        <v/>
      </c>
      <c r="J64">
        <f>IF(H64="IC","OUI",IF(H64="HC","NON",IF(H64="HR","NON","A_CONTROLER")))</f>
        <v/>
      </c>
      <c r="AD64">
        <f>IF(A64="","",TEXT(B64,"YYYYMMDD")&amp;"|"&amp;TEXT(D64,"0.00")&amp;"|"&amp;F64&amp;"|"&amp;M64)</f>
        <v/>
      </c>
    </row>
    <row r="65">
      <c r="C65">
        <f>IF(B65="","",TEXT(B65,"YYYY-MM"))</f>
        <v/>
      </c>
      <c r="I65">
        <f>IF(H65="IC","OUI",IF(H65="HC","OUI",IF(H65="HR","NON","A_CONTROLER")))</f>
        <v/>
      </c>
      <c r="J65">
        <f>IF(H65="IC","OUI",IF(H65="HC","NON",IF(H65="HR","NON","A_CONTROLER")))</f>
        <v/>
      </c>
      <c r="AD65">
        <f>IF(A65="","",TEXT(B65,"YYYYMMDD")&amp;"|"&amp;TEXT(D65,"0.00")&amp;"|"&amp;F65&amp;"|"&amp;M65)</f>
        <v/>
      </c>
    </row>
    <row r="66">
      <c r="C66">
        <f>IF(B66="","",TEXT(B66,"YYYY-MM"))</f>
        <v/>
      </c>
      <c r="I66">
        <f>IF(H66="IC","OUI",IF(H66="HC","OUI",IF(H66="HR","NON","A_CONTROLER")))</f>
        <v/>
      </c>
      <c r="J66">
        <f>IF(H66="IC","OUI",IF(H66="HC","NON",IF(H66="HR","NON","A_CONTROLER")))</f>
        <v/>
      </c>
      <c r="AD66">
        <f>IF(A66="","",TEXT(B66,"YYYYMMDD")&amp;"|"&amp;TEXT(D66,"0.00")&amp;"|"&amp;F66&amp;"|"&amp;M66)</f>
        <v/>
      </c>
    </row>
    <row r="67">
      <c r="C67">
        <f>IF(B67="","",TEXT(B67,"YYYY-MM"))</f>
        <v/>
      </c>
      <c r="I67">
        <f>IF(H67="IC","OUI",IF(H67="HC","OUI",IF(H67="HR","NON","A_CONTROLER")))</f>
        <v/>
      </c>
      <c r="J67">
        <f>IF(H67="IC","OUI",IF(H67="HC","NON",IF(H67="HR","NON","A_CONTROLER")))</f>
        <v/>
      </c>
      <c r="AD67">
        <f>IF(A67="","",TEXT(B67,"YYYYMMDD")&amp;"|"&amp;TEXT(D67,"0.00")&amp;"|"&amp;F67&amp;"|"&amp;M67)</f>
        <v/>
      </c>
    </row>
    <row r="68">
      <c r="C68">
        <f>IF(B68="","",TEXT(B68,"YYYY-MM"))</f>
        <v/>
      </c>
      <c r="I68">
        <f>IF(H68="IC","OUI",IF(H68="HC","OUI",IF(H68="HR","NON","A_CONTROLER")))</f>
        <v/>
      </c>
      <c r="J68">
        <f>IF(H68="IC","OUI",IF(H68="HC","NON",IF(H68="HR","NON","A_CONTROLER")))</f>
        <v/>
      </c>
      <c r="AD68">
        <f>IF(A68="","",TEXT(B68,"YYYYMMDD")&amp;"|"&amp;TEXT(D68,"0.00")&amp;"|"&amp;F68&amp;"|"&amp;M68)</f>
        <v/>
      </c>
    </row>
    <row r="69">
      <c r="C69">
        <f>IF(B69="","",TEXT(B69,"YYYY-MM"))</f>
        <v/>
      </c>
      <c r="I69">
        <f>IF(H69="IC","OUI",IF(H69="HC","OUI",IF(H69="HR","NON","A_CONTROLER")))</f>
        <v/>
      </c>
      <c r="J69">
        <f>IF(H69="IC","OUI",IF(H69="HC","NON",IF(H69="HR","NON","A_CONTROLER")))</f>
        <v/>
      </c>
      <c r="AD69">
        <f>IF(A69="","",TEXT(B69,"YYYYMMDD")&amp;"|"&amp;TEXT(D69,"0.00")&amp;"|"&amp;F69&amp;"|"&amp;M69)</f>
        <v/>
      </c>
    </row>
    <row r="70">
      <c r="C70">
        <f>IF(B70="","",TEXT(B70,"YYYY-MM"))</f>
        <v/>
      </c>
      <c r="I70">
        <f>IF(H70="IC","OUI",IF(H70="HC","OUI",IF(H70="HR","NON","A_CONTROLER")))</f>
        <v/>
      </c>
      <c r="J70">
        <f>IF(H70="IC","OUI",IF(H70="HC","NON",IF(H70="HR","NON","A_CONTROLER")))</f>
        <v/>
      </c>
      <c r="AD70">
        <f>IF(A70="","",TEXT(B70,"YYYYMMDD")&amp;"|"&amp;TEXT(D70,"0.00")&amp;"|"&amp;F70&amp;"|"&amp;M70)</f>
        <v/>
      </c>
    </row>
    <row r="71">
      <c r="C71">
        <f>IF(B71="","",TEXT(B71,"YYYY-MM"))</f>
        <v/>
      </c>
      <c r="I71">
        <f>IF(H71="IC","OUI",IF(H71="HC","OUI",IF(H71="HR","NON","A_CONTROLER")))</f>
        <v/>
      </c>
      <c r="J71">
        <f>IF(H71="IC","OUI",IF(H71="HC","NON",IF(H71="HR","NON","A_CONTROLER")))</f>
        <v/>
      </c>
      <c r="AD71">
        <f>IF(A71="","",TEXT(B71,"YYYYMMDD")&amp;"|"&amp;TEXT(D71,"0.00")&amp;"|"&amp;F71&amp;"|"&amp;M71)</f>
        <v/>
      </c>
    </row>
    <row r="72">
      <c r="C72">
        <f>IF(B72="","",TEXT(B72,"YYYY-MM"))</f>
        <v/>
      </c>
      <c r="I72">
        <f>IF(H72="IC","OUI",IF(H72="HC","OUI",IF(H72="HR","NON","A_CONTROLER")))</f>
        <v/>
      </c>
      <c r="J72">
        <f>IF(H72="IC","OUI",IF(H72="HC","NON",IF(H72="HR","NON","A_CONTROLER")))</f>
        <v/>
      </c>
      <c r="AD72">
        <f>IF(A72="","",TEXT(B72,"YYYYMMDD")&amp;"|"&amp;TEXT(D72,"0.00")&amp;"|"&amp;F72&amp;"|"&amp;M72)</f>
        <v/>
      </c>
    </row>
    <row r="73">
      <c r="C73">
        <f>IF(B73="","",TEXT(B73,"YYYY-MM"))</f>
        <v/>
      </c>
      <c r="I73">
        <f>IF(H73="IC","OUI",IF(H73="HC","OUI",IF(H73="HR","NON","A_CONTROLER")))</f>
        <v/>
      </c>
      <c r="J73">
        <f>IF(H73="IC","OUI",IF(H73="HC","NON",IF(H73="HR","NON","A_CONTROLER")))</f>
        <v/>
      </c>
      <c r="AD73">
        <f>IF(A73="","",TEXT(B73,"YYYYMMDD")&amp;"|"&amp;TEXT(D73,"0.00")&amp;"|"&amp;F73&amp;"|"&amp;M73)</f>
        <v/>
      </c>
    </row>
    <row r="74">
      <c r="C74">
        <f>IF(B74="","",TEXT(B74,"YYYY-MM"))</f>
        <v/>
      </c>
      <c r="I74">
        <f>IF(H74="IC","OUI",IF(H74="HC","OUI",IF(H74="HR","NON","A_CONTROLER")))</f>
        <v/>
      </c>
      <c r="J74">
        <f>IF(H74="IC","OUI",IF(H74="HC","NON",IF(H74="HR","NON","A_CONTROLER")))</f>
        <v/>
      </c>
      <c r="AD74">
        <f>IF(A74="","",TEXT(B74,"YYYYMMDD")&amp;"|"&amp;TEXT(D74,"0.00")&amp;"|"&amp;F74&amp;"|"&amp;M74)</f>
        <v/>
      </c>
    </row>
    <row r="75">
      <c r="C75">
        <f>IF(B75="","",TEXT(B75,"YYYY-MM"))</f>
        <v/>
      </c>
      <c r="I75">
        <f>IF(H75="IC","OUI",IF(H75="HC","OUI",IF(H75="HR","NON","A_CONTROLER")))</f>
        <v/>
      </c>
      <c r="J75">
        <f>IF(H75="IC","OUI",IF(H75="HC","NON",IF(H75="HR","NON","A_CONTROLER")))</f>
        <v/>
      </c>
      <c r="AD75">
        <f>IF(A75="","",TEXT(B75,"YYYYMMDD")&amp;"|"&amp;TEXT(D75,"0.00")&amp;"|"&amp;F75&amp;"|"&amp;M75)</f>
        <v/>
      </c>
    </row>
    <row r="76">
      <c r="C76">
        <f>IF(B76="","",TEXT(B76,"YYYY-MM"))</f>
        <v/>
      </c>
      <c r="I76">
        <f>IF(H76="IC","OUI",IF(H76="HC","OUI",IF(H76="HR","NON","A_CONTROLER")))</f>
        <v/>
      </c>
      <c r="J76">
        <f>IF(H76="IC","OUI",IF(H76="HC","NON",IF(H76="HR","NON","A_CONTROLER")))</f>
        <v/>
      </c>
      <c r="AD76">
        <f>IF(A76="","",TEXT(B76,"YYYYMMDD")&amp;"|"&amp;TEXT(D76,"0.00")&amp;"|"&amp;F76&amp;"|"&amp;M76)</f>
        <v/>
      </c>
    </row>
    <row r="77">
      <c r="C77">
        <f>IF(B77="","",TEXT(B77,"YYYY-MM"))</f>
        <v/>
      </c>
      <c r="I77">
        <f>IF(H77="IC","OUI",IF(H77="HC","OUI",IF(H77="HR","NON","A_CONTROLER")))</f>
        <v/>
      </c>
      <c r="J77">
        <f>IF(H77="IC","OUI",IF(H77="HC","NON",IF(H77="HR","NON","A_CONTROLER")))</f>
        <v/>
      </c>
      <c r="AD77">
        <f>IF(A77="","",TEXT(B77,"YYYYMMDD")&amp;"|"&amp;TEXT(D77,"0.00")&amp;"|"&amp;F77&amp;"|"&amp;M77)</f>
        <v/>
      </c>
    </row>
    <row r="78">
      <c r="C78">
        <f>IF(B78="","",TEXT(B78,"YYYY-MM"))</f>
        <v/>
      </c>
      <c r="I78">
        <f>IF(H78="IC","OUI",IF(H78="HC","OUI",IF(H78="HR","NON","A_CONTROLER")))</f>
        <v/>
      </c>
      <c r="J78">
        <f>IF(H78="IC","OUI",IF(H78="HC","NON",IF(H78="HR","NON","A_CONTROLER")))</f>
        <v/>
      </c>
      <c r="AD78">
        <f>IF(A78="","",TEXT(B78,"YYYYMMDD")&amp;"|"&amp;TEXT(D78,"0.00")&amp;"|"&amp;F78&amp;"|"&amp;M78)</f>
        <v/>
      </c>
    </row>
    <row r="79">
      <c r="C79">
        <f>IF(B79="","",TEXT(B79,"YYYY-MM"))</f>
        <v/>
      </c>
      <c r="I79">
        <f>IF(H79="IC","OUI",IF(H79="HC","OUI",IF(H79="HR","NON","A_CONTROLER")))</f>
        <v/>
      </c>
      <c r="J79">
        <f>IF(H79="IC","OUI",IF(H79="HC","NON",IF(H79="HR","NON","A_CONTROLER")))</f>
        <v/>
      </c>
      <c r="AD79">
        <f>IF(A79="","",TEXT(B79,"YYYYMMDD")&amp;"|"&amp;TEXT(D79,"0.00")&amp;"|"&amp;F79&amp;"|"&amp;M79)</f>
        <v/>
      </c>
    </row>
    <row r="80">
      <c r="C80">
        <f>IF(B80="","",TEXT(B80,"YYYY-MM"))</f>
        <v/>
      </c>
      <c r="I80">
        <f>IF(H80="IC","OUI",IF(H80="HC","OUI",IF(H80="HR","NON","A_CONTROLER")))</f>
        <v/>
      </c>
      <c r="J80">
        <f>IF(H80="IC","OUI",IF(H80="HC","NON",IF(H80="HR","NON","A_CONTROLER")))</f>
        <v/>
      </c>
      <c r="AD80">
        <f>IF(A80="","",TEXT(B80,"YYYYMMDD")&amp;"|"&amp;TEXT(D80,"0.00")&amp;"|"&amp;F80&amp;"|"&amp;M80)</f>
        <v/>
      </c>
    </row>
    <row r="81">
      <c r="C81">
        <f>IF(B81="","",TEXT(B81,"YYYY-MM"))</f>
        <v/>
      </c>
      <c r="I81">
        <f>IF(H81="IC","OUI",IF(H81="HC","OUI",IF(H81="HR","NON","A_CONTROLER")))</f>
        <v/>
      </c>
      <c r="J81">
        <f>IF(H81="IC","OUI",IF(H81="HC","NON",IF(H81="HR","NON","A_CONTROLER")))</f>
        <v/>
      </c>
      <c r="AD81">
        <f>IF(A81="","",TEXT(B81,"YYYYMMDD")&amp;"|"&amp;TEXT(D81,"0.00")&amp;"|"&amp;F81&amp;"|"&amp;M81)</f>
        <v/>
      </c>
    </row>
    <row r="82">
      <c r="C82">
        <f>IF(B82="","",TEXT(B82,"YYYY-MM"))</f>
        <v/>
      </c>
      <c r="I82">
        <f>IF(H82="IC","OUI",IF(H82="HC","OUI",IF(H82="HR","NON","A_CONTROLER")))</f>
        <v/>
      </c>
      <c r="J82">
        <f>IF(H82="IC","OUI",IF(H82="HC","NON",IF(H82="HR","NON","A_CONTROLER")))</f>
        <v/>
      </c>
      <c r="AD82">
        <f>IF(A82="","",TEXT(B82,"YYYYMMDD")&amp;"|"&amp;TEXT(D82,"0.00")&amp;"|"&amp;F82&amp;"|"&amp;M82)</f>
        <v/>
      </c>
    </row>
    <row r="83">
      <c r="C83">
        <f>IF(B83="","",TEXT(B83,"YYYY-MM"))</f>
        <v/>
      </c>
      <c r="I83">
        <f>IF(H83="IC","OUI",IF(H83="HC","OUI",IF(H83="HR","NON","A_CONTROLER")))</f>
        <v/>
      </c>
      <c r="J83">
        <f>IF(H83="IC","OUI",IF(H83="HC","NON",IF(H83="HR","NON","A_CONTROLER")))</f>
        <v/>
      </c>
      <c r="AD83">
        <f>IF(A83="","",TEXT(B83,"YYYYMMDD")&amp;"|"&amp;TEXT(D83,"0.00")&amp;"|"&amp;F83&amp;"|"&amp;M83)</f>
        <v/>
      </c>
    </row>
    <row r="84">
      <c r="C84">
        <f>IF(B84="","",TEXT(B84,"YYYY-MM"))</f>
        <v/>
      </c>
      <c r="I84">
        <f>IF(H84="IC","OUI",IF(H84="HC","OUI",IF(H84="HR","NON","A_CONTROLER")))</f>
        <v/>
      </c>
      <c r="J84">
        <f>IF(H84="IC","OUI",IF(H84="HC","NON",IF(H84="HR","NON","A_CONTROLER")))</f>
        <v/>
      </c>
      <c r="AD84">
        <f>IF(A84="","",TEXT(B84,"YYYYMMDD")&amp;"|"&amp;TEXT(D84,"0.00")&amp;"|"&amp;F84&amp;"|"&amp;M84)</f>
        <v/>
      </c>
    </row>
    <row r="85">
      <c r="C85">
        <f>IF(B85="","",TEXT(B85,"YYYY-MM"))</f>
        <v/>
      </c>
      <c r="I85">
        <f>IF(H85="IC","OUI",IF(H85="HC","OUI",IF(H85="HR","NON","A_CONTROLER")))</f>
        <v/>
      </c>
      <c r="J85">
        <f>IF(H85="IC","OUI",IF(H85="HC","NON",IF(H85="HR","NON","A_CONTROLER")))</f>
        <v/>
      </c>
      <c r="AD85">
        <f>IF(A85="","",TEXT(B85,"YYYYMMDD")&amp;"|"&amp;TEXT(D85,"0.00")&amp;"|"&amp;F85&amp;"|"&amp;M85)</f>
        <v/>
      </c>
    </row>
    <row r="86">
      <c r="C86">
        <f>IF(B86="","",TEXT(B86,"YYYY-MM"))</f>
        <v/>
      </c>
      <c r="I86">
        <f>IF(H86="IC","OUI",IF(H86="HC","OUI",IF(H86="HR","NON","A_CONTROLER")))</f>
        <v/>
      </c>
      <c r="J86">
        <f>IF(H86="IC","OUI",IF(H86="HC","NON",IF(H86="HR","NON","A_CONTROLER")))</f>
        <v/>
      </c>
      <c r="AD86">
        <f>IF(A86="","",TEXT(B86,"YYYYMMDD")&amp;"|"&amp;TEXT(D86,"0.00")&amp;"|"&amp;F86&amp;"|"&amp;M86)</f>
        <v/>
      </c>
    </row>
    <row r="87">
      <c r="C87">
        <f>IF(B87="","",TEXT(B87,"YYYY-MM"))</f>
        <v/>
      </c>
      <c r="I87">
        <f>IF(H87="IC","OUI",IF(H87="HC","OUI",IF(H87="HR","NON","A_CONTROLER")))</f>
        <v/>
      </c>
      <c r="J87">
        <f>IF(H87="IC","OUI",IF(H87="HC","NON",IF(H87="HR","NON","A_CONTROLER")))</f>
        <v/>
      </c>
      <c r="AD87">
        <f>IF(A87="","",TEXT(B87,"YYYYMMDD")&amp;"|"&amp;TEXT(D87,"0.00")&amp;"|"&amp;F87&amp;"|"&amp;M87)</f>
        <v/>
      </c>
    </row>
    <row r="88">
      <c r="C88">
        <f>IF(B88="","",TEXT(B88,"YYYY-MM"))</f>
        <v/>
      </c>
      <c r="I88">
        <f>IF(H88="IC","OUI",IF(H88="HC","OUI",IF(H88="HR","NON","A_CONTROLER")))</f>
        <v/>
      </c>
      <c r="J88">
        <f>IF(H88="IC","OUI",IF(H88="HC","NON",IF(H88="HR","NON","A_CONTROLER")))</f>
        <v/>
      </c>
      <c r="AD88">
        <f>IF(A88="","",TEXT(B88,"YYYYMMDD")&amp;"|"&amp;TEXT(D88,"0.00")&amp;"|"&amp;F88&amp;"|"&amp;M88)</f>
        <v/>
      </c>
    </row>
    <row r="89">
      <c r="C89">
        <f>IF(B89="","",TEXT(B89,"YYYY-MM"))</f>
        <v/>
      </c>
      <c r="I89">
        <f>IF(H89="IC","OUI",IF(H89="HC","OUI",IF(H89="HR","NON","A_CONTROLER")))</f>
        <v/>
      </c>
      <c r="J89">
        <f>IF(H89="IC","OUI",IF(H89="HC","NON",IF(H89="HR","NON","A_CONTROLER")))</f>
        <v/>
      </c>
      <c r="AD89">
        <f>IF(A89="","",TEXT(B89,"YYYYMMDD")&amp;"|"&amp;TEXT(D89,"0.00")&amp;"|"&amp;F89&amp;"|"&amp;M89)</f>
        <v/>
      </c>
    </row>
    <row r="90">
      <c r="C90">
        <f>IF(B90="","",TEXT(B90,"YYYY-MM"))</f>
        <v/>
      </c>
      <c r="I90">
        <f>IF(H90="IC","OUI",IF(H90="HC","OUI",IF(H90="HR","NON","A_CONTROLER")))</f>
        <v/>
      </c>
      <c r="J90">
        <f>IF(H90="IC","OUI",IF(H90="HC","NON",IF(H90="HR","NON","A_CONTROLER")))</f>
        <v/>
      </c>
      <c r="AD90">
        <f>IF(A90="","",TEXT(B90,"YYYYMMDD")&amp;"|"&amp;TEXT(D90,"0.00")&amp;"|"&amp;F90&amp;"|"&amp;M90)</f>
        <v/>
      </c>
    </row>
    <row r="91">
      <c r="C91">
        <f>IF(B91="","",TEXT(B91,"YYYY-MM"))</f>
        <v/>
      </c>
      <c r="I91">
        <f>IF(H91="IC","OUI",IF(H91="HC","OUI",IF(H91="HR","NON","A_CONTROLER")))</f>
        <v/>
      </c>
      <c r="J91">
        <f>IF(H91="IC","OUI",IF(H91="HC","NON",IF(H91="HR","NON","A_CONTROLER")))</f>
        <v/>
      </c>
      <c r="AD91">
        <f>IF(A91="","",TEXT(B91,"YYYYMMDD")&amp;"|"&amp;TEXT(D91,"0.00")&amp;"|"&amp;F91&amp;"|"&amp;M91)</f>
        <v/>
      </c>
    </row>
    <row r="92">
      <c r="C92">
        <f>IF(B92="","",TEXT(B92,"YYYY-MM"))</f>
        <v/>
      </c>
      <c r="I92">
        <f>IF(H92="IC","OUI",IF(H92="HC","OUI",IF(H92="HR","NON","A_CONTROLER")))</f>
        <v/>
      </c>
      <c r="J92">
        <f>IF(H92="IC","OUI",IF(H92="HC","NON",IF(H92="HR","NON","A_CONTROLER")))</f>
        <v/>
      </c>
      <c r="AD92">
        <f>IF(A92="","",TEXT(B92,"YYYYMMDD")&amp;"|"&amp;TEXT(D92,"0.00")&amp;"|"&amp;F92&amp;"|"&amp;M92)</f>
        <v/>
      </c>
    </row>
    <row r="93">
      <c r="C93">
        <f>IF(B93="","",TEXT(B93,"YYYY-MM"))</f>
        <v/>
      </c>
      <c r="I93">
        <f>IF(H93="IC","OUI",IF(H93="HC","OUI",IF(H93="HR","NON","A_CONTROLER")))</f>
        <v/>
      </c>
      <c r="J93">
        <f>IF(H93="IC","OUI",IF(H93="HC","NON",IF(H93="HR","NON","A_CONTROLER")))</f>
        <v/>
      </c>
      <c r="AD93">
        <f>IF(A93="","",TEXT(B93,"YYYYMMDD")&amp;"|"&amp;TEXT(D93,"0.00")&amp;"|"&amp;F93&amp;"|"&amp;M93)</f>
        <v/>
      </c>
    </row>
    <row r="94">
      <c r="C94">
        <f>IF(B94="","",TEXT(B94,"YYYY-MM"))</f>
        <v/>
      </c>
      <c r="I94">
        <f>IF(H94="IC","OUI",IF(H94="HC","OUI",IF(H94="HR","NON","A_CONTROLER")))</f>
        <v/>
      </c>
      <c r="J94">
        <f>IF(H94="IC","OUI",IF(H94="HC","NON",IF(H94="HR","NON","A_CONTROLER")))</f>
        <v/>
      </c>
      <c r="AD94">
        <f>IF(A94="","",TEXT(B94,"YYYYMMDD")&amp;"|"&amp;TEXT(D94,"0.00")&amp;"|"&amp;F94&amp;"|"&amp;M94)</f>
        <v/>
      </c>
    </row>
    <row r="95">
      <c r="C95">
        <f>IF(B95="","",TEXT(B95,"YYYY-MM"))</f>
        <v/>
      </c>
      <c r="I95">
        <f>IF(H95="IC","OUI",IF(H95="HC","OUI",IF(H95="HR","NON","A_CONTROLER")))</f>
        <v/>
      </c>
      <c r="J95">
        <f>IF(H95="IC","OUI",IF(H95="HC","NON",IF(H95="HR","NON","A_CONTROLER")))</f>
        <v/>
      </c>
      <c r="AD95">
        <f>IF(A95="","",TEXT(B95,"YYYYMMDD")&amp;"|"&amp;TEXT(D95,"0.00")&amp;"|"&amp;F95&amp;"|"&amp;M95)</f>
        <v/>
      </c>
    </row>
    <row r="96">
      <c r="C96">
        <f>IF(B96="","",TEXT(B96,"YYYY-MM"))</f>
        <v/>
      </c>
      <c r="I96">
        <f>IF(H96="IC","OUI",IF(H96="HC","OUI",IF(H96="HR","NON","A_CONTROLER")))</f>
        <v/>
      </c>
      <c r="J96">
        <f>IF(H96="IC","OUI",IF(H96="HC","NON",IF(H96="HR","NON","A_CONTROLER")))</f>
        <v/>
      </c>
      <c r="AD96">
        <f>IF(A96="","",TEXT(B96,"YYYYMMDD")&amp;"|"&amp;TEXT(D96,"0.00")&amp;"|"&amp;F96&amp;"|"&amp;M96)</f>
        <v/>
      </c>
    </row>
    <row r="97">
      <c r="C97">
        <f>IF(B97="","",TEXT(B97,"YYYY-MM"))</f>
        <v/>
      </c>
      <c r="I97">
        <f>IF(H97="IC","OUI",IF(H97="HC","OUI",IF(H97="HR","NON","A_CONTROLER")))</f>
        <v/>
      </c>
      <c r="J97">
        <f>IF(H97="IC","OUI",IF(H97="HC","NON",IF(H97="HR","NON","A_CONTROLER")))</f>
        <v/>
      </c>
      <c r="AD97">
        <f>IF(A97="","",TEXT(B97,"YYYYMMDD")&amp;"|"&amp;TEXT(D97,"0.00")&amp;"|"&amp;F97&amp;"|"&amp;M97)</f>
        <v/>
      </c>
    </row>
    <row r="98">
      <c r="C98">
        <f>IF(B98="","",TEXT(B98,"YYYY-MM"))</f>
        <v/>
      </c>
      <c r="I98">
        <f>IF(H98="IC","OUI",IF(H98="HC","OUI",IF(H98="HR","NON","A_CONTROLER")))</f>
        <v/>
      </c>
      <c r="J98">
        <f>IF(H98="IC","OUI",IF(H98="HC","NON",IF(H98="HR","NON","A_CONTROLER")))</f>
        <v/>
      </c>
      <c r="AD98">
        <f>IF(A98="","",TEXT(B98,"YYYYMMDD")&amp;"|"&amp;TEXT(D98,"0.00")&amp;"|"&amp;F98&amp;"|"&amp;M98)</f>
        <v/>
      </c>
    </row>
    <row r="99">
      <c r="C99">
        <f>IF(B99="","",TEXT(B99,"YYYY-MM"))</f>
        <v/>
      </c>
      <c r="I99">
        <f>IF(H99="IC","OUI",IF(H99="HC","OUI",IF(H99="HR","NON","A_CONTROLER")))</f>
        <v/>
      </c>
      <c r="J99">
        <f>IF(H99="IC","OUI",IF(H99="HC","NON",IF(H99="HR","NON","A_CONTROLER")))</f>
        <v/>
      </c>
      <c r="AD99">
        <f>IF(A99="","",TEXT(B99,"YYYYMMDD")&amp;"|"&amp;TEXT(D99,"0.00")&amp;"|"&amp;F99&amp;"|"&amp;M99)</f>
        <v/>
      </c>
    </row>
    <row r="100">
      <c r="C100">
        <f>IF(B100="","",TEXT(B100,"YYYY-MM"))</f>
        <v/>
      </c>
      <c r="I100">
        <f>IF(H100="IC","OUI",IF(H100="HC","OUI",IF(H100="HR","NON","A_CONTROLER")))</f>
        <v/>
      </c>
      <c r="J100">
        <f>IF(H100="IC","OUI",IF(H100="HC","NON",IF(H100="HR","NON","A_CONTROLER")))</f>
        <v/>
      </c>
      <c r="AD100">
        <f>IF(A100="","",TEXT(B100,"YYYYMMDD")&amp;"|"&amp;TEXT(D100,"0.00")&amp;"|"&amp;F100&amp;"|"&amp;M100)</f>
        <v/>
      </c>
    </row>
    <row r="101">
      <c r="C101">
        <f>IF(B101="","",TEXT(B101,"YYYY-MM"))</f>
        <v/>
      </c>
      <c r="I101">
        <f>IF(H101="IC","OUI",IF(H101="HC","OUI",IF(H101="HR","NON","A_CONTROLER")))</f>
        <v/>
      </c>
      <c r="J101">
        <f>IF(H101="IC","OUI",IF(H101="HC","NON",IF(H101="HR","NON","A_CONTROLER")))</f>
        <v/>
      </c>
      <c r="AD101">
        <f>IF(A101="","",TEXT(B101,"YYYYMMDD")&amp;"|"&amp;TEXT(D101,"0.00")&amp;"|"&amp;F101&amp;"|"&amp;M101)</f>
        <v/>
      </c>
    </row>
    <row r="102">
      <c r="C102">
        <f>IF(B102="","",TEXT(B102,"YYYY-MM"))</f>
        <v/>
      </c>
      <c r="I102">
        <f>IF(H102="IC","OUI",IF(H102="HC","OUI",IF(H102="HR","NON","A_CONTROLER")))</f>
        <v/>
      </c>
      <c r="J102">
        <f>IF(H102="IC","OUI",IF(H102="HC","NON",IF(H102="HR","NON","A_CONTROLER")))</f>
        <v/>
      </c>
      <c r="AD102">
        <f>IF(A102="","",TEXT(B102,"YYYYMMDD")&amp;"|"&amp;TEXT(D102,"0.00")&amp;"|"&amp;F102&amp;"|"&amp;M102)</f>
        <v/>
      </c>
    </row>
    <row r="103">
      <c r="C103">
        <f>IF(B103="","",TEXT(B103,"YYYY-MM"))</f>
        <v/>
      </c>
      <c r="I103">
        <f>IF(H103="IC","OUI",IF(H103="HC","OUI",IF(H103="HR","NON","A_CONTROLER")))</f>
        <v/>
      </c>
      <c r="J103">
        <f>IF(H103="IC","OUI",IF(H103="HC","NON",IF(H103="HR","NON","A_CONTROLER")))</f>
        <v/>
      </c>
      <c r="AD103">
        <f>IF(A103="","",TEXT(B103,"YYYYMMDD")&amp;"|"&amp;TEXT(D103,"0.00")&amp;"|"&amp;F103&amp;"|"&amp;M103)</f>
        <v/>
      </c>
    </row>
    <row r="104">
      <c r="C104">
        <f>IF(B104="","",TEXT(B104,"YYYY-MM"))</f>
        <v/>
      </c>
      <c r="I104">
        <f>IF(H104="IC","OUI",IF(H104="HC","OUI",IF(H104="HR","NON","A_CONTROLER")))</f>
        <v/>
      </c>
      <c r="J104">
        <f>IF(H104="IC","OUI",IF(H104="HC","NON",IF(H104="HR","NON","A_CONTROLER")))</f>
        <v/>
      </c>
      <c r="AD104">
        <f>IF(A104="","",TEXT(B104,"YYYYMMDD")&amp;"|"&amp;TEXT(D104,"0.00")&amp;"|"&amp;F104&amp;"|"&amp;M104)</f>
        <v/>
      </c>
    </row>
    <row r="105">
      <c r="C105">
        <f>IF(B105="","",TEXT(B105,"YYYY-MM"))</f>
        <v/>
      </c>
      <c r="I105">
        <f>IF(H105="IC","OUI",IF(H105="HC","OUI",IF(H105="HR","NON","A_CONTROLER")))</f>
        <v/>
      </c>
      <c r="J105">
        <f>IF(H105="IC","OUI",IF(H105="HC","NON",IF(H105="HR","NON","A_CONTROLER")))</f>
        <v/>
      </c>
      <c r="AD105">
        <f>IF(A105="","",TEXT(B105,"YYYYMMDD")&amp;"|"&amp;TEXT(D105,"0.00")&amp;"|"&amp;F105&amp;"|"&amp;M105)</f>
        <v/>
      </c>
    </row>
    <row r="106">
      <c r="C106">
        <f>IF(B106="","",TEXT(B106,"YYYY-MM"))</f>
        <v/>
      </c>
      <c r="I106">
        <f>IF(H106="IC","OUI",IF(H106="HC","OUI",IF(H106="HR","NON","A_CONTROLER")))</f>
        <v/>
      </c>
      <c r="J106">
        <f>IF(H106="IC","OUI",IF(H106="HC","NON",IF(H106="HR","NON","A_CONTROLER")))</f>
        <v/>
      </c>
      <c r="AD106">
        <f>IF(A106="","",TEXT(B106,"YYYYMMDD")&amp;"|"&amp;TEXT(D106,"0.00")&amp;"|"&amp;F106&amp;"|"&amp;M106)</f>
        <v/>
      </c>
    </row>
    <row r="107">
      <c r="C107">
        <f>IF(B107="","",TEXT(B107,"YYYY-MM"))</f>
        <v/>
      </c>
      <c r="I107">
        <f>IF(H107="IC","OUI",IF(H107="HC","OUI",IF(H107="HR","NON","A_CONTROLER")))</f>
        <v/>
      </c>
      <c r="J107">
        <f>IF(H107="IC","OUI",IF(H107="HC","NON",IF(H107="HR","NON","A_CONTROLER")))</f>
        <v/>
      </c>
      <c r="AD107">
        <f>IF(A107="","",TEXT(B107,"YYYYMMDD")&amp;"|"&amp;TEXT(D107,"0.00")&amp;"|"&amp;F107&amp;"|"&amp;M107)</f>
        <v/>
      </c>
    </row>
    <row r="108">
      <c r="C108">
        <f>IF(B108="","",TEXT(B108,"YYYY-MM"))</f>
        <v/>
      </c>
      <c r="I108">
        <f>IF(H108="IC","OUI",IF(H108="HC","OUI",IF(H108="HR","NON","A_CONTROLER")))</f>
        <v/>
      </c>
      <c r="J108">
        <f>IF(H108="IC","OUI",IF(H108="HC","NON",IF(H108="HR","NON","A_CONTROLER")))</f>
        <v/>
      </c>
      <c r="AD108">
        <f>IF(A108="","",TEXT(B108,"YYYYMMDD")&amp;"|"&amp;TEXT(D108,"0.00")&amp;"|"&amp;F108&amp;"|"&amp;M108)</f>
        <v/>
      </c>
    </row>
    <row r="109">
      <c r="C109">
        <f>IF(B109="","",TEXT(B109,"YYYY-MM"))</f>
        <v/>
      </c>
      <c r="I109">
        <f>IF(H109="IC","OUI",IF(H109="HC","OUI",IF(H109="HR","NON","A_CONTROLER")))</f>
        <v/>
      </c>
      <c r="J109">
        <f>IF(H109="IC","OUI",IF(H109="HC","NON",IF(H109="HR","NON","A_CONTROLER")))</f>
        <v/>
      </c>
      <c r="AD109">
        <f>IF(A109="","",TEXT(B109,"YYYYMMDD")&amp;"|"&amp;TEXT(D109,"0.00")&amp;"|"&amp;F109&amp;"|"&amp;M109)</f>
        <v/>
      </c>
    </row>
    <row r="110">
      <c r="C110">
        <f>IF(B110="","",TEXT(B110,"YYYY-MM"))</f>
        <v/>
      </c>
      <c r="I110">
        <f>IF(H110="IC","OUI",IF(H110="HC","OUI",IF(H110="HR","NON","A_CONTROLER")))</f>
        <v/>
      </c>
      <c r="J110">
        <f>IF(H110="IC","OUI",IF(H110="HC","NON",IF(H110="HR","NON","A_CONTROLER")))</f>
        <v/>
      </c>
      <c r="AD110">
        <f>IF(A110="","",TEXT(B110,"YYYYMMDD")&amp;"|"&amp;TEXT(D110,"0.00")&amp;"|"&amp;F110&amp;"|"&amp;M110)</f>
        <v/>
      </c>
    </row>
    <row r="111">
      <c r="C111">
        <f>IF(B111="","",TEXT(B111,"YYYY-MM"))</f>
        <v/>
      </c>
      <c r="I111">
        <f>IF(H111="IC","OUI",IF(H111="HC","OUI",IF(H111="HR","NON","A_CONTROLER")))</f>
        <v/>
      </c>
      <c r="J111">
        <f>IF(H111="IC","OUI",IF(H111="HC","NON",IF(H111="HR","NON","A_CONTROLER")))</f>
        <v/>
      </c>
      <c r="AD111">
        <f>IF(A111="","",TEXT(B111,"YYYYMMDD")&amp;"|"&amp;TEXT(D111,"0.00")&amp;"|"&amp;F111&amp;"|"&amp;M111)</f>
        <v/>
      </c>
    </row>
    <row r="112">
      <c r="C112">
        <f>IF(B112="","",TEXT(B112,"YYYY-MM"))</f>
        <v/>
      </c>
      <c r="I112">
        <f>IF(H112="IC","OUI",IF(H112="HC","OUI",IF(H112="HR","NON","A_CONTROLER")))</f>
        <v/>
      </c>
      <c r="J112">
        <f>IF(H112="IC","OUI",IF(H112="HC","NON",IF(H112="HR","NON","A_CONTROLER")))</f>
        <v/>
      </c>
      <c r="AD112">
        <f>IF(A112="","",TEXT(B112,"YYYYMMDD")&amp;"|"&amp;TEXT(D112,"0.00")&amp;"|"&amp;F112&amp;"|"&amp;M112)</f>
        <v/>
      </c>
    </row>
    <row r="113">
      <c r="C113">
        <f>IF(B113="","",TEXT(B113,"YYYY-MM"))</f>
        <v/>
      </c>
      <c r="I113">
        <f>IF(H113="IC","OUI",IF(H113="HC","OUI",IF(H113="HR","NON","A_CONTROLER")))</f>
        <v/>
      </c>
      <c r="J113">
        <f>IF(H113="IC","OUI",IF(H113="HC","NON",IF(H113="HR","NON","A_CONTROLER")))</f>
        <v/>
      </c>
      <c r="AD113">
        <f>IF(A113="","",TEXT(B113,"YYYYMMDD")&amp;"|"&amp;TEXT(D113,"0.00")&amp;"|"&amp;F113&amp;"|"&amp;M113)</f>
        <v/>
      </c>
    </row>
    <row r="114">
      <c r="C114">
        <f>IF(B114="","",TEXT(B114,"YYYY-MM"))</f>
        <v/>
      </c>
      <c r="I114">
        <f>IF(H114="IC","OUI",IF(H114="HC","OUI",IF(H114="HR","NON","A_CONTROLER")))</f>
        <v/>
      </c>
      <c r="J114">
        <f>IF(H114="IC","OUI",IF(H114="HC","NON",IF(H114="HR","NON","A_CONTROLER")))</f>
        <v/>
      </c>
      <c r="AD114">
        <f>IF(A114="","",TEXT(B114,"YYYYMMDD")&amp;"|"&amp;TEXT(D114,"0.00")&amp;"|"&amp;F114&amp;"|"&amp;M114)</f>
        <v/>
      </c>
    </row>
    <row r="115">
      <c r="C115">
        <f>IF(B115="","",TEXT(B115,"YYYY-MM"))</f>
        <v/>
      </c>
      <c r="I115">
        <f>IF(H115="IC","OUI",IF(H115="HC","OUI",IF(H115="HR","NON","A_CONTROLER")))</f>
        <v/>
      </c>
      <c r="J115">
        <f>IF(H115="IC","OUI",IF(H115="HC","NON",IF(H115="HR","NON","A_CONTROLER")))</f>
        <v/>
      </c>
      <c r="AD115">
        <f>IF(A115="","",TEXT(B115,"YYYYMMDD")&amp;"|"&amp;TEXT(D115,"0.00")&amp;"|"&amp;F115&amp;"|"&amp;M115)</f>
        <v/>
      </c>
    </row>
    <row r="116">
      <c r="C116">
        <f>IF(B116="","",TEXT(B116,"YYYY-MM"))</f>
        <v/>
      </c>
      <c r="I116">
        <f>IF(H116="IC","OUI",IF(H116="HC","OUI",IF(H116="HR","NON","A_CONTROLER")))</f>
        <v/>
      </c>
      <c r="J116">
        <f>IF(H116="IC","OUI",IF(H116="HC","NON",IF(H116="HR","NON","A_CONTROLER")))</f>
        <v/>
      </c>
      <c r="AD116">
        <f>IF(A116="","",TEXT(B116,"YYYYMMDD")&amp;"|"&amp;TEXT(D116,"0.00")&amp;"|"&amp;F116&amp;"|"&amp;M116)</f>
        <v/>
      </c>
    </row>
    <row r="117">
      <c r="C117">
        <f>IF(B117="","",TEXT(B117,"YYYY-MM"))</f>
        <v/>
      </c>
      <c r="I117">
        <f>IF(H117="IC","OUI",IF(H117="HC","OUI",IF(H117="HR","NON","A_CONTROLER")))</f>
        <v/>
      </c>
      <c r="J117">
        <f>IF(H117="IC","OUI",IF(H117="HC","NON",IF(H117="HR","NON","A_CONTROLER")))</f>
        <v/>
      </c>
      <c r="AD117">
        <f>IF(A117="","",TEXT(B117,"YYYYMMDD")&amp;"|"&amp;TEXT(D117,"0.00")&amp;"|"&amp;F117&amp;"|"&amp;M117)</f>
        <v/>
      </c>
    </row>
    <row r="118">
      <c r="C118">
        <f>IF(B118="","",TEXT(B118,"YYYY-MM"))</f>
        <v/>
      </c>
      <c r="I118">
        <f>IF(H118="IC","OUI",IF(H118="HC","OUI",IF(H118="HR","NON","A_CONTROLER")))</f>
        <v/>
      </c>
      <c r="J118">
        <f>IF(H118="IC","OUI",IF(H118="HC","NON",IF(H118="HR","NON","A_CONTROLER")))</f>
        <v/>
      </c>
      <c r="AD118">
        <f>IF(A118="","",TEXT(B118,"YYYYMMDD")&amp;"|"&amp;TEXT(D118,"0.00")&amp;"|"&amp;F118&amp;"|"&amp;M118)</f>
        <v/>
      </c>
    </row>
    <row r="119">
      <c r="C119">
        <f>IF(B119="","",TEXT(B119,"YYYY-MM"))</f>
        <v/>
      </c>
      <c r="I119">
        <f>IF(H119="IC","OUI",IF(H119="HC","OUI",IF(H119="HR","NON","A_CONTROLER")))</f>
        <v/>
      </c>
      <c r="J119">
        <f>IF(H119="IC","OUI",IF(H119="HC","NON",IF(H119="HR","NON","A_CONTROLER")))</f>
        <v/>
      </c>
      <c r="AD119">
        <f>IF(A119="","",TEXT(B119,"YYYYMMDD")&amp;"|"&amp;TEXT(D119,"0.00")&amp;"|"&amp;F119&amp;"|"&amp;M119)</f>
        <v/>
      </c>
    </row>
    <row r="120">
      <c r="C120">
        <f>IF(B120="","",TEXT(B120,"YYYY-MM"))</f>
        <v/>
      </c>
      <c r="I120">
        <f>IF(H120="IC","OUI",IF(H120="HC","OUI",IF(H120="HR","NON","A_CONTROLER")))</f>
        <v/>
      </c>
      <c r="J120">
        <f>IF(H120="IC","OUI",IF(H120="HC","NON",IF(H120="HR","NON","A_CONTROLER")))</f>
        <v/>
      </c>
      <c r="AD120">
        <f>IF(A120="","",TEXT(B120,"YYYYMMDD")&amp;"|"&amp;TEXT(D120,"0.00")&amp;"|"&amp;F120&amp;"|"&amp;M120)</f>
        <v/>
      </c>
    </row>
    <row r="121">
      <c r="C121">
        <f>IF(B121="","",TEXT(B121,"YYYY-MM"))</f>
        <v/>
      </c>
      <c r="I121">
        <f>IF(H121="IC","OUI",IF(H121="HC","OUI",IF(H121="HR","NON","A_CONTROLER")))</f>
        <v/>
      </c>
      <c r="J121">
        <f>IF(H121="IC","OUI",IF(H121="HC","NON",IF(H121="HR","NON","A_CONTROLER")))</f>
        <v/>
      </c>
      <c r="AD121">
        <f>IF(A121="","",TEXT(B121,"YYYYMMDD")&amp;"|"&amp;TEXT(D121,"0.00")&amp;"|"&amp;F121&amp;"|"&amp;M121)</f>
        <v/>
      </c>
    </row>
    <row r="122">
      <c r="C122">
        <f>IF(B122="","",TEXT(B122,"YYYY-MM"))</f>
        <v/>
      </c>
      <c r="I122">
        <f>IF(H122="IC","OUI",IF(H122="HC","OUI",IF(H122="HR","NON","A_CONTROLER")))</f>
        <v/>
      </c>
      <c r="J122">
        <f>IF(H122="IC","OUI",IF(H122="HC","NON",IF(H122="HR","NON","A_CONTROLER")))</f>
        <v/>
      </c>
      <c r="AD122">
        <f>IF(A122="","",TEXT(B122,"YYYYMMDD")&amp;"|"&amp;TEXT(D122,"0.00")&amp;"|"&amp;F122&amp;"|"&amp;M122)</f>
        <v/>
      </c>
    </row>
    <row r="123">
      <c r="C123">
        <f>IF(B123="","",TEXT(B123,"YYYY-MM"))</f>
        <v/>
      </c>
      <c r="I123">
        <f>IF(H123="IC","OUI",IF(H123="HC","OUI",IF(H123="HR","NON","A_CONTROLER")))</f>
        <v/>
      </c>
      <c r="J123">
        <f>IF(H123="IC","OUI",IF(H123="HC","NON",IF(H123="HR","NON","A_CONTROLER")))</f>
        <v/>
      </c>
      <c r="AD123">
        <f>IF(A123="","",TEXT(B123,"YYYYMMDD")&amp;"|"&amp;TEXT(D123,"0.00")&amp;"|"&amp;F123&amp;"|"&amp;M123)</f>
        <v/>
      </c>
    </row>
    <row r="124">
      <c r="C124">
        <f>IF(B124="","",TEXT(B124,"YYYY-MM"))</f>
        <v/>
      </c>
      <c r="I124">
        <f>IF(H124="IC","OUI",IF(H124="HC","OUI",IF(H124="HR","NON","A_CONTROLER")))</f>
        <v/>
      </c>
      <c r="J124">
        <f>IF(H124="IC","OUI",IF(H124="HC","NON",IF(H124="HR","NON","A_CONTROLER")))</f>
        <v/>
      </c>
      <c r="AD124">
        <f>IF(A124="","",TEXT(B124,"YYYYMMDD")&amp;"|"&amp;TEXT(D124,"0.00")&amp;"|"&amp;F124&amp;"|"&amp;M124)</f>
        <v/>
      </c>
    </row>
    <row r="125">
      <c r="C125">
        <f>IF(B125="","",TEXT(B125,"YYYY-MM"))</f>
        <v/>
      </c>
      <c r="I125">
        <f>IF(H125="IC","OUI",IF(H125="HC","OUI",IF(H125="HR","NON","A_CONTROLER")))</f>
        <v/>
      </c>
      <c r="J125">
        <f>IF(H125="IC","OUI",IF(H125="HC","NON",IF(H125="HR","NON","A_CONTROLER")))</f>
        <v/>
      </c>
      <c r="AD125">
        <f>IF(A125="","",TEXT(B125,"YYYYMMDD")&amp;"|"&amp;TEXT(D125,"0.00")&amp;"|"&amp;F125&amp;"|"&amp;M125)</f>
        <v/>
      </c>
    </row>
    <row r="126">
      <c r="C126">
        <f>IF(B126="","",TEXT(B126,"YYYY-MM"))</f>
        <v/>
      </c>
      <c r="I126">
        <f>IF(H126="IC","OUI",IF(H126="HC","OUI",IF(H126="HR","NON","A_CONTROLER")))</f>
        <v/>
      </c>
      <c r="J126">
        <f>IF(H126="IC","OUI",IF(H126="HC","NON",IF(H126="HR","NON","A_CONTROLER")))</f>
        <v/>
      </c>
      <c r="AD126">
        <f>IF(A126="","",TEXT(B126,"YYYYMMDD")&amp;"|"&amp;TEXT(D126,"0.00")&amp;"|"&amp;F126&amp;"|"&amp;M126)</f>
        <v/>
      </c>
    </row>
    <row r="127">
      <c r="C127">
        <f>IF(B127="","",TEXT(B127,"YYYY-MM"))</f>
        <v/>
      </c>
      <c r="I127">
        <f>IF(H127="IC","OUI",IF(H127="HC","OUI",IF(H127="HR","NON","A_CONTROLER")))</f>
        <v/>
      </c>
      <c r="J127">
        <f>IF(H127="IC","OUI",IF(H127="HC","NON",IF(H127="HR","NON","A_CONTROLER")))</f>
        <v/>
      </c>
      <c r="AD127">
        <f>IF(A127="","",TEXT(B127,"YYYYMMDD")&amp;"|"&amp;TEXT(D127,"0.00")&amp;"|"&amp;F127&amp;"|"&amp;M127)</f>
        <v/>
      </c>
    </row>
    <row r="128">
      <c r="C128">
        <f>IF(B128="","",TEXT(B128,"YYYY-MM"))</f>
        <v/>
      </c>
      <c r="I128">
        <f>IF(H128="IC","OUI",IF(H128="HC","OUI",IF(H128="HR","NON","A_CONTROLER")))</f>
        <v/>
      </c>
      <c r="J128">
        <f>IF(H128="IC","OUI",IF(H128="HC","NON",IF(H128="HR","NON","A_CONTROLER")))</f>
        <v/>
      </c>
      <c r="AD128">
        <f>IF(A128="","",TEXT(B128,"YYYYMMDD")&amp;"|"&amp;TEXT(D128,"0.00")&amp;"|"&amp;F128&amp;"|"&amp;M128)</f>
        <v/>
      </c>
    </row>
    <row r="129">
      <c r="C129">
        <f>IF(B129="","",TEXT(B129,"YYYY-MM"))</f>
        <v/>
      </c>
      <c r="I129">
        <f>IF(H129="IC","OUI",IF(H129="HC","OUI",IF(H129="HR","NON","A_CONTROLER")))</f>
        <v/>
      </c>
      <c r="J129">
        <f>IF(H129="IC","OUI",IF(H129="HC","NON",IF(H129="HR","NON","A_CONTROLER")))</f>
        <v/>
      </c>
      <c r="AD129">
        <f>IF(A129="","",TEXT(B129,"YYYYMMDD")&amp;"|"&amp;TEXT(D129,"0.00")&amp;"|"&amp;F129&amp;"|"&amp;M129)</f>
        <v/>
      </c>
    </row>
    <row r="130">
      <c r="C130">
        <f>IF(B130="","",TEXT(B130,"YYYY-MM"))</f>
        <v/>
      </c>
      <c r="I130">
        <f>IF(H130="IC","OUI",IF(H130="HC","OUI",IF(H130="HR","NON","A_CONTROLER")))</f>
        <v/>
      </c>
      <c r="J130">
        <f>IF(H130="IC","OUI",IF(H130="HC","NON",IF(H130="HR","NON","A_CONTROLER")))</f>
        <v/>
      </c>
      <c r="AD130">
        <f>IF(A130="","",TEXT(B130,"YYYYMMDD")&amp;"|"&amp;TEXT(D130,"0.00")&amp;"|"&amp;F130&amp;"|"&amp;M130)</f>
        <v/>
      </c>
    </row>
    <row r="131">
      <c r="C131">
        <f>IF(B131="","",TEXT(B131,"YYYY-MM"))</f>
        <v/>
      </c>
      <c r="I131">
        <f>IF(H131="IC","OUI",IF(H131="HC","OUI",IF(H131="HR","NON","A_CONTROLER")))</f>
        <v/>
      </c>
      <c r="J131">
        <f>IF(H131="IC","OUI",IF(H131="HC","NON",IF(H131="HR","NON","A_CONTROLER")))</f>
        <v/>
      </c>
      <c r="AD131">
        <f>IF(A131="","",TEXT(B131,"YYYYMMDD")&amp;"|"&amp;TEXT(D131,"0.00")&amp;"|"&amp;F131&amp;"|"&amp;M131)</f>
        <v/>
      </c>
    </row>
    <row r="132">
      <c r="C132">
        <f>IF(B132="","",TEXT(B132,"YYYY-MM"))</f>
        <v/>
      </c>
      <c r="I132">
        <f>IF(H132="IC","OUI",IF(H132="HC","OUI",IF(H132="HR","NON","A_CONTROLER")))</f>
        <v/>
      </c>
      <c r="J132">
        <f>IF(H132="IC","OUI",IF(H132="HC","NON",IF(H132="HR","NON","A_CONTROLER")))</f>
        <v/>
      </c>
      <c r="AD132">
        <f>IF(A132="","",TEXT(B132,"YYYYMMDD")&amp;"|"&amp;TEXT(D132,"0.00")&amp;"|"&amp;F132&amp;"|"&amp;M132)</f>
        <v/>
      </c>
    </row>
    <row r="133">
      <c r="C133">
        <f>IF(B133="","",TEXT(B133,"YYYY-MM"))</f>
        <v/>
      </c>
      <c r="I133">
        <f>IF(H133="IC","OUI",IF(H133="HC","OUI",IF(H133="HR","NON","A_CONTROLER")))</f>
        <v/>
      </c>
      <c r="J133">
        <f>IF(H133="IC","OUI",IF(H133="HC","NON",IF(H133="HR","NON","A_CONTROLER")))</f>
        <v/>
      </c>
      <c r="AD133">
        <f>IF(A133="","",TEXT(B133,"YYYYMMDD")&amp;"|"&amp;TEXT(D133,"0.00")&amp;"|"&amp;F133&amp;"|"&amp;M133)</f>
        <v/>
      </c>
    </row>
    <row r="134">
      <c r="C134">
        <f>IF(B134="","",TEXT(B134,"YYYY-MM"))</f>
        <v/>
      </c>
      <c r="I134">
        <f>IF(H134="IC","OUI",IF(H134="HC","OUI",IF(H134="HR","NON","A_CONTROLER")))</f>
        <v/>
      </c>
      <c r="J134">
        <f>IF(H134="IC","OUI",IF(H134="HC","NON",IF(H134="HR","NON","A_CONTROLER")))</f>
        <v/>
      </c>
      <c r="AD134">
        <f>IF(A134="","",TEXT(B134,"YYYYMMDD")&amp;"|"&amp;TEXT(D134,"0.00")&amp;"|"&amp;F134&amp;"|"&amp;M134)</f>
        <v/>
      </c>
    </row>
    <row r="135">
      <c r="C135">
        <f>IF(B135="","",TEXT(B135,"YYYY-MM"))</f>
        <v/>
      </c>
      <c r="I135">
        <f>IF(H135="IC","OUI",IF(H135="HC","OUI",IF(H135="HR","NON","A_CONTROLER")))</f>
        <v/>
      </c>
      <c r="J135">
        <f>IF(H135="IC","OUI",IF(H135="HC","NON",IF(H135="HR","NON","A_CONTROLER")))</f>
        <v/>
      </c>
      <c r="AD135">
        <f>IF(A135="","",TEXT(B135,"YYYYMMDD")&amp;"|"&amp;TEXT(D135,"0.00")&amp;"|"&amp;F135&amp;"|"&amp;M135)</f>
        <v/>
      </c>
    </row>
    <row r="136">
      <c r="C136">
        <f>IF(B136="","",TEXT(B136,"YYYY-MM"))</f>
        <v/>
      </c>
      <c r="I136">
        <f>IF(H136="IC","OUI",IF(H136="HC","OUI",IF(H136="HR","NON","A_CONTROLER")))</f>
        <v/>
      </c>
      <c r="J136">
        <f>IF(H136="IC","OUI",IF(H136="HC","NON",IF(H136="HR","NON","A_CONTROLER")))</f>
        <v/>
      </c>
      <c r="AD136">
        <f>IF(A136="","",TEXT(B136,"YYYYMMDD")&amp;"|"&amp;TEXT(D136,"0.00")&amp;"|"&amp;F136&amp;"|"&amp;M136)</f>
        <v/>
      </c>
    </row>
    <row r="137">
      <c r="C137">
        <f>IF(B137="","",TEXT(B137,"YYYY-MM"))</f>
        <v/>
      </c>
      <c r="I137">
        <f>IF(H137="IC","OUI",IF(H137="HC","OUI",IF(H137="HR","NON","A_CONTROLER")))</f>
        <v/>
      </c>
      <c r="J137">
        <f>IF(H137="IC","OUI",IF(H137="HC","NON",IF(H137="HR","NON","A_CONTROLER")))</f>
        <v/>
      </c>
      <c r="AD137">
        <f>IF(A137="","",TEXT(B137,"YYYYMMDD")&amp;"|"&amp;TEXT(D137,"0.00")&amp;"|"&amp;F137&amp;"|"&amp;M137)</f>
        <v/>
      </c>
    </row>
    <row r="138">
      <c r="C138">
        <f>IF(B138="","",TEXT(B138,"YYYY-MM"))</f>
        <v/>
      </c>
      <c r="I138">
        <f>IF(H138="IC","OUI",IF(H138="HC","OUI",IF(H138="HR","NON","A_CONTROLER")))</f>
        <v/>
      </c>
      <c r="J138">
        <f>IF(H138="IC","OUI",IF(H138="HC","NON",IF(H138="HR","NON","A_CONTROLER")))</f>
        <v/>
      </c>
      <c r="AD138">
        <f>IF(A138="","",TEXT(B138,"YYYYMMDD")&amp;"|"&amp;TEXT(D138,"0.00")&amp;"|"&amp;F138&amp;"|"&amp;M138)</f>
        <v/>
      </c>
    </row>
    <row r="139">
      <c r="C139">
        <f>IF(B139="","",TEXT(B139,"YYYY-MM"))</f>
        <v/>
      </c>
      <c r="I139">
        <f>IF(H139="IC","OUI",IF(H139="HC","OUI",IF(H139="HR","NON","A_CONTROLER")))</f>
        <v/>
      </c>
      <c r="J139">
        <f>IF(H139="IC","OUI",IF(H139="HC","NON",IF(H139="HR","NON","A_CONTROLER")))</f>
        <v/>
      </c>
      <c r="AD139">
        <f>IF(A139="","",TEXT(B139,"YYYYMMDD")&amp;"|"&amp;TEXT(D139,"0.00")&amp;"|"&amp;F139&amp;"|"&amp;M139)</f>
        <v/>
      </c>
    </row>
    <row r="140">
      <c r="C140">
        <f>IF(B140="","",TEXT(B140,"YYYY-MM"))</f>
        <v/>
      </c>
      <c r="I140">
        <f>IF(H140="IC","OUI",IF(H140="HC","OUI",IF(H140="HR","NON","A_CONTROLER")))</f>
        <v/>
      </c>
      <c r="J140">
        <f>IF(H140="IC","OUI",IF(H140="HC","NON",IF(H140="HR","NON","A_CONTROLER")))</f>
        <v/>
      </c>
      <c r="AD140">
        <f>IF(A140="","",TEXT(B140,"YYYYMMDD")&amp;"|"&amp;TEXT(D140,"0.00")&amp;"|"&amp;F140&amp;"|"&amp;M140)</f>
        <v/>
      </c>
    </row>
    <row r="141">
      <c r="C141">
        <f>IF(B141="","",TEXT(B141,"YYYY-MM"))</f>
        <v/>
      </c>
      <c r="I141">
        <f>IF(H141="IC","OUI",IF(H141="HC","OUI",IF(H141="HR","NON","A_CONTROLER")))</f>
        <v/>
      </c>
      <c r="J141">
        <f>IF(H141="IC","OUI",IF(H141="HC","NON",IF(H141="HR","NON","A_CONTROLER")))</f>
        <v/>
      </c>
      <c r="AD141">
        <f>IF(A141="","",TEXT(B141,"YYYYMMDD")&amp;"|"&amp;TEXT(D141,"0.00")&amp;"|"&amp;F141&amp;"|"&amp;M141)</f>
        <v/>
      </c>
    </row>
    <row r="142">
      <c r="C142">
        <f>IF(B142="","",TEXT(B142,"YYYY-MM"))</f>
        <v/>
      </c>
      <c r="I142">
        <f>IF(H142="IC","OUI",IF(H142="HC","OUI",IF(H142="HR","NON","A_CONTROLER")))</f>
        <v/>
      </c>
      <c r="J142">
        <f>IF(H142="IC","OUI",IF(H142="HC","NON",IF(H142="HR","NON","A_CONTROLER")))</f>
        <v/>
      </c>
      <c r="AD142">
        <f>IF(A142="","",TEXT(B142,"YYYYMMDD")&amp;"|"&amp;TEXT(D142,"0.00")&amp;"|"&amp;F142&amp;"|"&amp;M142)</f>
        <v/>
      </c>
    </row>
    <row r="143">
      <c r="C143">
        <f>IF(B143="","",TEXT(B143,"YYYY-MM"))</f>
        <v/>
      </c>
      <c r="I143">
        <f>IF(H143="IC","OUI",IF(H143="HC","OUI",IF(H143="HR","NON","A_CONTROLER")))</f>
        <v/>
      </c>
      <c r="J143">
        <f>IF(H143="IC","OUI",IF(H143="HC","NON",IF(H143="HR","NON","A_CONTROLER")))</f>
        <v/>
      </c>
      <c r="AD143">
        <f>IF(A143="","",TEXT(B143,"YYYYMMDD")&amp;"|"&amp;TEXT(D143,"0.00")&amp;"|"&amp;F143&amp;"|"&amp;M143)</f>
        <v/>
      </c>
    </row>
    <row r="144">
      <c r="C144">
        <f>IF(B144="","",TEXT(B144,"YYYY-MM"))</f>
        <v/>
      </c>
      <c r="I144">
        <f>IF(H144="IC","OUI",IF(H144="HC","OUI",IF(H144="HR","NON","A_CONTROLER")))</f>
        <v/>
      </c>
      <c r="J144">
        <f>IF(H144="IC","OUI",IF(H144="HC","NON",IF(H144="HR","NON","A_CONTROLER")))</f>
        <v/>
      </c>
      <c r="AD144">
        <f>IF(A144="","",TEXT(B144,"YYYYMMDD")&amp;"|"&amp;TEXT(D144,"0.00")&amp;"|"&amp;F144&amp;"|"&amp;M144)</f>
        <v/>
      </c>
    </row>
    <row r="145">
      <c r="C145">
        <f>IF(B145="","",TEXT(B145,"YYYY-MM"))</f>
        <v/>
      </c>
      <c r="I145">
        <f>IF(H145="IC","OUI",IF(H145="HC","OUI",IF(H145="HR","NON","A_CONTROLER")))</f>
        <v/>
      </c>
      <c r="J145">
        <f>IF(H145="IC","OUI",IF(H145="HC","NON",IF(H145="HR","NON","A_CONTROLER")))</f>
        <v/>
      </c>
      <c r="AD145">
        <f>IF(A145="","",TEXT(B145,"YYYYMMDD")&amp;"|"&amp;TEXT(D145,"0.00")&amp;"|"&amp;F145&amp;"|"&amp;M145)</f>
        <v/>
      </c>
    </row>
    <row r="146">
      <c r="C146">
        <f>IF(B146="","",TEXT(B146,"YYYY-MM"))</f>
        <v/>
      </c>
      <c r="I146">
        <f>IF(H146="IC","OUI",IF(H146="HC","OUI",IF(H146="HR","NON","A_CONTROLER")))</f>
        <v/>
      </c>
      <c r="J146">
        <f>IF(H146="IC","OUI",IF(H146="HC","NON",IF(H146="HR","NON","A_CONTROLER")))</f>
        <v/>
      </c>
      <c r="AD146">
        <f>IF(A146="","",TEXT(B146,"YYYYMMDD")&amp;"|"&amp;TEXT(D146,"0.00")&amp;"|"&amp;F146&amp;"|"&amp;M146)</f>
        <v/>
      </c>
    </row>
    <row r="147">
      <c r="C147">
        <f>IF(B147="","",TEXT(B147,"YYYY-MM"))</f>
        <v/>
      </c>
      <c r="I147">
        <f>IF(H147="IC","OUI",IF(H147="HC","OUI",IF(H147="HR","NON","A_CONTROLER")))</f>
        <v/>
      </c>
      <c r="J147">
        <f>IF(H147="IC","OUI",IF(H147="HC","NON",IF(H147="HR","NON","A_CONTROLER")))</f>
        <v/>
      </c>
      <c r="AD147">
        <f>IF(A147="","",TEXT(B147,"YYYYMMDD")&amp;"|"&amp;TEXT(D147,"0.00")&amp;"|"&amp;F147&amp;"|"&amp;M147)</f>
        <v/>
      </c>
    </row>
    <row r="148">
      <c r="C148">
        <f>IF(B148="","",TEXT(B148,"YYYY-MM"))</f>
        <v/>
      </c>
      <c r="I148">
        <f>IF(H148="IC","OUI",IF(H148="HC","OUI",IF(H148="HR","NON","A_CONTROLER")))</f>
        <v/>
      </c>
      <c r="J148">
        <f>IF(H148="IC","OUI",IF(H148="HC","NON",IF(H148="HR","NON","A_CONTROLER")))</f>
        <v/>
      </c>
      <c r="AD148">
        <f>IF(A148="","",TEXT(B148,"YYYYMMDD")&amp;"|"&amp;TEXT(D148,"0.00")&amp;"|"&amp;F148&amp;"|"&amp;M148)</f>
        <v/>
      </c>
    </row>
    <row r="149">
      <c r="C149">
        <f>IF(B149="","",TEXT(B149,"YYYY-MM"))</f>
        <v/>
      </c>
      <c r="I149">
        <f>IF(H149="IC","OUI",IF(H149="HC","OUI",IF(H149="HR","NON","A_CONTROLER")))</f>
        <v/>
      </c>
      <c r="J149">
        <f>IF(H149="IC","OUI",IF(H149="HC","NON",IF(H149="HR","NON","A_CONTROLER")))</f>
        <v/>
      </c>
      <c r="AD149">
        <f>IF(A149="","",TEXT(B149,"YYYYMMDD")&amp;"|"&amp;TEXT(D149,"0.00")&amp;"|"&amp;F149&amp;"|"&amp;M149)</f>
        <v/>
      </c>
    </row>
    <row r="150">
      <c r="C150">
        <f>IF(B150="","",TEXT(B150,"YYYY-MM"))</f>
        <v/>
      </c>
      <c r="I150">
        <f>IF(H150="IC","OUI",IF(H150="HC","OUI",IF(H150="HR","NON","A_CONTROLER")))</f>
        <v/>
      </c>
      <c r="J150">
        <f>IF(H150="IC","OUI",IF(H150="HC","NON",IF(H150="HR","NON","A_CONTROLER")))</f>
        <v/>
      </c>
      <c r="AD150">
        <f>IF(A150="","",TEXT(B150,"YYYYMMDD")&amp;"|"&amp;TEXT(D150,"0.00")&amp;"|"&amp;F150&amp;"|"&amp;M150)</f>
        <v/>
      </c>
    </row>
    <row r="151">
      <c r="C151">
        <f>IF(B151="","",TEXT(B151,"YYYY-MM"))</f>
        <v/>
      </c>
      <c r="I151">
        <f>IF(H151="IC","OUI",IF(H151="HC","OUI",IF(H151="HR","NON","A_CONTROLER")))</f>
        <v/>
      </c>
      <c r="J151">
        <f>IF(H151="IC","OUI",IF(H151="HC","NON",IF(H151="HR","NON","A_CONTROLER")))</f>
        <v/>
      </c>
      <c r="AD151">
        <f>IF(A151="","",TEXT(B151,"YYYYMMDD")&amp;"|"&amp;TEXT(D151,"0.00")&amp;"|"&amp;F151&amp;"|"&amp;M151)</f>
        <v/>
      </c>
    </row>
    <row r="152">
      <c r="C152">
        <f>IF(B152="","",TEXT(B152,"YYYY-MM"))</f>
        <v/>
      </c>
      <c r="I152">
        <f>IF(H152="IC","OUI",IF(H152="HC","OUI",IF(H152="HR","NON","A_CONTROLER")))</f>
        <v/>
      </c>
      <c r="J152">
        <f>IF(H152="IC","OUI",IF(H152="HC","NON",IF(H152="HR","NON","A_CONTROLER")))</f>
        <v/>
      </c>
      <c r="AD152">
        <f>IF(A152="","",TEXT(B152,"YYYYMMDD")&amp;"|"&amp;TEXT(D152,"0.00")&amp;"|"&amp;F152&amp;"|"&amp;M152)</f>
        <v/>
      </c>
    </row>
    <row r="153">
      <c r="C153">
        <f>IF(B153="","",TEXT(B153,"YYYY-MM"))</f>
        <v/>
      </c>
      <c r="I153">
        <f>IF(H153="IC","OUI",IF(H153="HC","OUI",IF(H153="HR","NON","A_CONTROLER")))</f>
        <v/>
      </c>
      <c r="J153">
        <f>IF(H153="IC","OUI",IF(H153="HC","NON",IF(H153="HR","NON","A_CONTROLER")))</f>
        <v/>
      </c>
      <c r="AD153">
        <f>IF(A153="","",TEXT(B153,"YYYYMMDD")&amp;"|"&amp;TEXT(D153,"0.00")&amp;"|"&amp;F153&amp;"|"&amp;M153)</f>
        <v/>
      </c>
    </row>
    <row r="154">
      <c r="C154">
        <f>IF(B154="","",TEXT(B154,"YYYY-MM"))</f>
        <v/>
      </c>
      <c r="I154">
        <f>IF(H154="IC","OUI",IF(H154="HC","OUI",IF(H154="HR","NON","A_CONTROLER")))</f>
        <v/>
      </c>
      <c r="J154">
        <f>IF(H154="IC","OUI",IF(H154="HC","NON",IF(H154="HR","NON","A_CONTROLER")))</f>
        <v/>
      </c>
      <c r="AD154">
        <f>IF(A154="","",TEXT(B154,"YYYYMMDD")&amp;"|"&amp;TEXT(D154,"0.00")&amp;"|"&amp;F154&amp;"|"&amp;M154)</f>
        <v/>
      </c>
    </row>
    <row r="155">
      <c r="C155">
        <f>IF(B155="","",TEXT(B155,"YYYY-MM"))</f>
        <v/>
      </c>
      <c r="I155">
        <f>IF(H155="IC","OUI",IF(H155="HC","OUI",IF(H155="HR","NON","A_CONTROLER")))</f>
        <v/>
      </c>
      <c r="J155">
        <f>IF(H155="IC","OUI",IF(H155="HC","NON",IF(H155="HR","NON","A_CONTROLER")))</f>
        <v/>
      </c>
      <c r="AD155">
        <f>IF(A155="","",TEXT(B155,"YYYYMMDD")&amp;"|"&amp;TEXT(D155,"0.00")&amp;"|"&amp;F155&amp;"|"&amp;M155)</f>
        <v/>
      </c>
    </row>
    <row r="156">
      <c r="C156">
        <f>IF(B156="","",TEXT(B156,"YYYY-MM"))</f>
        <v/>
      </c>
      <c r="I156">
        <f>IF(H156="IC","OUI",IF(H156="HC","OUI",IF(H156="HR","NON","A_CONTROLER")))</f>
        <v/>
      </c>
      <c r="J156">
        <f>IF(H156="IC","OUI",IF(H156="HC","NON",IF(H156="HR","NON","A_CONTROLER")))</f>
        <v/>
      </c>
      <c r="AD156">
        <f>IF(A156="","",TEXT(B156,"YYYYMMDD")&amp;"|"&amp;TEXT(D156,"0.00")&amp;"|"&amp;F156&amp;"|"&amp;M156)</f>
        <v/>
      </c>
    </row>
    <row r="157">
      <c r="C157">
        <f>IF(B157="","",TEXT(B157,"YYYY-MM"))</f>
        <v/>
      </c>
      <c r="I157">
        <f>IF(H157="IC","OUI",IF(H157="HC","OUI",IF(H157="HR","NON","A_CONTROLER")))</f>
        <v/>
      </c>
      <c r="J157">
        <f>IF(H157="IC","OUI",IF(H157="HC","NON",IF(H157="HR","NON","A_CONTROLER")))</f>
        <v/>
      </c>
      <c r="AD157">
        <f>IF(A157="","",TEXT(B157,"YYYYMMDD")&amp;"|"&amp;TEXT(D157,"0.00")&amp;"|"&amp;F157&amp;"|"&amp;M157)</f>
        <v/>
      </c>
    </row>
    <row r="158">
      <c r="C158">
        <f>IF(B158="","",TEXT(B158,"YYYY-MM"))</f>
        <v/>
      </c>
      <c r="I158">
        <f>IF(H158="IC","OUI",IF(H158="HC","OUI",IF(H158="HR","NON","A_CONTROLER")))</f>
        <v/>
      </c>
      <c r="J158">
        <f>IF(H158="IC","OUI",IF(H158="HC","NON",IF(H158="HR","NON","A_CONTROLER")))</f>
        <v/>
      </c>
      <c r="AD158">
        <f>IF(A158="","",TEXT(B158,"YYYYMMDD")&amp;"|"&amp;TEXT(D158,"0.00")&amp;"|"&amp;F158&amp;"|"&amp;M158)</f>
        <v/>
      </c>
    </row>
    <row r="159">
      <c r="C159">
        <f>IF(B159="","",TEXT(B159,"YYYY-MM"))</f>
        <v/>
      </c>
      <c r="I159">
        <f>IF(H159="IC","OUI",IF(H159="HC","OUI",IF(H159="HR","NON","A_CONTROLER")))</f>
        <v/>
      </c>
      <c r="J159">
        <f>IF(H159="IC","OUI",IF(H159="HC","NON",IF(H159="HR","NON","A_CONTROLER")))</f>
        <v/>
      </c>
      <c r="AD159">
        <f>IF(A159="","",TEXT(B159,"YYYYMMDD")&amp;"|"&amp;TEXT(D159,"0.00")&amp;"|"&amp;F159&amp;"|"&amp;M159)</f>
        <v/>
      </c>
    </row>
    <row r="160">
      <c r="C160">
        <f>IF(B160="","",TEXT(B160,"YYYY-MM"))</f>
        <v/>
      </c>
      <c r="I160">
        <f>IF(H160="IC","OUI",IF(H160="HC","OUI",IF(H160="HR","NON","A_CONTROLER")))</f>
        <v/>
      </c>
      <c r="J160">
        <f>IF(H160="IC","OUI",IF(H160="HC","NON",IF(H160="HR","NON","A_CONTROLER")))</f>
        <v/>
      </c>
      <c r="AD160">
        <f>IF(A160="","",TEXT(B160,"YYYYMMDD")&amp;"|"&amp;TEXT(D160,"0.00")&amp;"|"&amp;F160&amp;"|"&amp;M160)</f>
        <v/>
      </c>
    </row>
    <row r="161">
      <c r="C161">
        <f>IF(B161="","",TEXT(B161,"YYYY-MM"))</f>
        <v/>
      </c>
      <c r="I161">
        <f>IF(H161="IC","OUI",IF(H161="HC","OUI",IF(H161="HR","NON","A_CONTROLER")))</f>
        <v/>
      </c>
      <c r="J161">
        <f>IF(H161="IC","OUI",IF(H161="HC","NON",IF(H161="HR","NON","A_CONTROLER")))</f>
        <v/>
      </c>
      <c r="AD161">
        <f>IF(A161="","",TEXT(B161,"YYYYMMDD")&amp;"|"&amp;TEXT(D161,"0.00")&amp;"|"&amp;F161&amp;"|"&amp;M161)</f>
        <v/>
      </c>
    </row>
    <row r="162">
      <c r="C162">
        <f>IF(B162="","",TEXT(B162,"YYYY-MM"))</f>
        <v/>
      </c>
      <c r="I162">
        <f>IF(H162="IC","OUI",IF(H162="HC","OUI",IF(H162="HR","NON","A_CONTROLER")))</f>
        <v/>
      </c>
      <c r="J162">
        <f>IF(H162="IC","OUI",IF(H162="HC","NON",IF(H162="HR","NON","A_CONTROLER")))</f>
        <v/>
      </c>
      <c r="AD162">
        <f>IF(A162="","",TEXT(B162,"YYYYMMDD")&amp;"|"&amp;TEXT(D162,"0.00")&amp;"|"&amp;F162&amp;"|"&amp;M162)</f>
        <v/>
      </c>
    </row>
    <row r="163">
      <c r="C163">
        <f>IF(B163="","",TEXT(B163,"YYYY-MM"))</f>
        <v/>
      </c>
      <c r="I163">
        <f>IF(H163="IC","OUI",IF(H163="HC","OUI",IF(H163="HR","NON","A_CONTROLER")))</f>
        <v/>
      </c>
      <c r="J163">
        <f>IF(H163="IC","OUI",IF(H163="HC","NON",IF(H163="HR","NON","A_CONTROLER")))</f>
        <v/>
      </c>
      <c r="AD163">
        <f>IF(A163="","",TEXT(B163,"YYYYMMDD")&amp;"|"&amp;TEXT(D163,"0.00")&amp;"|"&amp;F163&amp;"|"&amp;M163)</f>
        <v/>
      </c>
    </row>
    <row r="164">
      <c r="C164">
        <f>IF(B164="","",TEXT(B164,"YYYY-MM"))</f>
        <v/>
      </c>
      <c r="I164">
        <f>IF(H164="IC","OUI",IF(H164="HC","OUI",IF(H164="HR","NON","A_CONTROLER")))</f>
        <v/>
      </c>
      <c r="J164">
        <f>IF(H164="IC","OUI",IF(H164="HC","NON",IF(H164="HR","NON","A_CONTROLER")))</f>
        <v/>
      </c>
      <c r="AD164">
        <f>IF(A164="","",TEXT(B164,"YYYYMMDD")&amp;"|"&amp;TEXT(D164,"0.00")&amp;"|"&amp;F164&amp;"|"&amp;M164)</f>
        <v/>
      </c>
    </row>
    <row r="165">
      <c r="C165">
        <f>IF(B165="","",TEXT(B165,"YYYY-MM"))</f>
        <v/>
      </c>
      <c r="I165">
        <f>IF(H165="IC","OUI",IF(H165="HC","OUI",IF(H165="HR","NON","A_CONTROLER")))</f>
        <v/>
      </c>
      <c r="J165">
        <f>IF(H165="IC","OUI",IF(H165="HC","NON",IF(H165="HR","NON","A_CONTROLER")))</f>
        <v/>
      </c>
      <c r="AD165">
        <f>IF(A165="","",TEXT(B165,"YYYYMMDD")&amp;"|"&amp;TEXT(D165,"0.00")&amp;"|"&amp;F165&amp;"|"&amp;M165)</f>
        <v/>
      </c>
    </row>
    <row r="166">
      <c r="C166">
        <f>IF(B166="","",TEXT(B166,"YYYY-MM"))</f>
        <v/>
      </c>
      <c r="I166">
        <f>IF(H166="IC","OUI",IF(H166="HC","OUI",IF(H166="HR","NON","A_CONTROLER")))</f>
        <v/>
      </c>
      <c r="J166">
        <f>IF(H166="IC","OUI",IF(H166="HC","NON",IF(H166="HR","NON","A_CONTROLER")))</f>
        <v/>
      </c>
      <c r="AD166">
        <f>IF(A166="","",TEXT(B166,"YYYYMMDD")&amp;"|"&amp;TEXT(D166,"0.00")&amp;"|"&amp;F166&amp;"|"&amp;M166)</f>
        <v/>
      </c>
    </row>
    <row r="167">
      <c r="C167">
        <f>IF(B167="","",TEXT(B167,"YYYY-MM"))</f>
        <v/>
      </c>
      <c r="I167">
        <f>IF(H167="IC","OUI",IF(H167="HC","OUI",IF(H167="HR","NON","A_CONTROLER")))</f>
        <v/>
      </c>
      <c r="J167">
        <f>IF(H167="IC","OUI",IF(H167="HC","NON",IF(H167="HR","NON","A_CONTROLER")))</f>
        <v/>
      </c>
      <c r="AD167">
        <f>IF(A167="","",TEXT(B167,"YYYYMMDD")&amp;"|"&amp;TEXT(D167,"0.00")&amp;"|"&amp;F167&amp;"|"&amp;M167)</f>
        <v/>
      </c>
    </row>
    <row r="168">
      <c r="C168">
        <f>IF(B168="","",TEXT(B168,"YYYY-MM"))</f>
        <v/>
      </c>
      <c r="I168">
        <f>IF(H168="IC","OUI",IF(H168="HC","OUI",IF(H168="HR","NON","A_CONTROLER")))</f>
        <v/>
      </c>
      <c r="J168">
        <f>IF(H168="IC","OUI",IF(H168="HC","NON",IF(H168="HR","NON","A_CONTROLER")))</f>
        <v/>
      </c>
      <c r="AD168">
        <f>IF(A168="","",TEXT(B168,"YYYYMMDD")&amp;"|"&amp;TEXT(D168,"0.00")&amp;"|"&amp;F168&amp;"|"&amp;M168)</f>
        <v/>
      </c>
    </row>
    <row r="169">
      <c r="C169">
        <f>IF(B169="","",TEXT(B169,"YYYY-MM"))</f>
        <v/>
      </c>
      <c r="I169">
        <f>IF(H169="IC","OUI",IF(H169="HC","OUI",IF(H169="HR","NON","A_CONTROLER")))</f>
        <v/>
      </c>
      <c r="J169">
        <f>IF(H169="IC","OUI",IF(H169="HC","NON",IF(H169="HR","NON","A_CONTROLER")))</f>
        <v/>
      </c>
      <c r="AD169">
        <f>IF(A169="","",TEXT(B169,"YYYYMMDD")&amp;"|"&amp;TEXT(D169,"0.00")&amp;"|"&amp;F169&amp;"|"&amp;M169)</f>
        <v/>
      </c>
    </row>
    <row r="170">
      <c r="C170">
        <f>IF(B170="","",TEXT(B170,"YYYY-MM"))</f>
        <v/>
      </c>
      <c r="I170">
        <f>IF(H170="IC","OUI",IF(H170="HC","OUI",IF(H170="HR","NON","A_CONTROLER")))</f>
        <v/>
      </c>
      <c r="J170">
        <f>IF(H170="IC","OUI",IF(H170="HC","NON",IF(H170="HR","NON","A_CONTROLER")))</f>
        <v/>
      </c>
      <c r="AD170">
        <f>IF(A170="","",TEXT(B170,"YYYYMMDD")&amp;"|"&amp;TEXT(D170,"0.00")&amp;"|"&amp;F170&amp;"|"&amp;M170)</f>
        <v/>
      </c>
    </row>
    <row r="171">
      <c r="C171">
        <f>IF(B171="","",TEXT(B171,"YYYY-MM"))</f>
        <v/>
      </c>
      <c r="I171">
        <f>IF(H171="IC","OUI",IF(H171="HC","OUI",IF(H171="HR","NON","A_CONTROLER")))</f>
        <v/>
      </c>
      <c r="J171">
        <f>IF(H171="IC","OUI",IF(H171="HC","NON",IF(H171="HR","NON","A_CONTROLER")))</f>
        <v/>
      </c>
      <c r="AD171">
        <f>IF(A171="","",TEXT(B171,"YYYYMMDD")&amp;"|"&amp;TEXT(D171,"0.00")&amp;"|"&amp;F171&amp;"|"&amp;M171)</f>
        <v/>
      </c>
    </row>
    <row r="172">
      <c r="C172">
        <f>IF(B172="","",TEXT(B172,"YYYY-MM"))</f>
        <v/>
      </c>
      <c r="I172">
        <f>IF(H172="IC","OUI",IF(H172="HC","OUI",IF(H172="HR","NON","A_CONTROLER")))</f>
        <v/>
      </c>
      <c r="J172">
        <f>IF(H172="IC","OUI",IF(H172="HC","NON",IF(H172="HR","NON","A_CONTROLER")))</f>
        <v/>
      </c>
      <c r="AD172">
        <f>IF(A172="","",TEXT(B172,"YYYYMMDD")&amp;"|"&amp;TEXT(D172,"0.00")&amp;"|"&amp;F172&amp;"|"&amp;M172)</f>
        <v/>
      </c>
    </row>
    <row r="173">
      <c r="C173">
        <f>IF(B173="","",TEXT(B173,"YYYY-MM"))</f>
        <v/>
      </c>
      <c r="I173">
        <f>IF(H173="IC","OUI",IF(H173="HC","OUI",IF(H173="HR","NON","A_CONTROLER")))</f>
        <v/>
      </c>
      <c r="J173">
        <f>IF(H173="IC","OUI",IF(H173="HC","NON",IF(H173="HR","NON","A_CONTROLER")))</f>
        <v/>
      </c>
      <c r="AD173">
        <f>IF(A173="","",TEXT(B173,"YYYYMMDD")&amp;"|"&amp;TEXT(D173,"0.00")&amp;"|"&amp;F173&amp;"|"&amp;M173)</f>
        <v/>
      </c>
    </row>
    <row r="174">
      <c r="C174">
        <f>IF(B174="","",TEXT(B174,"YYYY-MM"))</f>
        <v/>
      </c>
      <c r="I174">
        <f>IF(H174="IC","OUI",IF(H174="HC","OUI",IF(H174="HR","NON","A_CONTROLER")))</f>
        <v/>
      </c>
      <c r="J174">
        <f>IF(H174="IC","OUI",IF(H174="HC","NON",IF(H174="HR","NON","A_CONTROLER")))</f>
        <v/>
      </c>
      <c r="AD174">
        <f>IF(A174="","",TEXT(B174,"YYYYMMDD")&amp;"|"&amp;TEXT(D174,"0.00")&amp;"|"&amp;F174&amp;"|"&amp;M174)</f>
        <v/>
      </c>
    </row>
    <row r="175">
      <c r="C175">
        <f>IF(B175="","",TEXT(B175,"YYYY-MM"))</f>
        <v/>
      </c>
      <c r="I175">
        <f>IF(H175="IC","OUI",IF(H175="HC","OUI",IF(H175="HR","NON","A_CONTROLER")))</f>
        <v/>
      </c>
      <c r="J175">
        <f>IF(H175="IC","OUI",IF(H175="HC","NON",IF(H175="HR","NON","A_CONTROLER")))</f>
        <v/>
      </c>
      <c r="AD175">
        <f>IF(A175="","",TEXT(B175,"YYYYMMDD")&amp;"|"&amp;TEXT(D175,"0.00")&amp;"|"&amp;F175&amp;"|"&amp;M175)</f>
        <v/>
      </c>
    </row>
    <row r="176">
      <c r="C176">
        <f>IF(B176="","",TEXT(B176,"YYYY-MM"))</f>
        <v/>
      </c>
      <c r="I176">
        <f>IF(H176="IC","OUI",IF(H176="HC","OUI",IF(H176="HR","NON","A_CONTROLER")))</f>
        <v/>
      </c>
      <c r="J176">
        <f>IF(H176="IC","OUI",IF(H176="HC","NON",IF(H176="HR","NON","A_CONTROLER")))</f>
        <v/>
      </c>
      <c r="AD176">
        <f>IF(A176="","",TEXT(B176,"YYYYMMDD")&amp;"|"&amp;TEXT(D176,"0.00")&amp;"|"&amp;F176&amp;"|"&amp;M176)</f>
        <v/>
      </c>
    </row>
    <row r="177">
      <c r="C177">
        <f>IF(B177="","",TEXT(B177,"YYYY-MM"))</f>
        <v/>
      </c>
      <c r="I177">
        <f>IF(H177="IC","OUI",IF(H177="HC","OUI",IF(H177="HR","NON","A_CONTROLER")))</f>
        <v/>
      </c>
      <c r="J177">
        <f>IF(H177="IC","OUI",IF(H177="HC","NON",IF(H177="HR","NON","A_CONTROLER")))</f>
        <v/>
      </c>
      <c r="AD177">
        <f>IF(A177="","",TEXT(B177,"YYYYMMDD")&amp;"|"&amp;TEXT(D177,"0.00")&amp;"|"&amp;F177&amp;"|"&amp;M177)</f>
        <v/>
      </c>
    </row>
    <row r="178">
      <c r="C178">
        <f>IF(B178="","",TEXT(B178,"YYYY-MM"))</f>
        <v/>
      </c>
      <c r="I178">
        <f>IF(H178="IC","OUI",IF(H178="HC","OUI",IF(H178="HR","NON","A_CONTROLER")))</f>
        <v/>
      </c>
      <c r="J178">
        <f>IF(H178="IC","OUI",IF(H178="HC","NON",IF(H178="HR","NON","A_CONTROLER")))</f>
        <v/>
      </c>
      <c r="AD178">
        <f>IF(A178="","",TEXT(B178,"YYYYMMDD")&amp;"|"&amp;TEXT(D178,"0.00")&amp;"|"&amp;F178&amp;"|"&amp;M178)</f>
        <v/>
      </c>
    </row>
    <row r="179">
      <c r="C179">
        <f>IF(B179="","",TEXT(B179,"YYYY-MM"))</f>
        <v/>
      </c>
      <c r="I179">
        <f>IF(H179="IC","OUI",IF(H179="HC","OUI",IF(H179="HR","NON","A_CONTROLER")))</f>
        <v/>
      </c>
      <c r="J179">
        <f>IF(H179="IC","OUI",IF(H179="HC","NON",IF(H179="HR","NON","A_CONTROLER")))</f>
        <v/>
      </c>
      <c r="AD179">
        <f>IF(A179="","",TEXT(B179,"YYYYMMDD")&amp;"|"&amp;TEXT(D179,"0.00")&amp;"|"&amp;F179&amp;"|"&amp;M179)</f>
        <v/>
      </c>
    </row>
    <row r="180">
      <c r="C180">
        <f>IF(B180="","",TEXT(B180,"YYYY-MM"))</f>
        <v/>
      </c>
      <c r="I180">
        <f>IF(H180="IC","OUI",IF(H180="HC","OUI",IF(H180="HR","NON","A_CONTROLER")))</f>
        <v/>
      </c>
      <c r="J180">
        <f>IF(H180="IC","OUI",IF(H180="HC","NON",IF(H180="HR","NON","A_CONTROLER")))</f>
        <v/>
      </c>
      <c r="AD180">
        <f>IF(A180="","",TEXT(B180,"YYYYMMDD")&amp;"|"&amp;TEXT(D180,"0.00")&amp;"|"&amp;F180&amp;"|"&amp;M180)</f>
        <v/>
      </c>
    </row>
    <row r="181">
      <c r="C181">
        <f>IF(B181="","",TEXT(B181,"YYYY-MM"))</f>
        <v/>
      </c>
      <c r="I181">
        <f>IF(H181="IC","OUI",IF(H181="HC","OUI",IF(H181="HR","NON","A_CONTROLER")))</f>
        <v/>
      </c>
      <c r="J181">
        <f>IF(H181="IC","OUI",IF(H181="HC","NON",IF(H181="HR","NON","A_CONTROLER")))</f>
        <v/>
      </c>
      <c r="AD181">
        <f>IF(A181="","",TEXT(B181,"YYYYMMDD")&amp;"|"&amp;TEXT(D181,"0.00")&amp;"|"&amp;F181&amp;"|"&amp;M181)</f>
        <v/>
      </c>
    </row>
    <row r="182">
      <c r="C182">
        <f>IF(B182="","",TEXT(B182,"YYYY-MM"))</f>
        <v/>
      </c>
      <c r="I182">
        <f>IF(H182="IC","OUI",IF(H182="HC","OUI",IF(H182="HR","NON","A_CONTROLER")))</f>
        <v/>
      </c>
      <c r="J182">
        <f>IF(H182="IC","OUI",IF(H182="HC","NON",IF(H182="HR","NON","A_CONTROLER")))</f>
        <v/>
      </c>
      <c r="AD182">
        <f>IF(A182="","",TEXT(B182,"YYYYMMDD")&amp;"|"&amp;TEXT(D182,"0.00")&amp;"|"&amp;F182&amp;"|"&amp;M182)</f>
        <v/>
      </c>
    </row>
    <row r="183">
      <c r="C183">
        <f>IF(B183="","",TEXT(B183,"YYYY-MM"))</f>
        <v/>
      </c>
      <c r="I183">
        <f>IF(H183="IC","OUI",IF(H183="HC","OUI",IF(H183="HR","NON","A_CONTROLER")))</f>
        <v/>
      </c>
      <c r="J183">
        <f>IF(H183="IC","OUI",IF(H183="HC","NON",IF(H183="HR","NON","A_CONTROLER")))</f>
        <v/>
      </c>
      <c r="AD183">
        <f>IF(A183="","",TEXT(B183,"YYYYMMDD")&amp;"|"&amp;TEXT(D183,"0.00")&amp;"|"&amp;F183&amp;"|"&amp;M183)</f>
        <v/>
      </c>
    </row>
    <row r="184">
      <c r="C184">
        <f>IF(B184="","",TEXT(B184,"YYYY-MM"))</f>
        <v/>
      </c>
      <c r="I184">
        <f>IF(H184="IC","OUI",IF(H184="HC","OUI",IF(H184="HR","NON","A_CONTROLER")))</f>
        <v/>
      </c>
      <c r="J184">
        <f>IF(H184="IC","OUI",IF(H184="HC","NON",IF(H184="HR","NON","A_CONTROLER")))</f>
        <v/>
      </c>
      <c r="AD184">
        <f>IF(A184="","",TEXT(B184,"YYYYMMDD")&amp;"|"&amp;TEXT(D184,"0.00")&amp;"|"&amp;F184&amp;"|"&amp;M184)</f>
        <v/>
      </c>
    </row>
    <row r="185">
      <c r="C185">
        <f>IF(B185="","",TEXT(B185,"YYYY-MM"))</f>
        <v/>
      </c>
      <c r="I185">
        <f>IF(H185="IC","OUI",IF(H185="HC","OUI",IF(H185="HR","NON","A_CONTROLER")))</f>
        <v/>
      </c>
      <c r="J185">
        <f>IF(H185="IC","OUI",IF(H185="HC","NON",IF(H185="HR","NON","A_CONTROLER")))</f>
        <v/>
      </c>
      <c r="AD185">
        <f>IF(A185="","",TEXT(B185,"YYYYMMDD")&amp;"|"&amp;TEXT(D185,"0.00")&amp;"|"&amp;F185&amp;"|"&amp;M185)</f>
        <v/>
      </c>
    </row>
    <row r="186">
      <c r="C186">
        <f>IF(B186="","",TEXT(B186,"YYYY-MM"))</f>
        <v/>
      </c>
      <c r="I186">
        <f>IF(H186="IC","OUI",IF(H186="HC","OUI",IF(H186="HR","NON","A_CONTROLER")))</f>
        <v/>
      </c>
      <c r="J186">
        <f>IF(H186="IC","OUI",IF(H186="HC","NON",IF(H186="HR","NON","A_CONTROLER")))</f>
        <v/>
      </c>
      <c r="AD186">
        <f>IF(A186="","",TEXT(B186,"YYYYMMDD")&amp;"|"&amp;TEXT(D186,"0.00")&amp;"|"&amp;F186&amp;"|"&amp;M186)</f>
        <v/>
      </c>
    </row>
    <row r="187">
      <c r="C187">
        <f>IF(B187="","",TEXT(B187,"YYYY-MM"))</f>
        <v/>
      </c>
      <c r="I187">
        <f>IF(H187="IC","OUI",IF(H187="HC","OUI",IF(H187="HR","NON","A_CONTROLER")))</f>
        <v/>
      </c>
      <c r="J187">
        <f>IF(H187="IC","OUI",IF(H187="HC","NON",IF(H187="HR","NON","A_CONTROLER")))</f>
        <v/>
      </c>
      <c r="AD187">
        <f>IF(A187="","",TEXT(B187,"YYYYMMDD")&amp;"|"&amp;TEXT(D187,"0.00")&amp;"|"&amp;F187&amp;"|"&amp;M187)</f>
        <v/>
      </c>
    </row>
    <row r="188">
      <c r="C188">
        <f>IF(B188="","",TEXT(B188,"YYYY-MM"))</f>
        <v/>
      </c>
      <c r="I188">
        <f>IF(H188="IC","OUI",IF(H188="HC","OUI",IF(H188="HR","NON","A_CONTROLER")))</f>
        <v/>
      </c>
      <c r="J188">
        <f>IF(H188="IC","OUI",IF(H188="HC","NON",IF(H188="HR","NON","A_CONTROLER")))</f>
        <v/>
      </c>
      <c r="AD188">
        <f>IF(A188="","",TEXT(B188,"YYYYMMDD")&amp;"|"&amp;TEXT(D188,"0.00")&amp;"|"&amp;F188&amp;"|"&amp;M188)</f>
        <v/>
      </c>
    </row>
    <row r="189">
      <c r="C189">
        <f>IF(B189="","",TEXT(B189,"YYYY-MM"))</f>
        <v/>
      </c>
      <c r="I189">
        <f>IF(H189="IC","OUI",IF(H189="HC","OUI",IF(H189="HR","NON","A_CONTROLER")))</f>
        <v/>
      </c>
      <c r="J189">
        <f>IF(H189="IC","OUI",IF(H189="HC","NON",IF(H189="HR","NON","A_CONTROLER")))</f>
        <v/>
      </c>
      <c r="AD189">
        <f>IF(A189="","",TEXT(B189,"YYYYMMDD")&amp;"|"&amp;TEXT(D189,"0.00")&amp;"|"&amp;F189&amp;"|"&amp;M189)</f>
        <v/>
      </c>
    </row>
    <row r="190">
      <c r="C190">
        <f>IF(B190="","",TEXT(B190,"YYYY-MM"))</f>
        <v/>
      </c>
      <c r="I190">
        <f>IF(H190="IC","OUI",IF(H190="HC","OUI",IF(H190="HR","NON","A_CONTROLER")))</f>
        <v/>
      </c>
      <c r="J190">
        <f>IF(H190="IC","OUI",IF(H190="HC","NON",IF(H190="HR","NON","A_CONTROLER")))</f>
        <v/>
      </c>
      <c r="AD190">
        <f>IF(A190="","",TEXT(B190,"YYYYMMDD")&amp;"|"&amp;TEXT(D190,"0.00")&amp;"|"&amp;F190&amp;"|"&amp;M190)</f>
        <v/>
      </c>
    </row>
    <row r="191">
      <c r="C191">
        <f>IF(B191="","",TEXT(B191,"YYYY-MM"))</f>
        <v/>
      </c>
      <c r="I191">
        <f>IF(H191="IC","OUI",IF(H191="HC","OUI",IF(H191="HR","NON","A_CONTROLER")))</f>
        <v/>
      </c>
      <c r="J191">
        <f>IF(H191="IC","OUI",IF(H191="HC","NON",IF(H191="HR","NON","A_CONTROLER")))</f>
        <v/>
      </c>
      <c r="AD191">
        <f>IF(A191="","",TEXT(B191,"YYYYMMDD")&amp;"|"&amp;TEXT(D191,"0.00")&amp;"|"&amp;F191&amp;"|"&amp;M191)</f>
        <v/>
      </c>
    </row>
    <row r="192">
      <c r="C192">
        <f>IF(B192="","",TEXT(B192,"YYYY-MM"))</f>
        <v/>
      </c>
      <c r="I192">
        <f>IF(H192="IC","OUI",IF(H192="HC","OUI",IF(H192="HR","NON","A_CONTROLER")))</f>
        <v/>
      </c>
      <c r="J192">
        <f>IF(H192="IC","OUI",IF(H192="HC","NON",IF(H192="HR","NON","A_CONTROLER")))</f>
        <v/>
      </c>
      <c r="AD192">
        <f>IF(A192="","",TEXT(B192,"YYYYMMDD")&amp;"|"&amp;TEXT(D192,"0.00")&amp;"|"&amp;F192&amp;"|"&amp;M192)</f>
        <v/>
      </c>
    </row>
    <row r="193">
      <c r="C193">
        <f>IF(B193="","",TEXT(B193,"YYYY-MM"))</f>
        <v/>
      </c>
      <c r="I193">
        <f>IF(H193="IC","OUI",IF(H193="HC","OUI",IF(H193="HR","NON","A_CONTROLER")))</f>
        <v/>
      </c>
      <c r="J193">
        <f>IF(H193="IC","OUI",IF(H193="HC","NON",IF(H193="HR","NON","A_CONTROLER")))</f>
        <v/>
      </c>
      <c r="AD193">
        <f>IF(A193="","",TEXT(B193,"YYYYMMDD")&amp;"|"&amp;TEXT(D193,"0.00")&amp;"|"&amp;F193&amp;"|"&amp;M193)</f>
        <v/>
      </c>
    </row>
    <row r="194">
      <c r="C194">
        <f>IF(B194="","",TEXT(B194,"YYYY-MM"))</f>
        <v/>
      </c>
      <c r="I194">
        <f>IF(H194="IC","OUI",IF(H194="HC","OUI",IF(H194="HR","NON","A_CONTROLER")))</f>
        <v/>
      </c>
      <c r="J194">
        <f>IF(H194="IC","OUI",IF(H194="HC","NON",IF(H194="HR","NON","A_CONTROLER")))</f>
        <v/>
      </c>
      <c r="AD194">
        <f>IF(A194="","",TEXT(B194,"YYYYMMDD")&amp;"|"&amp;TEXT(D194,"0.00")&amp;"|"&amp;F194&amp;"|"&amp;M194)</f>
        <v/>
      </c>
    </row>
    <row r="195">
      <c r="C195">
        <f>IF(B195="","",TEXT(B195,"YYYY-MM"))</f>
        <v/>
      </c>
      <c r="I195">
        <f>IF(H195="IC","OUI",IF(H195="HC","OUI",IF(H195="HR","NON","A_CONTROLER")))</f>
        <v/>
      </c>
      <c r="J195">
        <f>IF(H195="IC","OUI",IF(H195="HC","NON",IF(H195="HR","NON","A_CONTROLER")))</f>
        <v/>
      </c>
      <c r="AD195">
        <f>IF(A195="","",TEXT(B195,"YYYYMMDD")&amp;"|"&amp;TEXT(D195,"0.00")&amp;"|"&amp;F195&amp;"|"&amp;M195)</f>
        <v/>
      </c>
    </row>
    <row r="196">
      <c r="C196">
        <f>IF(B196="","",TEXT(B196,"YYYY-MM"))</f>
        <v/>
      </c>
      <c r="I196">
        <f>IF(H196="IC","OUI",IF(H196="HC","OUI",IF(H196="HR","NON","A_CONTROLER")))</f>
        <v/>
      </c>
      <c r="J196">
        <f>IF(H196="IC","OUI",IF(H196="HC","NON",IF(H196="HR","NON","A_CONTROLER")))</f>
        <v/>
      </c>
      <c r="AD196">
        <f>IF(A196="","",TEXT(B196,"YYYYMMDD")&amp;"|"&amp;TEXT(D196,"0.00")&amp;"|"&amp;F196&amp;"|"&amp;M196)</f>
        <v/>
      </c>
    </row>
    <row r="197">
      <c r="C197">
        <f>IF(B197="","",TEXT(B197,"YYYY-MM"))</f>
        <v/>
      </c>
      <c r="I197">
        <f>IF(H197="IC","OUI",IF(H197="HC","OUI",IF(H197="HR","NON","A_CONTROLER")))</f>
        <v/>
      </c>
      <c r="J197">
        <f>IF(H197="IC","OUI",IF(H197="HC","NON",IF(H197="HR","NON","A_CONTROLER")))</f>
        <v/>
      </c>
      <c r="AD197">
        <f>IF(A197="","",TEXT(B197,"YYYYMMDD")&amp;"|"&amp;TEXT(D197,"0.00")&amp;"|"&amp;F197&amp;"|"&amp;M197)</f>
        <v/>
      </c>
    </row>
    <row r="198">
      <c r="C198">
        <f>IF(B198="","",TEXT(B198,"YYYY-MM"))</f>
        <v/>
      </c>
      <c r="I198">
        <f>IF(H198="IC","OUI",IF(H198="HC","OUI",IF(H198="HR","NON","A_CONTROLER")))</f>
        <v/>
      </c>
      <c r="J198">
        <f>IF(H198="IC","OUI",IF(H198="HC","NON",IF(H198="HR","NON","A_CONTROLER")))</f>
        <v/>
      </c>
      <c r="AD198">
        <f>IF(A198="","",TEXT(B198,"YYYYMMDD")&amp;"|"&amp;TEXT(D198,"0.00")&amp;"|"&amp;F198&amp;"|"&amp;M198)</f>
        <v/>
      </c>
    </row>
    <row r="199">
      <c r="C199">
        <f>IF(B199="","",TEXT(B199,"YYYY-MM"))</f>
        <v/>
      </c>
      <c r="I199">
        <f>IF(H199="IC","OUI",IF(H199="HC","OUI",IF(H199="HR","NON","A_CONTROLER")))</f>
        <v/>
      </c>
      <c r="J199">
        <f>IF(H199="IC","OUI",IF(H199="HC","NON",IF(H199="HR","NON","A_CONTROLER")))</f>
        <v/>
      </c>
      <c r="AD199">
        <f>IF(A199="","",TEXT(B199,"YYYYMMDD")&amp;"|"&amp;TEXT(D199,"0.00")&amp;"|"&amp;F199&amp;"|"&amp;M199)</f>
        <v/>
      </c>
    </row>
    <row r="200">
      <c r="C200">
        <f>IF(B200="","",TEXT(B200,"YYYY-MM"))</f>
        <v/>
      </c>
      <c r="I200">
        <f>IF(H200="IC","OUI",IF(H200="HC","OUI",IF(H200="HR","NON","A_CONTROLER")))</f>
        <v/>
      </c>
      <c r="J200">
        <f>IF(H200="IC","OUI",IF(H200="HC","NON",IF(H200="HR","NON","A_CONTROLER")))</f>
        <v/>
      </c>
      <c r="AD200">
        <f>IF(A200="","",TEXT(B200,"YYYYMMDD")&amp;"|"&amp;TEXT(D200,"0.00")&amp;"|"&amp;F200&amp;"|"&amp;M200)</f>
        <v/>
      </c>
    </row>
    <row r="201">
      <c r="C201">
        <f>IF(B201="","",TEXT(B201,"YYYY-MM"))</f>
        <v/>
      </c>
      <c r="I201">
        <f>IF(H201="IC","OUI",IF(H201="HC","OUI",IF(H201="HR","NON","A_CONTROLER")))</f>
        <v/>
      </c>
      <c r="J201">
        <f>IF(H201="IC","OUI",IF(H201="HC","NON",IF(H201="HR","NON","A_CONTROLER")))</f>
        <v/>
      </c>
      <c r="AD201">
        <f>IF(A201="","",TEXT(B201,"YYYYMMDD")&amp;"|"&amp;TEXT(D201,"0.00")&amp;"|"&amp;F201&amp;"|"&amp;M201)</f>
        <v/>
      </c>
    </row>
    <row r="202">
      <c r="C202">
        <f>IF(B202="","",TEXT(B202,"YYYY-MM"))</f>
        <v/>
      </c>
      <c r="I202">
        <f>IF(H202="IC","OUI",IF(H202="HC","OUI",IF(H202="HR","NON","A_CONTROLER")))</f>
        <v/>
      </c>
      <c r="J202">
        <f>IF(H202="IC","OUI",IF(H202="HC","NON",IF(H202="HR","NON","A_CONTROLER")))</f>
        <v/>
      </c>
      <c r="AD202">
        <f>IF(A202="","",TEXT(B202,"YYYYMMDD")&amp;"|"&amp;TEXT(D202,"0.00")&amp;"|"&amp;F202&amp;"|"&amp;M202)</f>
        <v/>
      </c>
    </row>
    <row r="203">
      <c r="C203">
        <f>IF(B203="","",TEXT(B203,"YYYY-MM"))</f>
        <v/>
      </c>
      <c r="I203">
        <f>IF(H203="IC","OUI",IF(H203="HC","OUI",IF(H203="HR","NON","A_CONTROLER")))</f>
        <v/>
      </c>
      <c r="J203">
        <f>IF(H203="IC","OUI",IF(H203="HC","NON",IF(H203="HR","NON","A_CONTROLER")))</f>
        <v/>
      </c>
      <c r="AD203">
        <f>IF(A203="","",TEXT(B203,"YYYYMMDD")&amp;"|"&amp;TEXT(D203,"0.00")&amp;"|"&amp;F203&amp;"|"&amp;M203)</f>
        <v/>
      </c>
    </row>
    <row r="204">
      <c r="C204">
        <f>IF(B204="","",TEXT(B204,"YYYY-MM"))</f>
        <v/>
      </c>
      <c r="I204">
        <f>IF(H204="IC","OUI",IF(H204="HC","OUI",IF(H204="HR","NON","A_CONTROLER")))</f>
        <v/>
      </c>
      <c r="J204">
        <f>IF(H204="IC","OUI",IF(H204="HC","NON",IF(H204="HR","NON","A_CONTROLER")))</f>
        <v/>
      </c>
      <c r="AD204">
        <f>IF(A204="","",TEXT(B204,"YYYYMMDD")&amp;"|"&amp;TEXT(D204,"0.00")&amp;"|"&amp;F204&amp;"|"&amp;M204)</f>
        <v/>
      </c>
    </row>
    <row r="205">
      <c r="C205">
        <f>IF(B205="","",TEXT(B205,"YYYY-MM"))</f>
        <v/>
      </c>
      <c r="I205">
        <f>IF(H205="IC","OUI",IF(H205="HC","OUI",IF(H205="HR","NON","A_CONTROLER")))</f>
        <v/>
      </c>
      <c r="J205">
        <f>IF(H205="IC","OUI",IF(H205="HC","NON",IF(H205="HR","NON","A_CONTROLER")))</f>
        <v/>
      </c>
      <c r="AD205">
        <f>IF(A205="","",TEXT(B205,"YYYYMMDD")&amp;"|"&amp;TEXT(D205,"0.00")&amp;"|"&amp;F205&amp;"|"&amp;M205)</f>
        <v/>
      </c>
    </row>
    <row r="206">
      <c r="C206">
        <f>IF(B206="","",TEXT(B206,"YYYY-MM"))</f>
        <v/>
      </c>
      <c r="I206">
        <f>IF(H206="IC","OUI",IF(H206="HC","OUI",IF(H206="HR","NON","A_CONTROLER")))</f>
        <v/>
      </c>
      <c r="J206">
        <f>IF(H206="IC","OUI",IF(H206="HC","NON",IF(H206="HR","NON","A_CONTROLER")))</f>
        <v/>
      </c>
      <c r="AD206">
        <f>IF(A206="","",TEXT(B206,"YYYYMMDD")&amp;"|"&amp;TEXT(D206,"0.00")&amp;"|"&amp;F206&amp;"|"&amp;M206)</f>
        <v/>
      </c>
    </row>
    <row r="207">
      <c r="C207">
        <f>IF(B207="","",TEXT(B207,"YYYY-MM"))</f>
        <v/>
      </c>
      <c r="I207">
        <f>IF(H207="IC","OUI",IF(H207="HC","OUI",IF(H207="HR","NON","A_CONTROLER")))</f>
        <v/>
      </c>
      <c r="J207">
        <f>IF(H207="IC","OUI",IF(H207="HC","NON",IF(H207="HR","NON","A_CONTROLER")))</f>
        <v/>
      </c>
      <c r="AD207">
        <f>IF(A207="","",TEXT(B207,"YYYYMMDD")&amp;"|"&amp;TEXT(D207,"0.00")&amp;"|"&amp;F207&amp;"|"&amp;M207)</f>
        <v/>
      </c>
    </row>
    <row r="208">
      <c r="C208">
        <f>IF(B208="","",TEXT(B208,"YYYY-MM"))</f>
        <v/>
      </c>
      <c r="I208">
        <f>IF(H208="IC","OUI",IF(H208="HC","OUI",IF(H208="HR","NON","A_CONTROLER")))</f>
        <v/>
      </c>
      <c r="J208">
        <f>IF(H208="IC","OUI",IF(H208="HC","NON",IF(H208="HR","NON","A_CONTROLER")))</f>
        <v/>
      </c>
      <c r="AD208">
        <f>IF(A208="","",TEXT(B208,"YYYYMMDD")&amp;"|"&amp;TEXT(D208,"0.00")&amp;"|"&amp;F208&amp;"|"&amp;M208)</f>
        <v/>
      </c>
    </row>
    <row r="209">
      <c r="C209">
        <f>IF(B209="","",TEXT(B209,"YYYY-MM"))</f>
        <v/>
      </c>
      <c r="I209">
        <f>IF(H209="IC","OUI",IF(H209="HC","OUI",IF(H209="HR","NON","A_CONTROLER")))</f>
        <v/>
      </c>
      <c r="J209">
        <f>IF(H209="IC","OUI",IF(H209="HC","NON",IF(H209="HR","NON","A_CONTROLER")))</f>
        <v/>
      </c>
      <c r="AD209">
        <f>IF(A209="","",TEXT(B209,"YYYYMMDD")&amp;"|"&amp;TEXT(D209,"0.00")&amp;"|"&amp;F209&amp;"|"&amp;M209)</f>
        <v/>
      </c>
    </row>
    <row r="210">
      <c r="C210">
        <f>IF(B210="","",TEXT(B210,"YYYY-MM"))</f>
        <v/>
      </c>
      <c r="I210">
        <f>IF(H210="IC","OUI",IF(H210="HC","OUI",IF(H210="HR","NON","A_CONTROLER")))</f>
        <v/>
      </c>
      <c r="J210">
        <f>IF(H210="IC","OUI",IF(H210="HC","NON",IF(H210="HR","NON","A_CONTROLER")))</f>
        <v/>
      </c>
      <c r="AD210">
        <f>IF(A210="","",TEXT(B210,"YYYYMMDD")&amp;"|"&amp;TEXT(D210,"0.00")&amp;"|"&amp;F210&amp;"|"&amp;M210)</f>
        <v/>
      </c>
    </row>
    <row r="211">
      <c r="C211">
        <f>IF(B211="","",TEXT(B211,"YYYY-MM"))</f>
        <v/>
      </c>
      <c r="I211">
        <f>IF(H211="IC","OUI",IF(H211="HC","OUI",IF(H211="HR","NON","A_CONTROLER")))</f>
        <v/>
      </c>
      <c r="J211">
        <f>IF(H211="IC","OUI",IF(H211="HC","NON",IF(H211="HR","NON","A_CONTROLER")))</f>
        <v/>
      </c>
      <c r="AD211">
        <f>IF(A211="","",TEXT(B211,"YYYYMMDD")&amp;"|"&amp;TEXT(D211,"0.00")&amp;"|"&amp;F211&amp;"|"&amp;M211)</f>
        <v/>
      </c>
    </row>
    <row r="212">
      <c r="C212">
        <f>IF(B212="","",TEXT(B212,"YYYY-MM"))</f>
        <v/>
      </c>
      <c r="I212">
        <f>IF(H212="IC","OUI",IF(H212="HC","OUI",IF(H212="HR","NON","A_CONTROLER")))</f>
        <v/>
      </c>
      <c r="J212">
        <f>IF(H212="IC","OUI",IF(H212="HC","NON",IF(H212="HR","NON","A_CONTROLER")))</f>
        <v/>
      </c>
      <c r="AD212">
        <f>IF(A212="","",TEXT(B212,"YYYYMMDD")&amp;"|"&amp;TEXT(D212,"0.00")&amp;"|"&amp;F212&amp;"|"&amp;M212)</f>
        <v/>
      </c>
    </row>
    <row r="213">
      <c r="C213">
        <f>IF(B213="","",TEXT(B213,"YYYY-MM"))</f>
        <v/>
      </c>
      <c r="I213">
        <f>IF(H213="IC","OUI",IF(H213="HC","OUI",IF(H213="HR","NON","A_CONTROLER")))</f>
        <v/>
      </c>
      <c r="J213">
        <f>IF(H213="IC","OUI",IF(H213="HC","NON",IF(H213="HR","NON","A_CONTROLER")))</f>
        <v/>
      </c>
      <c r="AD213">
        <f>IF(A213="","",TEXT(B213,"YYYYMMDD")&amp;"|"&amp;TEXT(D213,"0.00")&amp;"|"&amp;F213&amp;"|"&amp;M213)</f>
        <v/>
      </c>
    </row>
    <row r="214">
      <c r="C214">
        <f>IF(B214="","",TEXT(B214,"YYYY-MM"))</f>
        <v/>
      </c>
      <c r="I214">
        <f>IF(H214="IC","OUI",IF(H214="HC","OUI",IF(H214="HR","NON","A_CONTROLER")))</f>
        <v/>
      </c>
      <c r="J214">
        <f>IF(H214="IC","OUI",IF(H214="HC","NON",IF(H214="HR","NON","A_CONTROLER")))</f>
        <v/>
      </c>
      <c r="AD214">
        <f>IF(A214="","",TEXT(B214,"YYYYMMDD")&amp;"|"&amp;TEXT(D214,"0.00")&amp;"|"&amp;F214&amp;"|"&amp;M214)</f>
        <v/>
      </c>
    </row>
    <row r="215">
      <c r="C215">
        <f>IF(B215="","",TEXT(B215,"YYYY-MM"))</f>
        <v/>
      </c>
      <c r="I215">
        <f>IF(H215="IC","OUI",IF(H215="HC","OUI",IF(H215="HR","NON","A_CONTROLER")))</f>
        <v/>
      </c>
      <c r="J215">
        <f>IF(H215="IC","OUI",IF(H215="HC","NON",IF(H215="HR","NON","A_CONTROLER")))</f>
        <v/>
      </c>
      <c r="AD215">
        <f>IF(A215="","",TEXT(B215,"YYYYMMDD")&amp;"|"&amp;TEXT(D215,"0.00")&amp;"|"&amp;F215&amp;"|"&amp;M215)</f>
        <v/>
      </c>
    </row>
    <row r="216">
      <c r="C216">
        <f>IF(B216="","",TEXT(B216,"YYYY-MM"))</f>
        <v/>
      </c>
      <c r="I216">
        <f>IF(H216="IC","OUI",IF(H216="HC","OUI",IF(H216="HR","NON","A_CONTROLER")))</f>
        <v/>
      </c>
      <c r="J216">
        <f>IF(H216="IC","OUI",IF(H216="HC","NON",IF(H216="HR","NON","A_CONTROLER")))</f>
        <v/>
      </c>
      <c r="AD216">
        <f>IF(A216="","",TEXT(B216,"YYYYMMDD")&amp;"|"&amp;TEXT(D216,"0.00")&amp;"|"&amp;F216&amp;"|"&amp;M216)</f>
        <v/>
      </c>
    </row>
    <row r="217">
      <c r="C217">
        <f>IF(B217="","",TEXT(B217,"YYYY-MM"))</f>
        <v/>
      </c>
      <c r="I217">
        <f>IF(H217="IC","OUI",IF(H217="HC","OUI",IF(H217="HR","NON","A_CONTROLER")))</f>
        <v/>
      </c>
      <c r="J217">
        <f>IF(H217="IC","OUI",IF(H217="HC","NON",IF(H217="HR","NON","A_CONTROLER")))</f>
        <v/>
      </c>
      <c r="AD217">
        <f>IF(A217="","",TEXT(B217,"YYYYMMDD")&amp;"|"&amp;TEXT(D217,"0.00")&amp;"|"&amp;F217&amp;"|"&amp;M217)</f>
        <v/>
      </c>
    </row>
    <row r="218">
      <c r="C218">
        <f>IF(B218="","",TEXT(B218,"YYYY-MM"))</f>
        <v/>
      </c>
      <c r="I218">
        <f>IF(H218="IC","OUI",IF(H218="HC","OUI",IF(H218="HR","NON","A_CONTROLER")))</f>
        <v/>
      </c>
      <c r="J218">
        <f>IF(H218="IC","OUI",IF(H218="HC","NON",IF(H218="HR","NON","A_CONTROLER")))</f>
        <v/>
      </c>
      <c r="AD218">
        <f>IF(A218="","",TEXT(B218,"YYYYMMDD")&amp;"|"&amp;TEXT(D218,"0.00")&amp;"|"&amp;F218&amp;"|"&amp;M218)</f>
        <v/>
      </c>
    </row>
    <row r="219">
      <c r="C219">
        <f>IF(B219="","",TEXT(B219,"YYYY-MM"))</f>
        <v/>
      </c>
      <c r="I219">
        <f>IF(H219="IC","OUI",IF(H219="HC","OUI",IF(H219="HR","NON","A_CONTROLER")))</f>
        <v/>
      </c>
      <c r="J219">
        <f>IF(H219="IC","OUI",IF(H219="HC","NON",IF(H219="HR","NON","A_CONTROLER")))</f>
        <v/>
      </c>
      <c r="AD219">
        <f>IF(A219="","",TEXT(B219,"YYYYMMDD")&amp;"|"&amp;TEXT(D219,"0.00")&amp;"|"&amp;F219&amp;"|"&amp;M219)</f>
        <v/>
      </c>
    </row>
    <row r="220">
      <c r="C220">
        <f>IF(B220="","",TEXT(B220,"YYYY-MM"))</f>
        <v/>
      </c>
      <c r="I220">
        <f>IF(H220="IC","OUI",IF(H220="HC","OUI",IF(H220="HR","NON","A_CONTROLER")))</f>
        <v/>
      </c>
      <c r="J220">
        <f>IF(H220="IC","OUI",IF(H220="HC","NON",IF(H220="HR","NON","A_CONTROLER")))</f>
        <v/>
      </c>
      <c r="AD220">
        <f>IF(A220="","",TEXT(B220,"YYYYMMDD")&amp;"|"&amp;TEXT(D220,"0.00")&amp;"|"&amp;F220&amp;"|"&amp;M220)</f>
        <v/>
      </c>
    </row>
    <row r="221">
      <c r="C221">
        <f>IF(B221="","",TEXT(B221,"YYYY-MM"))</f>
        <v/>
      </c>
      <c r="I221">
        <f>IF(H221="IC","OUI",IF(H221="HC","OUI",IF(H221="HR","NON","A_CONTROLER")))</f>
        <v/>
      </c>
      <c r="J221">
        <f>IF(H221="IC","OUI",IF(H221="HC","NON",IF(H221="HR","NON","A_CONTROLER")))</f>
        <v/>
      </c>
      <c r="AD221">
        <f>IF(A221="","",TEXT(B221,"YYYYMMDD")&amp;"|"&amp;TEXT(D221,"0.00")&amp;"|"&amp;F221&amp;"|"&amp;M221)</f>
        <v/>
      </c>
    </row>
    <row r="222">
      <c r="C222">
        <f>IF(B222="","",TEXT(B222,"YYYY-MM"))</f>
        <v/>
      </c>
      <c r="I222">
        <f>IF(H222="IC","OUI",IF(H222="HC","OUI",IF(H222="HR","NON","A_CONTROLER")))</f>
        <v/>
      </c>
      <c r="J222">
        <f>IF(H222="IC","OUI",IF(H222="HC","NON",IF(H222="HR","NON","A_CONTROLER")))</f>
        <v/>
      </c>
      <c r="AD222">
        <f>IF(A222="","",TEXT(B222,"YYYYMMDD")&amp;"|"&amp;TEXT(D222,"0.00")&amp;"|"&amp;F222&amp;"|"&amp;M222)</f>
        <v/>
      </c>
    </row>
    <row r="223">
      <c r="C223">
        <f>IF(B223="","",TEXT(B223,"YYYY-MM"))</f>
        <v/>
      </c>
      <c r="I223">
        <f>IF(H223="IC","OUI",IF(H223="HC","OUI",IF(H223="HR","NON","A_CONTROLER")))</f>
        <v/>
      </c>
      <c r="J223">
        <f>IF(H223="IC","OUI",IF(H223="HC","NON",IF(H223="HR","NON","A_CONTROLER")))</f>
        <v/>
      </c>
      <c r="AD223">
        <f>IF(A223="","",TEXT(B223,"YYYYMMDD")&amp;"|"&amp;TEXT(D223,"0.00")&amp;"|"&amp;F223&amp;"|"&amp;M223)</f>
        <v/>
      </c>
    </row>
    <row r="224">
      <c r="C224">
        <f>IF(B224="","",TEXT(B224,"YYYY-MM"))</f>
        <v/>
      </c>
      <c r="I224">
        <f>IF(H224="IC","OUI",IF(H224="HC","OUI",IF(H224="HR","NON","A_CONTROLER")))</f>
        <v/>
      </c>
      <c r="J224">
        <f>IF(H224="IC","OUI",IF(H224="HC","NON",IF(H224="HR","NON","A_CONTROLER")))</f>
        <v/>
      </c>
      <c r="AD224">
        <f>IF(A224="","",TEXT(B224,"YYYYMMDD")&amp;"|"&amp;TEXT(D224,"0.00")&amp;"|"&amp;F224&amp;"|"&amp;M224)</f>
        <v/>
      </c>
    </row>
    <row r="225">
      <c r="C225">
        <f>IF(B225="","",TEXT(B225,"YYYY-MM"))</f>
        <v/>
      </c>
      <c r="I225">
        <f>IF(H225="IC","OUI",IF(H225="HC","OUI",IF(H225="HR","NON","A_CONTROLER")))</f>
        <v/>
      </c>
      <c r="J225">
        <f>IF(H225="IC","OUI",IF(H225="HC","NON",IF(H225="HR","NON","A_CONTROLER")))</f>
        <v/>
      </c>
      <c r="AD225">
        <f>IF(A225="","",TEXT(B225,"YYYYMMDD")&amp;"|"&amp;TEXT(D225,"0.00")&amp;"|"&amp;F225&amp;"|"&amp;M225)</f>
        <v/>
      </c>
    </row>
    <row r="226">
      <c r="C226">
        <f>IF(B226="","",TEXT(B226,"YYYY-MM"))</f>
        <v/>
      </c>
      <c r="I226">
        <f>IF(H226="IC","OUI",IF(H226="HC","OUI",IF(H226="HR","NON","A_CONTROLER")))</f>
        <v/>
      </c>
      <c r="J226">
        <f>IF(H226="IC","OUI",IF(H226="HC","NON",IF(H226="HR","NON","A_CONTROLER")))</f>
        <v/>
      </c>
      <c r="AD226">
        <f>IF(A226="","",TEXT(B226,"YYYYMMDD")&amp;"|"&amp;TEXT(D226,"0.00")&amp;"|"&amp;F226&amp;"|"&amp;M226)</f>
        <v/>
      </c>
    </row>
    <row r="227">
      <c r="C227">
        <f>IF(B227="","",TEXT(B227,"YYYY-MM"))</f>
        <v/>
      </c>
      <c r="I227">
        <f>IF(H227="IC","OUI",IF(H227="HC","OUI",IF(H227="HR","NON","A_CONTROLER")))</f>
        <v/>
      </c>
      <c r="J227">
        <f>IF(H227="IC","OUI",IF(H227="HC","NON",IF(H227="HR","NON","A_CONTROLER")))</f>
        <v/>
      </c>
      <c r="AD227">
        <f>IF(A227="","",TEXT(B227,"YYYYMMDD")&amp;"|"&amp;TEXT(D227,"0.00")&amp;"|"&amp;F227&amp;"|"&amp;M227)</f>
        <v/>
      </c>
    </row>
    <row r="228">
      <c r="C228">
        <f>IF(B228="","",TEXT(B228,"YYYY-MM"))</f>
        <v/>
      </c>
      <c r="I228">
        <f>IF(H228="IC","OUI",IF(H228="HC","OUI",IF(H228="HR","NON","A_CONTROLER")))</f>
        <v/>
      </c>
      <c r="J228">
        <f>IF(H228="IC","OUI",IF(H228="HC","NON",IF(H228="HR","NON","A_CONTROLER")))</f>
        <v/>
      </c>
      <c r="AD228">
        <f>IF(A228="","",TEXT(B228,"YYYYMMDD")&amp;"|"&amp;TEXT(D228,"0.00")&amp;"|"&amp;F228&amp;"|"&amp;M228)</f>
        <v/>
      </c>
    </row>
    <row r="229">
      <c r="C229">
        <f>IF(B229="","",TEXT(B229,"YYYY-MM"))</f>
        <v/>
      </c>
      <c r="I229">
        <f>IF(H229="IC","OUI",IF(H229="HC","OUI",IF(H229="HR","NON","A_CONTROLER")))</f>
        <v/>
      </c>
      <c r="J229">
        <f>IF(H229="IC","OUI",IF(H229="HC","NON",IF(H229="HR","NON","A_CONTROLER")))</f>
        <v/>
      </c>
      <c r="AD229">
        <f>IF(A229="","",TEXT(B229,"YYYYMMDD")&amp;"|"&amp;TEXT(D229,"0.00")&amp;"|"&amp;F229&amp;"|"&amp;M229)</f>
        <v/>
      </c>
    </row>
    <row r="230">
      <c r="C230">
        <f>IF(B230="","",TEXT(B230,"YYYY-MM"))</f>
        <v/>
      </c>
      <c r="I230">
        <f>IF(H230="IC","OUI",IF(H230="HC","OUI",IF(H230="HR","NON","A_CONTROLER")))</f>
        <v/>
      </c>
      <c r="J230">
        <f>IF(H230="IC","OUI",IF(H230="HC","NON",IF(H230="HR","NON","A_CONTROLER")))</f>
        <v/>
      </c>
      <c r="AD230">
        <f>IF(A230="","",TEXT(B230,"YYYYMMDD")&amp;"|"&amp;TEXT(D230,"0.00")&amp;"|"&amp;F230&amp;"|"&amp;M230)</f>
        <v/>
      </c>
    </row>
    <row r="231">
      <c r="C231">
        <f>IF(B231="","",TEXT(B231,"YYYY-MM"))</f>
        <v/>
      </c>
      <c r="I231">
        <f>IF(H231="IC","OUI",IF(H231="HC","OUI",IF(H231="HR","NON","A_CONTROLER")))</f>
        <v/>
      </c>
      <c r="J231">
        <f>IF(H231="IC","OUI",IF(H231="HC","NON",IF(H231="HR","NON","A_CONTROLER")))</f>
        <v/>
      </c>
      <c r="AD231">
        <f>IF(A231="","",TEXT(B231,"YYYYMMDD")&amp;"|"&amp;TEXT(D231,"0.00")&amp;"|"&amp;F231&amp;"|"&amp;M231)</f>
        <v/>
      </c>
    </row>
    <row r="232">
      <c r="C232">
        <f>IF(B232="","",TEXT(B232,"YYYY-MM"))</f>
        <v/>
      </c>
      <c r="I232">
        <f>IF(H232="IC","OUI",IF(H232="HC","OUI",IF(H232="HR","NON","A_CONTROLER")))</f>
        <v/>
      </c>
      <c r="J232">
        <f>IF(H232="IC","OUI",IF(H232="HC","NON",IF(H232="HR","NON","A_CONTROLER")))</f>
        <v/>
      </c>
      <c r="AD232">
        <f>IF(A232="","",TEXT(B232,"YYYYMMDD")&amp;"|"&amp;TEXT(D232,"0.00")&amp;"|"&amp;F232&amp;"|"&amp;M232)</f>
        <v/>
      </c>
    </row>
    <row r="233">
      <c r="C233">
        <f>IF(B233="","",TEXT(B233,"YYYY-MM"))</f>
        <v/>
      </c>
      <c r="I233">
        <f>IF(H233="IC","OUI",IF(H233="HC","OUI",IF(H233="HR","NON","A_CONTROLER")))</f>
        <v/>
      </c>
      <c r="J233">
        <f>IF(H233="IC","OUI",IF(H233="HC","NON",IF(H233="HR","NON","A_CONTROLER")))</f>
        <v/>
      </c>
      <c r="AD233">
        <f>IF(A233="","",TEXT(B233,"YYYYMMDD")&amp;"|"&amp;TEXT(D233,"0.00")&amp;"|"&amp;F233&amp;"|"&amp;M233)</f>
        <v/>
      </c>
    </row>
    <row r="234">
      <c r="C234">
        <f>IF(B234="","",TEXT(B234,"YYYY-MM"))</f>
        <v/>
      </c>
      <c r="I234">
        <f>IF(H234="IC","OUI",IF(H234="HC","OUI",IF(H234="HR","NON","A_CONTROLER")))</f>
        <v/>
      </c>
      <c r="J234">
        <f>IF(H234="IC","OUI",IF(H234="HC","NON",IF(H234="HR","NON","A_CONTROLER")))</f>
        <v/>
      </c>
      <c r="AD234">
        <f>IF(A234="","",TEXT(B234,"YYYYMMDD")&amp;"|"&amp;TEXT(D234,"0.00")&amp;"|"&amp;F234&amp;"|"&amp;M234)</f>
        <v/>
      </c>
    </row>
    <row r="235">
      <c r="C235">
        <f>IF(B235="","",TEXT(B235,"YYYY-MM"))</f>
        <v/>
      </c>
      <c r="I235">
        <f>IF(H235="IC","OUI",IF(H235="HC","OUI",IF(H235="HR","NON","A_CONTROLER")))</f>
        <v/>
      </c>
      <c r="J235">
        <f>IF(H235="IC","OUI",IF(H235="HC","NON",IF(H235="HR","NON","A_CONTROLER")))</f>
        <v/>
      </c>
      <c r="AD235">
        <f>IF(A235="","",TEXT(B235,"YYYYMMDD")&amp;"|"&amp;TEXT(D235,"0.00")&amp;"|"&amp;F235&amp;"|"&amp;M235)</f>
        <v/>
      </c>
    </row>
    <row r="236">
      <c r="C236">
        <f>IF(B236="","",TEXT(B236,"YYYY-MM"))</f>
        <v/>
      </c>
      <c r="I236">
        <f>IF(H236="IC","OUI",IF(H236="HC","OUI",IF(H236="HR","NON","A_CONTROLER")))</f>
        <v/>
      </c>
      <c r="J236">
        <f>IF(H236="IC","OUI",IF(H236="HC","NON",IF(H236="HR","NON","A_CONTROLER")))</f>
        <v/>
      </c>
      <c r="AD236">
        <f>IF(A236="","",TEXT(B236,"YYYYMMDD")&amp;"|"&amp;TEXT(D236,"0.00")&amp;"|"&amp;F236&amp;"|"&amp;M236)</f>
        <v/>
      </c>
    </row>
    <row r="237">
      <c r="C237">
        <f>IF(B237="","",TEXT(B237,"YYYY-MM"))</f>
        <v/>
      </c>
      <c r="I237">
        <f>IF(H237="IC","OUI",IF(H237="HC","OUI",IF(H237="HR","NON","A_CONTROLER")))</f>
        <v/>
      </c>
      <c r="J237">
        <f>IF(H237="IC","OUI",IF(H237="HC","NON",IF(H237="HR","NON","A_CONTROLER")))</f>
        <v/>
      </c>
      <c r="AD237">
        <f>IF(A237="","",TEXT(B237,"YYYYMMDD")&amp;"|"&amp;TEXT(D237,"0.00")&amp;"|"&amp;F237&amp;"|"&amp;M237)</f>
        <v/>
      </c>
    </row>
    <row r="238">
      <c r="C238">
        <f>IF(B238="","",TEXT(B238,"YYYY-MM"))</f>
        <v/>
      </c>
      <c r="I238">
        <f>IF(H238="IC","OUI",IF(H238="HC","OUI",IF(H238="HR","NON","A_CONTROLER")))</f>
        <v/>
      </c>
      <c r="J238">
        <f>IF(H238="IC","OUI",IF(H238="HC","NON",IF(H238="HR","NON","A_CONTROLER")))</f>
        <v/>
      </c>
      <c r="AD238">
        <f>IF(A238="","",TEXT(B238,"YYYYMMDD")&amp;"|"&amp;TEXT(D238,"0.00")&amp;"|"&amp;F238&amp;"|"&amp;M238)</f>
        <v/>
      </c>
    </row>
    <row r="239">
      <c r="C239">
        <f>IF(B239="","",TEXT(B239,"YYYY-MM"))</f>
        <v/>
      </c>
      <c r="I239">
        <f>IF(H239="IC","OUI",IF(H239="HC","OUI",IF(H239="HR","NON","A_CONTROLER")))</f>
        <v/>
      </c>
      <c r="J239">
        <f>IF(H239="IC","OUI",IF(H239="HC","NON",IF(H239="HR","NON","A_CONTROLER")))</f>
        <v/>
      </c>
      <c r="AD239">
        <f>IF(A239="","",TEXT(B239,"YYYYMMDD")&amp;"|"&amp;TEXT(D239,"0.00")&amp;"|"&amp;F239&amp;"|"&amp;M239)</f>
        <v/>
      </c>
    </row>
    <row r="240">
      <c r="C240">
        <f>IF(B240="","",TEXT(B240,"YYYY-MM"))</f>
        <v/>
      </c>
      <c r="I240">
        <f>IF(H240="IC","OUI",IF(H240="HC","OUI",IF(H240="HR","NON","A_CONTROLER")))</f>
        <v/>
      </c>
      <c r="J240">
        <f>IF(H240="IC","OUI",IF(H240="HC","NON",IF(H240="HR","NON","A_CONTROLER")))</f>
        <v/>
      </c>
      <c r="AD240">
        <f>IF(A240="","",TEXT(B240,"YYYYMMDD")&amp;"|"&amp;TEXT(D240,"0.00")&amp;"|"&amp;F240&amp;"|"&amp;M240)</f>
        <v/>
      </c>
    </row>
    <row r="241">
      <c r="C241">
        <f>IF(B241="","",TEXT(B241,"YYYY-MM"))</f>
        <v/>
      </c>
      <c r="I241">
        <f>IF(H241="IC","OUI",IF(H241="HC","OUI",IF(H241="HR","NON","A_CONTROLER")))</f>
        <v/>
      </c>
      <c r="J241">
        <f>IF(H241="IC","OUI",IF(H241="HC","NON",IF(H241="HR","NON","A_CONTROLER")))</f>
        <v/>
      </c>
      <c r="AD241">
        <f>IF(A241="","",TEXT(B241,"YYYYMMDD")&amp;"|"&amp;TEXT(D241,"0.00")&amp;"|"&amp;F241&amp;"|"&amp;M241)</f>
        <v/>
      </c>
    </row>
    <row r="242">
      <c r="C242">
        <f>IF(B242="","",TEXT(B242,"YYYY-MM"))</f>
        <v/>
      </c>
      <c r="I242">
        <f>IF(H242="IC","OUI",IF(H242="HC","OUI",IF(H242="HR","NON","A_CONTROLER")))</f>
        <v/>
      </c>
      <c r="J242">
        <f>IF(H242="IC","OUI",IF(H242="HC","NON",IF(H242="HR","NON","A_CONTROLER")))</f>
        <v/>
      </c>
      <c r="AD242">
        <f>IF(A242="","",TEXT(B242,"YYYYMMDD")&amp;"|"&amp;TEXT(D242,"0.00")&amp;"|"&amp;F242&amp;"|"&amp;M242)</f>
        <v/>
      </c>
    </row>
    <row r="243">
      <c r="C243">
        <f>IF(B243="","",TEXT(B243,"YYYY-MM"))</f>
        <v/>
      </c>
      <c r="I243">
        <f>IF(H243="IC","OUI",IF(H243="HC","OUI",IF(H243="HR","NON","A_CONTROLER")))</f>
        <v/>
      </c>
      <c r="J243">
        <f>IF(H243="IC","OUI",IF(H243="HC","NON",IF(H243="HR","NON","A_CONTROLER")))</f>
        <v/>
      </c>
      <c r="AD243">
        <f>IF(A243="","",TEXT(B243,"YYYYMMDD")&amp;"|"&amp;TEXT(D243,"0.00")&amp;"|"&amp;F243&amp;"|"&amp;M243)</f>
        <v/>
      </c>
    </row>
    <row r="244">
      <c r="C244">
        <f>IF(B244="","",TEXT(B244,"YYYY-MM"))</f>
        <v/>
      </c>
      <c r="I244">
        <f>IF(H244="IC","OUI",IF(H244="HC","OUI",IF(H244="HR","NON","A_CONTROLER")))</f>
        <v/>
      </c>
      <c r="J244">
        <f>IF(H244="IC","OUI",IF(H244="HC","NON",IF(H244="HR","NON","A_CONTROLER")))</f>
        <v/>
      </c>
      <c r="AD244">
        <f>IF(A244="","",TEXT(B244,"YYYYMMDD")&amp;"|"&amp;TEXT(D244,"0.00")&amp;"|"&amp;F244&amp;"|"&amp;M244)</f>
        <v/>
      </c>
    </row>
    <row r="245">
      <c r="C245">
        <f>IF(B245="","",TEXT(B245,"YYYY-MM"))</f>
        <v/>
      </c>
      <c r="I245">
        <f>IF(H245="IC","OUI",IF(H245="HC","OUI",IF(H245="HR","NON","A_CONTROLER")))</f>
        <v/>
      </c>
      <c r="J245">
        <f>IF(H245="IC","OUI",IF(H245="HC","NON",IF(H245="HR","NON","A_CONTROLER")))</f>
        <v/>
      </c>
      <c r="AD245">
        <f>IF(A245="","",TEXT(B245,"YYYYMMDD")&amp;"|"&amp;TEXT(D245,"0.00")&amp;"|"&amp;F245&amp;"|"&amp;M245)</f>
        <v/>
      </c>
    </row>
    <row r="246">
      <c r="C246">
        <f>IF(B246="","",TEXT(B246,"YYYY-MM"))</f>
        <v/>
      </c>
      <c r="I246">
        <f>IF(H246="IC","OUI",IF(H246="HC","OUI",IF(H246="HR","NON","A_CONTROLER")))</f>
        <v/>
      </c>
      <c r="J246">
        <f>IF(H246="IC","OUI",IF(H246="HC","NON",IF(H246="HR","NON","A_CONTROLER")))</f>
        <v/>
      </c>
      <c r="AD246">
        <f>IF(A246="","",TEXT(B246,"YYYYMMDD")&amp;"|"&amp;TEXT(D246,"0.00")&amp;"|"&amp;F246&amp;"|"&amp;M246)</f>
        <v/>
      </c>
    </row>
    <row r="247">
      <c r="C247">
        <f>IF(B247="","",TEXT(B247,"YYYY-MM"))</f>
        <v/>
      </c>
      <c r="I247">
        <f>IF(H247="IC","OUI",IF(H247="HC","OUI",IF(H247="HR","NON","A_CONTROLER")))</f>
        <v/>
      </c>
      <c r="J247">
        <f>IF(H247="IC","OUI",IF(H247="HC","NON",IF(H247="HR","NON","A_CONTROLER")))</f>
        <v/>
      </c>
      <c r="AD247">
        <f>IF(A247="","",TEXT(B247,"YYYYMMDD")&amp;"|"&amp;TEXT(D247,"0.00")&amp;"|"&amp;F247&amp;"|"&amp;M247)</f>
        <v/>
      </c>
    </row>
    <row r="248">
      <c r="C248">
        <f>IF(B248="","",TEXT(B248,"YYYY-MM"))</f>
        <v/>
      </c>
      <c r="I248">
        <f>IF(H248="IC","OUI",IF(H248="HC","OUI",IF(H248="HR","NON","A_CONTROLER")))</f>
        <v/>
      </c>
      <c r="J248">
        <f>IF(H248="IC","OUI",IF(H248="HC","NON",IF(H248="HR","NON","A_CONTROLER")))</f>
        <v/>
      </c>
      <c r="AD248">
        <f>IF(A248="","",TEXT(B248,"YYYYMMDD")&amp;"|"&amp;TEXT(D248,"0.00")&amp;"|"&amp;F248&amp;"|"&amp;M248)</f>
        <v/>
      </c>
    </row>
    <row r="249">
      <c r="C249">
        <f>IF(B249="","",TEXT(B249,"YYYY-MM"))</f>
        <v/>
      </c>
      <c r="I249">
        <f>IF(H249="IC","OUI",IF(H249="HC","OUI",IF(H249="HR","NON","A_CONTROLER")))</f>
        <v/>
      </c>
      <c r="J249">
        <f>IF(H249="IC","OUI",IF(H249="HC","NON",IF(H249="HR","NON","A_CONTROLER")))</f>
        <v/>
      </c>
      <c r="AD249">
        <f>IF(A249="","",TEXT(B249,"YYYYMMDD")&amp;"|"&amp;TEXT(D249,"0.00")&amp;"|"&amp;F249&amp;"|"&amp;M249)</f>
        <v/>
      </c>
    </row>
    <row r="250">
      <c r="C250">
        <f>IF(B250="","",TEXT(B250,"YYYY-MM"))</f>
        <v/>
      </c>
      <c r="I250">
        <f>IF(H250="IC","OUI",IF(H250="HC","OUI",IF(H250="HR","NON","A_CONTROLER")))</f>
        <v/>
      </c>
      <c r="J250">
        <f>IF(H250="IC","OUI",IF(H250="HC","NON",IF(H250="HR","NON","A_CONTROLER")))</f>
        <v/>
      </c>
      <c r="AD250">
        <f>IF(A250="","",TEXT(B250,"YYYYMMDD")&amp;"|"&amp;TEXT(D250,"0.00")&amp;"|"&amp;F250&amp;"|"&amp;M250)</f>
        <v/>
      </c>
    </row>
    <row r="251">
      <c r="C251">
        <f>IF(B251="","",TEXT(B251,"YYYY-MM"))</f>
        <v/>
      </c>
      <c r="I251">
        <f>IF(H251="IC","OUI",IF(H251="HC","OUI",IF(H251="HR","NON","A_CONTROLER")))</f>
        <v/>
      </c>
      <c r="J251">
        <f>IF(H251="IC","OUI",IF(H251="HC","NON",IF(H251="HR","NON","A_CONTROLER")))</f>
        <v/>
      </c>
      <c r="AD251">
        <f>IF(A251="","",TEXT(B251,"YYYYMMDD")&amp;"|"&amp;TEXT(D251,"0.00")&amp;"|"&amp;F251&amp;"|"&amp;M251)</f>
        <v/>
      </c>
    </row>
    <row r="252">
      <c r="C252">
        <f>IF(B252="","",TEXT(B252,"YYYY-MM"))</f>
        <v/>
      </c>
      <c r="I252">
        <f>IF(H252="IC","OUI",IF(H252="HC","OUI",IF(H252="HR","NON","A_CONTROLER")))</f>
        <v/>
      </c>
      <c r="J252">
        <f>IF(H252="IC","OUI",IF(H252="HC","NON",IF(H252="HR","NON","A_CONTROLER")))</f>
        <v/>
      </c>
      <c r="AD252">
        <f>IF(A252="","",TEXT(B252,"YYYYMMDD")&amp;"|"&amp;TEXT(D252,"0.00")&amp;"|"&amp;F252&amp;"|"&amp;M252)</f>
        <v/>
      </c>
    </row>
    <row r="253">
      <c r="C253">
        <f>IF(B253="","",TEXT(B253,"YYYY-MM"))</f>
        <v/>
      </c>
      <c r="I253">
        <f>IF(H253="IC","OUI",IF(H253="HC","OUI",IF(H253="HR","NON","A_CONTROLER")))</f>
        <v/>
      </c>
      <c r="J253">
        <f>IF(H253="IC","OUI",IF(H253="HC","NON",IF(H253="HR","NON","A_CONTROLER")))</f>
        <v/>
      </c>
      <c r="AD253">
        <f>IF(A253="","",TEXT(B253,"YYYYMMDD")&amp;"|"&amp;TEXT(D253,"0.00")&amp;"|"&amp;F253&amp;"|"&amp;M253)</f>
        <v/>
      </c>
    </row>
    <row r="254">
      <c r="C254">
        <f>IF(B254="","",TEXT(B254,"YYYY-MM"))</f>
        <v/>
      </c>
      <c r="I254">
        <f>IF(H254="IC","OUI",IF(H254="HC","OUI",IF(H254="HR","NON","A_CONTROLER")))</f>
        <v/>
      </c>
      <c r="J254">
        <f>IF(H254="IC","OUI",IF(H254="HC","NON",IF(H254="HR","NON","A_CONTROLER")))</f>
        <v/>
      </c>
      <c r="AD254">
        <f>IF(A254="","",TEXT(B254,"YYYYMMDD")&amp;"|"&amp;TEXT(D254,"0.00")&amp;"|"&amp;F254&amp;"|"&amp;M254)</f>
        <v/>
      </c>
    </row>
    <row r="255">
      <c r="C255">
        <f>IF(B255="","",TEXT(B255,"YYYY-MM"))</f>
        <v/>
      </c>
      <c r="I255">
        <f>IF(H255="IC","OUI",IF(H255="HC","OUI",IF(H255="HR","NON","A_CONTROLER")))</f>
        <v/>
      </c>
      <c r="J255">
        <f>IF(H255="IC","OUI",IF(H255="HC","NON",IF(H255="HR","NON","A_CONTROLER")))</f>
        <v/>
      </c>
      <c r="AD255">
        <f>IF(A255="","",TEXT(B255,"YYYYMMDD")&amp;"|"&amp;TEXT(D255,"0.00")&amp;"|"&amp;F255&amp;"|"&amp;M255)</f>
        <v/>
      </c>
    </row>
    <row r="256">
      <c r="C256">
        <f>IF(B256="","",TEXT(B256,"YYYY-MM"))</f>
        <v/>
      </c>
      <c r="I256">
        <f>IF(H256="IC","OUI",IF(H256="HC","OUI",IF(H256="HR","NON","A_CONTROLER")))</f>
        <v/>
      </c>
      <c r="J256">
        <f>IF(H256="IC","OUI",IF(H256="HC","NON",IF(H256="HR","NON","A_CONTROLER")))</f>
        <v/>
      </c>
      <c r="AD256">
        <f>IF(A256="","",TEXT(B256,"YYYYMMDD")&amp;"|"&amp;TEXT(D256,"0.00")&amp;"|"&amp;F256&amp;"|"&amp;M256)</f>
        <v/>
      </c>
    </row>
    <row r="257">
      <c r="C257">
        <f>IF(B257="","",TEXT(B257,"YYYY-MM"))</f>
        <v/>
      </c>
      <c r="I257">
        <f>IF(H257="IC","OUI",IF(H257="HC","OUI",IF(H257="HR","NON","A_CONTROLER")))</f>
        <v/>
      </c>
      <c r="J257">
        <f>IF(H257="IC","OUI",IF(H257="HC","NON",IF(H257="HR","NON","A_CONTROLER")))</f>
        <v/>
      </c>
      <c r="AD257">
        <f>IF(A257="","",TEXT(B257,"YYYYMMDD")&amp;"|"&amp;TEXT(D257,"0.00")&amp;"|"&amp;F257&amp;"|"&amp;M257)</f>
        <v/>
      </c>
    </row>
    <row r="258">
      <c r="C258">
        <f>IF(B258="","",TEXT(B258,"YYYY-MM"))</f>
        <v/>
      </c>
      <c r="I258">
        <f>IF(H258="IC","OUI",IF(H258="HC","OUI",IF(H258="HR","NON","A_CONTROLER")))</f>
        <v/>
      </c>
      <c r="J258">
        <f>IF(H258="IC","OUI",IF(H258="HC","NON",IF(H258="HR","NON","A_CONTROLER")))</f>
        <v/>
      </c>
      <c r="AD258">
        <f>IF(A258="","",TEXT(B258,"YYYYMMDD")&amp;"|"&amp;TEXT(D258,"0.00")&amp;"|"&amp;F258&amp;"|"&amp;M258)</f>
        <v/>
      </c>
    </row>
    <row r="259">
      <c r="C259">
        <f>IF(B259="","",TEXT(B259,"YYYY-MM"))</f>
        <v/>
      </c>
      <c r="I259">
        <f>IF(H259="IC","OUI",IF(H259="HC","OUI",IF(H259="HR","NON","A_CONTROLER")))</f>
        <v/>
      </c>
      <c r="J259">
        <f>IF(H259="IC","OUI",IF(H259="HC","NON",IF(H259="HR","NON","A_CONTROLER")))</f>
        <v/>
      </c>
      <c r="AD259">
        <f>IF(A259="","",TEXT(B259,"YYYYMMDD")&amp;"|"&amp;TEXT(D259,"0.00")&amp;"|"&amp;F259&amp;"|"&amp;M259)</f>
        <v/>
      </c>
    </row>
    <row r="260">
      <c r="C260">
        <f>IF(B260="","",TEXT(B260,"YYYY-MM"))</f>
        <v/>
      </c>
      <c r="I260">
        <f>IF(H260="IC","OUI",IF(H260="HC","OUI",IF(H260="HR","NON","A_CONTROLER")))</f>
        <v/>
      </c>
      <c r="J260">
        <f>IF(H260="IC","OUI",IF(H260="HC","NON",IF(H260="HR","NON","A_CONTROLER")))</f>
        <v/>
      </c>
      <c r="AD260">
        <f>IF(A260="","",TEXT(B260,"YYYYMMDD")&amp;"|"&amp;TEXT(D260,"0.00")&amp;"|"&amp;F260&amp;"|"&amp;M260)</f>
        <v/>
      </c>
    </row>
    <row r="261">
      <c r="C261">
        <f>IF(B261="","",TEXT(B261,"YYYY-MM"))</f>
        <v/>
      </c>
      <c r="I261">
        <f>IF(H261="IC","OUI",IF(H261="HC","OUI",IF(H261="HR","NON","A_CONTROLER")))</f>
        <v/>
      </c>
      <c r="J261">
        <f>IF(H261="IC","OUI",IF(H261="HC","NON",IF(H261="HR","NON","A_CONTROLER")))</f>
        <v/>
      </c>
      <c r="AD261">
        <f>IF(A261="","",TEXT(B261,"YYYYMMDD")&amp;"|"&amp;TEXT(D261,"0.00")&amp;"|"&amp;F261&amp;"|"&amp;M261)</f>
        <v/>
      </c>
    </row>
    <row r="262">
      <c r="C262">
        <f>IF(B262="","",TEXT(B262,"YYYY-MM"))</f>
        <v/>
      </c>
      <c r="I262">
        <f>IF(H262="IC","OUI",IF(H262="HC","OUI",IF(H262="HR","NON","A_CONTROLER")))</f>
        <v/>
      </c>
      <c r="J262">
        <f>IF(H262="IC","OUI",IF(H262="HC","NON",IF(H262="HR","NON","A_CONTROLER")))</f>
        <v/>
      </c>
      <c r="AD262">
        <f>IF(A262="","",TEXT(B262,"YYYYMMDD")&amp;"|"&amp;TEXT(D262,"0.00")&amp;"|"&amp;F262&amp;"|"&amp;M262)</f>
        <v/>
      </c>
    </row>
    <row r="263">
      <c r="C263">
        <f>IF(B263="","",TEXT(B263,"YYYY-MM"))</f>
        <v/>
      </c>
      <c r="I263">
        <f>IF(H263="IC","OUI",IF(H263="HC","OUI",IF(H263="HR","NON","A_CONTROLER")))</f>
        <v/>
      </c>
      <c r="J263">
        <f>IF(H263="IC","OUI",IF(H263="HC","NON",IF(H263="HR","NON","A_CONTROLER")))</f>
        <v/>
      </c>
      <c r="AD263">
        <f>IF(A263="","",TEXT(B263,"YYYYMMDD")&amp;"|"&amp;TEXT(D263,"0.00")&amp;"|"&amp;F263&amp;"|"&amp;M263)</f>
        <v/>
      </c>
    </row>
    <row r="264">
      <c r="C264">
        <f>IF(B264="","",TEXT(B264,"YYYY-MM"))</f>
        <v/>
      </c>
      <c r="I264">
        <f>IF(H264="IC","OUI",IF(H264="HC","OUI",IF(H264="HR","NON","A_CONTROLER")))</f>
        <v/>
      </c>
      <c r="J264">
        <f>IF(H264="IC","OUI",IF(H264="HC","NON",IF(H264="HR","NON","A_CONTROLER")))</f>
        <v/>
      </c>
      <c r="AD264">
        <f>IF(A264="","",TEXT(B264,"YYYYMMDD")&amp;"|"&amp;TEXT(D264,"0.00")&amp;"|"&amp;F264&amp;"|"&amp;M264)</f>
        <v/>
      </c>
    </row>
    <row r="265">
      <c r="C265">
        <f>IF(B265="","",TEXT(B265,"YYYY-MM"))</f>
        <v/>
      </c>
      <c r="I265">
        <f>IF(H265="IC","OUI",IF(H265="HC","OUI",IF(H265="HR","NON","A_CONTROLER")))</f>
        <v/>
      </c>
      <c r="J265">
        <f>IF(H265="IC","OUI",IF(H265="HC","NON",IF(H265="HR","NON","A_CONTROLER")))</f>
        <v/>
      </c>
      <c r="AD265">
        <f>IF(A265="","",TEXT(B265,"YYYYMMDD")&amp;"|"&amp;TEXT(D265,"0.00")&amp;"|"&amp;F265&amp;"|"&amp;M265)</f>
        <v/>
      </c>
    </row>
    <row r="266">
      <c r="C266">
        <f>IF(B266="","",TEXT(B266,"YYYY-MM"))</f>
        <v/>
      </c>
      <c r="I266">
        <f>IF(H266="IC","OUI",IF(H266="HC","OUI",IF(H266="HR","NON","A_CONTROLER")))</f>
        <v/>
      </c>
      <c r="J266">
        <f>IF(H266="IC","OUI",IF(H266="HC","NON",IF(H266="HR","NON","A_CONTROLER")))</f>
        <v/>
      </c>
      <c r="AD266">
        <f>IF(A266="","",TEXT(B266,"YYYYMMDD")&amp;"|"&amp;TEXT(D266,"0.00")&amp;"|"&amp;F266&amp;"|"&amp;M266)</f>
        <v/>
      </c>
    </row>
    <row r="267">
      <c r="C267">
        <f>IF(B267="","",TEXT(B267,"YYYY-MM"))</f>
        <v/>
      </c>
      <c r="I267">
        <f>IF(H267="IC","OUI",IF(H267="HC","OUI",IF(H267="HR","NON","A_CONTROLER")))</f>
        <v/>
      </c>
      <c r="J267">
        <f>IF(H267="IC","OUI",IF(H267="HC","NON",IF(H267="HR","NON","A_CONTROLER")))</f>
        <v/>
      </c>
      <c r="AD267">
        <f>IF(A267="","",TEXT(B267,"YYYYMMDD")&amp;"|"&amp;TEXT(D267,"0.00")&amp;"|"&amp;F267&amp;"|"&amp;M267)</f>
        <v/>
      </c>
    </row>
    <row r="268">
      <c r="C268">
        <f>IF(B268="","",TEXT(B268,"YYYY-MM"))</f>
        <v/>
      </c>
      <c r="I268">
        <f>IF(H268="IC","OUI",IF(H268="HC","OUI",IF(H268="HR","NON","A_CONTROLER")))</f>
        <v/>
      </c>
      <c r="J268">
        <f>IF(H268="IC","OUI",IF(H268="HC","NON",IF(H268="HR","NON","A_CONTROLER")))</f>
        <v/>
      </c>
      <c r="AD268">
        <f>IF(A268="","",TEXT(B268,"YYYYMMDD")&amp;"|"&amp;TEXT(D268,"0.00")&amp;"|"&amp;F268&amp;"|"&amp;M268)</f>
        <v/>
      </c>
    </row>
    <row r="269">
      <c r="C269">
        <f>IF(B269="","",TEXT(B269,"YYYY-MM"))</f>
        <v/>
      </c>
      <c r="I269">
        <f>IF(H269="IC","OUI",IF(H269="HC","OUI",IF(H269="HR","NON","A_CONTROLER")))</f>
        <v/>
      </c>
      <c r="J269">
        <f>IF(H269="IC","OUI",IF(H269="HC","NON",IF(H269="HR","NON","A_CONTROLER")))</f>
        <v/>
      </c>
      <c r="AD269">
        <f>IF(A269="","",TEXT(B269,"YYYYMMDD")&amp;"|"&amp;TEXT(D269,"0.00")&amp;"|"&amp;F269&amp;"|"&amp;M269)</f>
        <v/>
      </c>
    </row>
    <row r="270">
      <c r="C270">
        <f>IF(B270="","",TEXT(B270,"YYYY-MM"))</f>
        <v/>
      </c>
      <c r="I270">
        <f>IF(H270="IC","OUI",IF(H270="HC","OUI",IF(H270="HR","NON","A_CONTROLER")))</f>
        <v/>
      </c>
      <c r="J270">
        <f>IF(H270="IC","OUI",IF(H270="HC","NON",IF(H270="HR","NON","A_CONTROLER")))</f>
        <v/>
      </c>
      <c r="AD270">
        <f>IF(A270="","",TEXT(B270,"YYYYMMDD")&amp;"|"&amp;TEXT(D270,"0.00")&amp;"|"&amp;F270&amp;"|"&amp;M270)</f>
        <v/>
      </c>
    </row>
    <row r="271">
      <c r="C271">
        <f>IF(B271="","",TEXT(B271,"YYYY-MM"))</f>
        <v/>
      </c>
      <c r="I271">
        <f>IF(H271="IC","OUI",IF(H271="HC","OUI",IF(H271="HR","NON","A_CONTROLER")))</f>
        <v/>
      </c>
      <c r="J271">
        <f>IF(H271="IC","OUI",IF(H271="HC","NON",IF(H271="HR","NON","A_CONTROLER")))</f>
        <v/>
      </c>
      <c r="AD271">
        <f>IF(A271="","",TEXT(B271,"YYYYMMDD")&amp;"|"&amp;TEXT(D271,"0.00")&amp;"|"&amp;F271&amp;"|"&amp;M271)</f>
        <v/>
      </c>
    </row>
    <row r="272">
      <c r="C272">
        <f>IF(B272="","",TEXT(B272,"YYYY-MM"))</f>
        <v/>
      </c>
      <c r="I272">
        <f>IF(H272="IC","OUI",IF(H272="HC","OUI",IF(H272="HR","NON","A_CONTROLER")))</f>
        <v/>
      </c>
      <c r="J272">
        <f>IF(H272="IC","OUI",IF(H272="HC","NON",IF(H272="HR","NON","A_CONTROLER")))</f>
        <v/>
      </c>
      <c r="AD272">
        <f>IF(A272="","",TEXT(B272,"YYYYMMDD")&amp;"|"&amp;TEXT(D272,"0.00")&amp;"|"&amp;F272&amp;"|"&amp;M272)</f>
        <v/>
      </c>
    </row>
    <row r="273">
      <c r="C273">
        <f>IF(B273="","",TEXT(B273,"YYYY-MM"))</f>
        <v/>
      </c>
      <c r="I273">
        <f>IF(H273="IC","OUI",IF(H273="HC","OUI",IF(H273="HR","NON","A_CONTROLER")))</f>
        <v/>
      </c>
      <c r="J273">
        <f>IF(H273="IC","OUI",IF(H273="HC","NON",IF(H273="HR","NON","A_CONTROLER")))</f>
        <v/>
      </c>
      <c r="AD273">
        <f>IF(A273="","",TEXT(B273,"YYYYMMDD")&amp;"|"&amp;TEXT(D273,"0.00")&amp;"|"&amp;F273&amp;"|"&amp;M273)</f>
        <v/>
      </c>
    </row>
    <row r="274">
      <c r="C274">
        <f>IF(B274="","",TEXT(B274,"YYYY-MM"))</f>
        <v/>
      </c>
      <c r="I274">
        <f>IF(H274="IC","OUI",IF(H274="HC","OUI",IF(H274="HR","NON","A_CONTROLER")))</f>
        <v/>
      </c>
      <c r="J274">
        <f>IF(H274="IC","OUI",IF(H274="HC","NON",IF(H274="HR","NON","A_CONTROLER")))</f>
        <v/>
      </c>
      <c r="AD274">
        <f>IF(A274="","",TEXT(B274,"YYYYMMDD")&amp;"|"&amp;TEXT(D274,"0.00")&amp;"|"&amp;F274&amp;"|"&amp;M274)</f>
        <v/>
      </c>
    </row>
    <row r="275">
      <c r="C275">
        <f>IF(B275="","",TEXT(B275,"YYYY-MM"))</f>
        <v/>
      </c>
      <c r="I275">
        <f>IF(H275="IC","OUI",IF(H275="HC","OUI",IF(H275="HR","NON","A_CONTROLER")))</f>
        <v/>
      </c>
      <c r="J275">
        <f>IF(H275="IC","OUI",IF(H275="HC","NON",IF(H275="HR","NON","A_CONTROLER")))</f>
        <v/>
      </c>
      <c r="AD275">
        <f>IF(A275="","",TEXT(B275,"YYYYMMDD")&amp;"|"&amp;TEXT(D275,"0.00")&amp;"|"&amp;F275&amp;"|"&amp;M275)</f>
        <v/>
      </c>
    </row>
    <row r="276">
      <c r="C276">
        <f>IF(B276="","",TEXT(B276,"YYYY-MM"))</f>
        <v/>
      </c>
      <c r="I276">
        <f>IF(H276="IC","OUI",IF(H276="HC","OUI",IF(H276="HR","NON","A_CONTROLER")))</f>
        <v/>
      </c>
      <c r="J276">
        <f>IF(H276="IC","OUI",IF(H276="HC","NON",IF(H276="HR","NON","A_CONTROLER")))</f>
        <v/>
      </c>
      <c r="AD276">
        <f>IF(A276="","",TEXT(B276,"YYYYMMDD")&amp;"|"&amp;TEXT(D276,"0.00")&amp;"|"&amp;F276&amp;"|"&amp;M276)</f>
        <v/>
      </c>
    </row>
    <row r="277">
      <c r="C277">
        <f>IF(B277="","",TEXT(B277,"YYYY-MM"))</f>
        <v/>
      </c>
      <c r="I277">
        <f>IF(H277="IC","OUI",IF(H277="HC","OUI",IF(H277="HR","NON","A_CONTROLER")))</f>
        <v/>
      </c>
      <c r="J277">
        <f>IF(H277="IC","OUI",IF(H277="HC","NON",IF(H277="HR","NON","A_CONTROLER")))</f>
        <v/>
      </c>
      <c r="AD277">
        <f>IF(A277="","",TEXT(B277,"YYYYMMDD")&amp;"|"&amp;TEXT(D277,"0.00")&amp;"|"&amp;F277&amp;"|"&amp;M277)</f>
        <v/>
      </c>
    </row>
    <row r="278">
      <c r="C278">
        <f>IF(B278="","",TEXT(B278,"YYYY-MM"))</f>
        <v/>
      </c>
      <c r="I278">
        <f>IF(H278="IC","OUI",IF(H278="HC","OUI",IF(H278="HR","NON","A_CONTROLER")))</f>
        <v/>
      </c>
      <c r="J278">
        <f>IF(H278="IC","OUI",IF(H278="HC","NON",IF(H278="HR","NON","A_CONTROLER")))</f>
        <v/>
      </c>
      <c r="AD278">
        <f>IF(A278="","",TEXT(B278,"YYYYMMDD")&amp;"|"&amp;TEXT(D278,"0.00")&amp;"|"&amp;F278&amp;"|"&amp;M278)</f>
        <v/>
      </c>
    </row>
    <row r="279">
      <c r="C279">
        <f>IF(B279="","",TEXT(B279,"YYYY-MM"))</f>
        <v/>
      </c>
      <c r="I279">
        <f>IF(H279="IC","OUI",IF(H279="HC","OUI",IF(H279="HR","NON","A_CONTROLER")))</f>
        <v/>
      </c>
      <c r="J279">
        <f>IF(H279="IC","OUI",IF(H279="HC","NON",IF(H279="HR","NON","A_CONTROLER")))</f>
        <v/>
      </c>
      <c r="AD279">
        <f>IF(A279="","",TEXT(B279,"YYYYMMDD")&amp;"|"&amp;TEXT(D279,"0.00")&amp;"|"&amp;F279&amp;"|"&amp;M279)</f>
        <v/>
      </c>
    </row>
    <row r="280">
      <c r="C280">
        <f>IF(B280="","",TEXT(B280,"YYYY-MM"))</f>
        <v/>
      </c>
      <c r="I280">
        <f>IF(H280="IC","OUI",IF(H280="HC","OUI",IF(H280="HR","NON","A_CONTROLER")))</f>
        <v/>
      </c>
      <c r="J280">
        <f>IF(H280="IC","OUI",IF(H280="HC","NON",IF(H280="HR","NON","A_CONTROLER")))</f>
        <v/>
      </c>
      <c r="AD280">
        <f>IF(A280="","",TEXT(B280,"YYYYMMDD")&amp;"|"&amp;TEXT(D280,"0.00")&amp;"|"&amp;F280&amp;"|"&amp;M280)</f>
        <v/>
      </c>
    </row>
    <row r="281">
      <c r="C281">
        <f>IF(B281="","",TEXT(B281,"YYYY-MM"))</f>
        <v/>
      </c>
      <c r="I281">
        <f>IF(H281="IC","OUI",IF(H281="HC","OUI",IF(H281="HR","NON","A_CONTROLER")))</f>
        <v/>
      </c>
      <c r="J281">
        <f>IF(H281="IC","OUI",IF(H281="HC","NON",IF(H281="HR","NON","A_CONTROLER")))</f>
        <v/>
      </c>
      <c r="AD281">
        <f>IF(A281="","",TEXT(B281,"YYYYMMDD")&amp;"|"&amp;TEXT(D281,"0.00")&amp;"|"&amp;F281&amp;"|"&amp;M281)</f>
        <v/>
      </c>
    </row>
    <row r="282">
      <c r="C282">
        <f>IF(B282="","",TEXT(B282,"YYYY-MM"))</f>
        <v/>
      </c>
      <c r="I282">
        <f>IF(H282="IC","OUI",IF(H282="HC","OUI",IF(H282="HR","NON","A_CONTROLER")))</f>
        <v/>
      </c>
      <c r="J282">
        <f>IF(H282="IC","OUI",IF(H282="HC","NON",IF(H282="HR","NON","A_CONTROLER")))</f>
        <v/>
      </c>
      <c r="AD282">
        <f>IF(A282="","",TEXT(B282,"YYYYMMDD")&amp;"|"&amp;TEXT(D282,"0.00")&amp;"|"&amp;F282&amp;"|"&amp;M282)</f>
        <v/>
      </c>
    </row>
    <row r="283">
      <c r="C283">
        <f>IF(B283="","",TEXT(B283,"YYYY-MM"))</f>
        <v/>
      </c>
      <c r="I283">
        <f>IF(H283="IC","OUI",IF(H283="HC","OUI",IF(H283="HR","NON","A_CONTROLER")))</f>
        <v/>
      </c>
      <c r="J283">
        <f>IF(H283="IC","OUI",IF(H283="HC","NON",IF(H283="HR","NON","A_CONTROLER")))</f>
        <v/>
      </c>
      <c r="AD283">
        <f>IF(A283="","",TEXT(B283,"YYYYMMDD")&amp;"|"&amp;TEXT(D283,"0.00")&amp;"|"&amp;F283&amp;"|"&amp;M283)</f>
        <v/>
      </c>
    </row>
    <row r="284">
      <c r="C284">
        <f>IF(B284="","",TEXT(B284,"YYYY-MM"))</f>
        <v/>
      </c>
      <c r="I284">
        <f>IF(H284="IC","OUI",IF(H284="HC","OUI",IF(H284="HR","NON","A_CONTROLER")))</f>
        <v/>
      </c>
      <c r="J284">
        <f>IF(H284="IC","OUI",IF(H284="HC","NON",IF(H284="HR","NON","A_CONTROLER")))</f>
        <v/>
      </c>
      <c r="AD284">
        <f>IF(A284="","",TEXT(B284,"YYYYMMDD")&amp;"|"&amp;TEXT(D284,"0.00")&amp;"|"&amp;F284&amp;"|"&amp;M284)</f>
        <v/>
      </c>
    </row>
    <row r="285">
      <c r="C285">
        <f>IF(B285="","",TEXT(B285,"YYYY-MM"))</f>
        <v/>
      </c>
      <c r="I285">
        <f>IF(H285="IC","OUI",IF(H285="HC","OUI",IF(H285="HR","NON","A_CONTROLER")))</f>
        <v/>
      </c>
      <c r="J285">
        <f>IF(H285="IC","OUI",IF(H285="HC","NON",IF(H285="HR","NON","A_CONTROLER")))</f>
        <v/>
      </c>
      <c r="AD285">
        <f>IF(A285="","",TEXT(B285,"YYYYMMDD")&amp;"|"&amp;TEXT(D285,"0.00")&amp;"|"&amp;F285&amp;"|"&amp;M285)</f>
        <v/>
      </c>
    </row>
    <row r="286">
      <c r="C286">
        <f>IF(B286="","",TEXT(B286,"YYYY-MM"))</f>
        <v/>
      </c>
      <c r="I286">
        <f>IF(H286="IC","OUI",IF(H286="HC","OUI",IF(H286="HR","NON","A_CONTROLER")))</f>
        <v/>
      </c>
      <c r="J286">
        <f>IF(H286="IC","OUI",IF(H286="HC","NON",IF(H286="HR","NON","A_CONTROLER")))</f>
        <v/>
      </c>
      <c r="AD286">
        <f>IF(A286="","",TEXT(B286,"YYYYMMDD")&amp;"|"&amp;TEXT(D286,"0.00")&amp;"|"&amp;F286&amp;"|"&amp;M286)</f>
        <v/>
      </c>
    </row>
    <row r="287">
      <c r="C287">
        <f>IF(B287="","",TEXT(B287,"YYYY-MM"))</f>
        <v/>
      </c>
      <c r="I287">
        <f>IF(H287="IC","OUI",IF(H287="HC","OUI",IF(H287="HR","NON","A_CONTROLER")))</f>
        <v/>
      </c>
      <c r="J287">
        <f>IF(H287="IC","OUI",IF(H287="HC","NON",IF(H287="HR","NON","A_CONTROLER")))</f>
        <v/>
      </c>
      <c r="AD287">
        <f>IF(A287="","",TEXT(B287,"YYYYMMDD")&amp;"|"&amp;TEXT(D287,"0.00")&amp;"|"&amp;F287&amp;"|"&amp;M287)</f>
        <v/>
      </c>
    </row>
    <row r="288">
      <c r="C288">
        <f>IF(B288="","",TEXT(B288,"YYYY-MM"))</f>
        <v/>
      </c>
      <c r="I288">
        <f>IF(H288="IC","OUI",IF(H288="HC","OUI",IF(H288="HR","NON","A_CONTROLER")))</f>
        <v/>
      </c>
      <c r="J288">
        <f>IF(H288="IC","OUI",IF(H288="HC","NON",IF(H288="HR","NON","A_CONTROLER")))</f>
        <v/>
      </c>
      <c r="AD288">
        <f>IF(A288="","",TEXT(B288,"YYYYMMDD")&amp;"|"&amp;TEXT(D288,"0.00")&amp;"|"&amp;F288&amp;"|"&amp;M288)</f>
        <v/>
      </c>
    </row>
    <row r="289">
      <c r="C289">
        <f>IF(B289="","",TEXT(B289,"YYYY-MM"))</f>
        <v/>
      </c>
      <c r="I289">
        <f>IF(H289="IC","OUI",IF(H289="HC","OUI",IF(H289="HR","NON","A_CONTROLER")))</f>
        <v/>
      </c>
      <c r="J289">
        <f>IF(H289="IC","OUI",IF(H289="HC","NON",IF(H289="HR","NON","A_CONTROLER")))</f>
        <v/>
      </c>
      <c r="AD289">
        <f>IF(A289="","",TEXT(B289,"YYYYMMDD")&amp;"|"&amp;TEXT(D289,"0.00")&amp;"|"&amp;F289&amp;"|"&amp;M289)</f>
        <v/>
      </c>
    </row>
    <row r="290">
      <c r="C290">
        <f>IF(B290="","",TEXT(B290,"YYYY-MM"))</f>
        <v/>
      </c>
      <c r="I290">
        <f>IF(H290="IC","OUI",IF(H290="HC","OUI",IF(H290="HR","NON","A_CONTROLER")))</f>
        <v/>
      </c>
      <c r="J290">
        <f>IF(H290="IC","OUI",IF(H290="HC","NON",IF(H290="HR","NON","A_CONTROLER")))</f>
        <v/>
      </c>
      <c r="AD290">
        <f>IF(A290="","",TEXT(B290,"YYYYMMDD")&amp;"|"&amp;TEXT(D290,"0.00")&amp;"|"&amp;F290&amp;"|"&amp;M290)</f>
        <v/>
      </c>
    </row>
    <row r="291">
      <c r="C291">
        <f>IF(B291="","",TEXT(B291,"YYYY-MM"))</f>
        <v/>
      </c>
      <c r="I291">
        <f>IF(H291="IC","OUI",IF(H291="HC","OUI",IF(H291="HR","NON","A_CONTROLER")))</f>
        <v/>
      </c>
      <c r="J291">
        <f>IF(H291="IC","OUI",IF(H291="HC","NON",IF(H291="HR","NON","A_CONTROLER")))</f>
        <v/>
      </c>
      <c r="AD291">
        <f>IF(A291="","",TEXT(B291,"YYYYMMDD")&amp;"|"&amp;TEXT(D291,"0.00")&amp;"|"&amp;F291&amp;"|"&amp;M291)</f>
        <v/>
      </c>
    </row>
    <row r="292">
      <c r="C292">
        <f>IF(B292="","",TEXT(B292,"YYYY-MM"))</f>
        <v/>
      </c>
      <c r="I292">
        <f>IF(H292="IC","OUI",IF(H292="HC","OUI",IF(H292="HR","NON","A_CONTROLER")))</f>
        <v/>
      </c>
      <c r="J292">
        <f>IF(H292="IC","OUI",IF(H292="HC","NON",IF(H292="HR","NON","A_CONTROLER")))</f>
        <v/>
      </c>
      <c r="AD292">
        <f>IF(A292="","",TEXT(B292,"YYYYMMDD")&amp;"|"&amp;TEXT(D292,"0.00")&amp;"|"&amp;F292&amp;"|"&amp;M292)</f>
        <v/>
      </c>
    </row>
    <row r="293">
      <c r="C293">
        <f>IF(B293="","",TEXT(B293,"YYYY-MM"))</f>
        <v/>
      </c>
      <c r="I293">
        <f>IF(H293="IC","OUI",IF(H293="HC","OUI",IF(H293="HR","NON","A_CONTROLER")))</f>
        <v/>
      </c>
      <c r="J293">
        <f>IF(H293="IC","OUI",IF(H293="HC","NON",IF(H293="HR","NON","A_CONTROLER")))</f>
        <v/>
      </c>
      <c r="AD293">
        <f>IF(A293="","",TEXT(B293,"YYYYMMDD")&amp;"|"&amp;TEXT(D293,"0.00")&amp;"|"&amp;F293&amp;"|"&amp;M293)</f>
        <v/>
      </c>
    </row>
    <row r="294">
      <c r="C294">
        <f>IF(B294="","",TEXT(B294,"YYYY-MM"))</f>
        <v/>
      </c>
      <c r="I294">
        <f>IF(H294="IC","OUI",IF(H294="HC","OUI",IF(H294="HR","NON","A_CONTROLER")))</f>
        <v/>
      </c>
      <c r="J294">
        <f>IF(H294="IC","OUI",IF(H294="HC","NON",IF(H294="HR","NON","A_CONTROLER")))</f>
        <v/>
      </c>
      <c r="AD294">
        <f>IF(A294="","",TEXT(B294,"YYYYMMDD")&amp;"|"&amp;TEXT(D294,"0.00")&amp;"|"&amp;F294&amp;"|"&amp;M294)</f>
        <v/>
      </c>
    </row>
    <row r="295">
      <c r="C295">
        <f>IF(B295="","",TEXT(B295,"YYYY-MM"))</f>
        <v/>
      </c>
      <c r="I295">
        <f>IF(H295="IC","OUI",IF(H295="HC","OUI",IF(H295="HR","NON","A_CONTROLER")))</f>
        <v/>
      </c>
      <c r="J295">
        <f>IF(H295="IC","OUI",IF(H295="HC","NON",IF(H295="HR","NON","A_CONTROLER")))</f>
        <v/>
      </c>
      <c r="AD295">
        <f>IF(A295="","",TEXT(B295,"YYYYMMDD")&amp;"|"&amp;TEXT(D295,"0.00")&amp;"|"&amp;F295&amp;"|"&amp;M295)</f>
        <v/>
      </c>
    </row>
    <row r="296">
      <c r="C296">
        <f>IF(B296="","",TEXT(B296,"YYYY-MM"))</f>
        <v/>
      </c>
      <c r="I296">
        <f>IF(H296="IC","OUI",IF(H296="HC","OUI",IF(H296="HR","NON","A_CONTROLER")))</f>
        <v/>
      </c>
      <c r="J296">
        <f>IF(H296="IC","OUI",IF(H296="HC","NON",IF(H296="HR","NON","A_CONTROLER")))</f>
        <v/>
      </c>
      <c r="AD296">
        <f>IF(A296="","",TEXT(B296,"YYYYMMDD")&amp;"|"&amp;TEXT(D296,"0.00")&amp;"|"&amp;F296&amp;"|"&amp;M296)</f>
        <v/>
      </c>
    </row>
    <row r="297">
      <c r="C297">
        <f>IF(B297="","",TEXT(B297,"YYYY-MM"))</f>
        <v/>
      </c>
      <c r="I297">
        <f>IF(H297="IC","OUI",IF(H297="HC","OUI",IF(H297="HR","NON","A_CONTROLER")))</f>
        <v/>
      </c>
      <c r="J297">
        <f>IF(H297="IC","OUI",IF(H297="HC","NON",IF(H297="HR","NON","A_CONTROLER")))</f>
        <v/>
      </c>
      <c r="AD297">
        <f>IF(A297="","",TEXT(B297,"YYYYMMDD")&amp;"|"&amp;TEXT(D297,"0.00")&amp;"|"&amp;F297&amp;"|"&amp;M297)</f>
        <v/>
      </c>
    </row>
    <row r="298">
      <c r="C298">
        <f>IF(B298="","",TEXT(B298,"YYYY-MM"))</f>
        <v/>
      </c>
      <c r="I298">
        <f>IF(H298="IC","OUI",IF(H298="HC","OUI",IF(H298="HR","NON","A_CONTROLER")))</f>
        <v/>
      </c>
      <c r="J298">
        <f>IF(H298="IC","OUI",IF(H298="HC","NON",IF(H298="HR","NON","A_CONTROLER")))</f>
        <v/>
      </c>
      <c r="AD298">
        <f>IF(A298="","",TEXT(B298,"YYYYMMDD")&amp;"|"&amp;TEXT(D298,"0.00")&amp;"|"&amp;F298&amp;"|"&amp;M298)</f>
        <v/>
      </c>
    </row>
    <row r="299">
      <c r="C299">
        <f>IF(B299="","",TEXT(B299,"YYYY-MM"))</f>
        <v/>
      </c>
      <c r="I299">
        <f>IF(H299="IC","OUI",IF(H299="HC","OUI",IF(H299="HR","NON","A_CONTROLER")))</f>
        <v/>
      </c>
      <c r="J299">
        <f>IF(H299="IC","OUI",IF(H299="HC","NON",IF(H299="HR","NON","A_CONTROLER")))</f>
        <v/>
      </c>
      <c r="AD299">
        <f>IF(A299="","",TEXT(B299,"YYYYMMDD")&amp;"|"&amp;TEXT(D299,"0.00")&amp;"|"&amp;F299&amp;"|"&amp;M299)</f>
        <v/>
      </c>
    </row>
    <row r="300">
      <c r="C300">
        <f>IF(B300="","",TEXT(B300,"YYYY-MM"))</f>
        <v/>
      </c>
      <c r="I300">
        <f>IF(H300="IC","OUI",IF(H300="HC","OUI",IF(H300="HR","NON","A_CONTROLER")))</f>
        <v/>
      </c>
      <c r="J300">
        <f>IF(H300="IC","OUI",IF(H300="HC","NON",IF(H300="HR","NON","A_CONTROLER")))</f>
        <v/>
      </c>
      <c r="AD300">
        <f>IF(A300="","",TEXT(B300,"YYYYMMDD")&amp;"|"&amp;TEXT(D300,"0.00")&amp;"|"&amp;F300&amp;"|"&amp;M300)</f>
        <v/>
      </c>
    </row>
    <row r="301">
      <c r="C301">
        <f>IF(B301="","",TEXT(B301,"YYYY-MM"))</f>
        <v/>
      </c>
      <c r="I301">
        <f>IF(H301="IC","OUI",IF(H301="HC","OUI",IF(H301="HR","NON","A_CONTROLER")))</f>
        <v/>
      </c>
      <c r="J301">
        <f>IF(H301="IC","OUI",IF(H301="HC","NON",IF(H301="HR","NON","A_CONTROLER")))</f>
        <v/>
      </c>
      <c r="AD301">
        <f>IF(A301="","",TEXT(B301,"YYYYMMDD")&amp;"|"&amp;TEXT(D301,"0.00")&amp;"|"&amp;F301&amp;"|"&amp;M301)</f>
        <v/>
      </c>
    </row>
    <row r="302">
      <c r="C302">
        <f>IF(B302="","",TEXT(B302,"YYYY-MM"))</f>
        <v/>
      </c>
      <c r="I302">
        <f>IF(H302="IC","OUI",IF(H302="HC","OUI",IF(H302="HR","NON","A_CONTROLER")))</f>
        <v/>
      </c>
      <c r="J302">
        <f>IF(H302="IC","OUI",IF(H302="HC","NON",IF(H302="HR","NON","A_CONTROLER")))</f>
        <v/>
      </c>
      <c r="AD302">
        <f>IF(A302="","",TEXT(B302,"YYYYMMDD")&amp;"|"&amp;TEXT(D302,"0.00")&amp;"|"&amp;F302&amp;"|"&amp;M302)</f>
        <v/>
      </c>
    </row>
    <row r="303">
      <c r="C303">
        <f>IF(B303="","",TEXT(B303,"YYYY-MM"))</f>
        <v/>
      </c>
      <c r="I303">
        <f>IF(H303="IC","OUI",IF(H303="HC","OUI",IF(H303="HR","NON","A_CONTROLER")))</f>
        <v/>
      </c>
      <c r="J303">
        <f>IF(H303="IC","OUI",IF(H303="HC","NON",IF(H303="HR","NON","A_CONTROLER")))</f>
        <v/>
      </c>
      <c r="AD303">
        <f>IF(A303="","",TEXT(B303,"YYYYMMDD")&amp;"|"&amp;TEXT(D303,"0.00")&amp;"|"&amp;F303&amp;"|"&amp;M303)</f>
        <v/>
      </c>
    </row>
    <row r="304">
      <c r="C304">
        <f>IF(B304="","",TEXT(B304,"YYYY-MM"))</f>
        <v/>
      </c>
      <c r="I304">
        <f>IF(H304="IC","OUI",IF(H304="HC","OUI",IF(H304="HR","NON","A_CONTROLER")))</f>
        <v/>
      </c>
      <c r="J304">
        <f>IF(H304="IC","OUI",IF(H304="HC","NON",IF(H304="HR","NON","A_CONTROLER")))</f>
        <v/>
      </c>
      <c r="AD304">
        <f>IF(A304="","",TEXT(B304,"YYYYMMDD")&amp;"|"&amp;TEXT(D304,"0.00")&amp;"|"&amp;F304&amp;"|"&amp;M304)</f>
        <v/>
      </c>
    </row>
    <row r="305">
      <c r="C305">
        <f>IF(B305="","",TEXT(B305,"YYYY-MM"))</f>
        <v/>
      </c>
      <c r="I305">
        <f>IF(H305="IC","OUI",IF(H305="HC","OUI",IF(H305="HR","NON","A_CONTROLER")))</f>
        <v/>
      </c>
      <c r="J305">
        <f>IF(H305="IC","OUI",IF(H305="HC","NON",IF(H305="HR","NON","A_CONTROLER")))</f>
        <v/>
      </c>
      <c r="AD305">
        <f>IF(A305="","",TEXT(B305,"YYYYMMDD")&amp;"|"&amp;TEXT(D305,"0.00")&amp;"|"&amp;F305&amp;"|"&amp;M305)</f>
        <v/>
      </c>
    </row>
    <row r="306">
      <c r="C306">
        <f>IF(B306="","",TEXT(B306,"YYYY-MM"))</f>
        <v/>
      </c>
      <c r="I306">
        <f>IF(H306="IC","OUI",IF(H306="HC","OUI",IF(H306="HR","NON","A_CONTROLER")))</f>
        <v/>
      </c>
      <c r="J306">
        <f>IF(H306="IC","OUI",IF(H306="HC","NON",IF(H306="HR","NON","A_CONTROLER")))</f>
        <v/>
      </c>
      <c r="AD306">
        <f>IF(A306="","",TEXT(B306,"YYYYMMDD")&amp;"|"&amp;TEXT(D306,"0.00")&amp;"|"&amp;F306&amp;"|"&amp;M306)</f>
        <v/>
      </c>
    </row>
    <row r="307">
      <c r="C307">
        <f>IF(B307="","",TEXT(B307,"YYYY-MM"))</f>
        <v/>
      </c>
      <c r="I307">
        <f>IF(H307="IC","OUI",IF(H307="HC","OUI",IF(H307="HR","NON","A_CONTROLER")))</f>
        <v/>
      </c>
      <c r="J307">
        <f>IF(H307="IC","OUI",IF(H307="HC","NON",IF(H307="HR","NON","A_CONTROLER")))</f>
        <v/>
      </c>
      <c r="AD307">
        <f>IF(A307="","",TEXT(B307,"YYYYMMDD")&amp;"|"&amp;TEXT(D307,"0.00")&amp;"|"&amp;F307&amp;"|"&amp;M307)</f>
        <v/>
      </c>
    </row>
    <row r="308">
      <c r="C308">
        <f>IF(B308="","",TEXT(B308,"YYYY-MM"))</f>
        <v/>
      </c>
      <c r="I308">
        <f>IF(H308="IC","OUI",IF(H308="HC","OUI",IF(H308="HR","NON","A_CONTROLER")))</f>
        <v/>
      </c>
      <c r="J308">
        <f>IF(H308="IC","OUI",IF(H308="HC","NON",IF(H308="HR","NON","A_CONTROLER")))</f>
        <v/>
      </c>
      <c r="AD308">
        <f>IF(A308="","",TEXT(B308,"YYYYMMDD")&amp;"|"&amp;TEXT(D308,"0.00")&amp;"|"&amp;F308&amp;"|"&amp;M308)</f>
        <v/>
      </c>
    </row>
    <row r="309">
      <c r="C309">
        <f>IF(B309="","",TEXT(B309,"YYYY-MM"))</f>
        <v/>
      </c>
      <c r="I309">
        <f>IF(H309="IC","OUI",IF(H309="HC","OUI",IF(H309="HR","NON","A_CONTROLER")))</f>
        <v/>
      </c>
      <c r="J309">
        <f>IF(H309="IC","OUI",IF(H309="HC","NON",IF(H309="HR","NON","A_CONTROLER")))</f>
        <v/>
      </c>
      <c r="AD309">
        <f>IF(A309="","",TEXT(B309,"YYYYMMDD")&amp;"|"&amp;TEXT(D309,"0.00")&amp;"|"&amp;F309&amp;"|"&amp;M309)</f>
        <v/>
      </c>
    </row>
    <row r="310">
      <c r="C310">
        <f>IF(B310="","",TEXT(B310,"YYYY-MM"))</f>
        <v/>
      </c>
      <c r="I310">
        <f>IF(H310="IC","OUI",IF(H310="HC","OUI",IF(H310="HR","NON","A_CONTROLER")))</f>
        <v/>
      </c>
      <c r="J310">
        <f>IF(H310="IC","OUI",IF(H310="HC","NON",IF(H310="HR","NON","A_CONTROLER")))</f>
        <v/>
      </c>
      <c r="AD310">
        <f>IF(A310="","",TEXT(B310,"YYYYMMDD")&amp;"|"&amp;TEXT(D310,"0.00")&amp;"|"&amp;F310&amp;"|"&amp;M310)</f>
        <v/>
      </c>
    </row>
    <row r="311">
      <c r="C311">
        <f>IF(B311="","",TEXT(B311,"YYYY-MM"))</f>
        <v/>
      </c>
      <c r="I311">
        <f>IF(H311="IC","OUI",IF(H311="HC","OUI",IF(H311="HR","NON","A_CONTROLER")))</f>
        <v/>
      </c>
      <c r="J311">
        <f>IF(H311="IC","OUI",IF(H311="HC","NON",IF(H311="HR","NON","A_CONTROLER")))</f>
        <v/>
      </c>
      <c r="AD311">
        <f>IF(A311="","",TEXT(B311,"YYYYMMDD")&amp;"|"&amp;TEXT(D311,"0.00")&amp;"|"&amp;F311&amp;"|"&amp;M311)</f>
        <v/>
      </c>
    </row>
    <row r="312">
      <c r="C312">
        <f>IF(B312="","",TEXT(B312,"YYYY-MM"))</f>
        <v/>
      </c>
      <c r="I312">
        <f>IF(H312="IC","OUI",IF(H312="HC","OUI",IF(H312="HR","NON","A_CONTROLER")))</f>
        <v/>
      </c>
      <c r="J312">
        <f>IF(H312="IC","OUI",IF(H312="HC","NON",IF(H312="HR","NON","A_CONTROLER")))</f>
        <v/>
      </c>
      <c r="AD312">
        <f>IF(A312="","",TEXT(B312,"YYYYMMDD")&amp;"|"&amp;TEXT(D312,"0.00")&amp;"|"&amp;F312&amp;"|"&amp;M312)</f>
        <v/>
      </c>
    </row>
    <row r="313">
      <c r="C313">
        <f>IF(B313="","",TEXT(B313,"YYYY-MM"))</f>
        <v/>
      </c>
      <c r="I313">
        <f>IF(H313="IC","OUI",IF(H313="HC","OUI",IF(H313="HR","NON","A_CONTROLER")))</f>
        <v/>
      </c>
      <c r="J313">
        <f>IF(H313="IC","OUI",IF(H313="HC","NON",IF(H313="HR","NON","A_CONTROLER")))</f>
        <v/>
      </c>
      <c r="AD313">
        <f>IF(A313="","",TEXT(B313,"YYYYMMDD")&amp;"|"&amp;TEXT(D313,"0.00")&amp;"|"&amp;F313&amp;"|"&amp;M313)</f>
        <v/>
      </c>
    </row>
    <row r="314">
      <c r="C314">
        <f>IF(B314="","",TEXT(B314,"YYYY-MM"))</f>
        <v/>
      </c>
      <c r="I314">
        <f>IF(H314="IC","OUI",IF(H314="HC","OUI",IF(H314="HR","NON","A_CONTROLER")))</f>
        <v/>
      </c>
      <c r="J314">
        <f>IF(H314="IC","OUI",IF(H314="HC","NON",IF(H314="HR","NON","A_CONTROLER")))</f>
        <v/>
      </c>
      <c r="AD314">
        <f>IF(A314="","",TEXT(B314,"YYYYMMDD")&amp;"|"&amp;TEXT(D314,"0.00")&amp;"|"&amp;F314&amp;"|"&amp;M314)</f>
        <v/>
      </c>
    </row>
    <row r="315">
      <c r="C315">
        <f>IF(B315="","",TEXT(B315,"YYYY-MM"))</f>
        <v/>
      </c>
      <c r="I315">
        <f>IF(H315="IC","OUI",IF(H315="HC","OUI",IF(H315="HR","NON","A_CONTROLER")))</f>
        <v/>
      </c>
      <c r="J315">
        <f>IF(H315="IC","OUI",IF(H315="HC","NON",IF(H315="HR","NON","A_CONTROLER")))</f>
        <v/>
      </c>
      <c r="AD315">
        <f>IF(A315="","",TEXT(B315,"YYYYMMDD")&amp;"|"&amp;TEXT(D315,"0.00")&amp;"|"&amp;F315&amp;"|"&amp;M315)</f>
        <v/>
      </c>
    </row>
    <row r="316">
      <c r="C316">
        <f>IF(B316="","",TEXT(B316,"YYYY-MM"))</f>
        <v/>
      </c>
      <c r="I316">
        <f>IF(H316="IC","OUI",IF(H316="HC","OUI",IF(H316="HR","NON","A_CONTROLER")))</f>
        <v/>
      </c>
      <c r="J316">
        <f>IF(H316="IC","OUI",IF(H316="HC","NON",IF(H316="HR","NON","A_CONTROLER")))</f>
        <v/>
      </c>
      <c r="AD316">
        <f>IF(A316="","",TEXT(B316,"YYYYMMDD")&amp;"|"&amp;TEXT(D316,"0.00")&amp;"|"&amp;F316&amp;"|"&amp;M316)</f>
        <v/>
      </c>
    </row>
    <row r="317">
      <c r="C317">
        <f>IF(B317="","",TEXT(B317,"YYYY-MM"))</f>
        <v/>
      </c>
      <c r="I317">
        <f>IF(H317="IC","OUI",IF(H317="HC","OUI",IF(H317="HR","NON","A_CONTROLER")))</f>
        <v/>
      </c>
      <c r="J317">
        <f>IF(H317="IC","OUI",IF(H317="HC","NON",IF(H317="HR","NON","A_CONTROLER")))</f>
        <v/>
      </c>
      <c r="AD317">
        <f>IF(A317="","",TEXT(B317,"YYYYMMDD")&amp;"|"&amp;TEXT(D317,"0.00")&amp;"|"&amp;F317&amp;"|"&amp;M317)</f>
        <v/>
      </c>
    </row>
    <row r="318">
      <c r="C318">
        <f>IF(B318="","",TEXT(B318,"YYYY-MM"))</f>
        <v/>
      </c>
      <c r="I318">
        <f>IF(H318="IC","OUI",IF(H318="HC","OUI",IF(H318="HR","NON","A_CONTROLER")))</f>
        <v/>
      </c>
      <c r="J318">
        <f>IF(H318="IC","OUI",IF(H318="HC","NON",IF(H318="HR","NON","A_CONTROLER")))</f>
        <v/>
      </c>
      <c r="AD318">
        <f>IF(A318="","",TEXT(B318,"YYYYMMDD")&amp;"|"&amp;TEXT(D318,"0.00")&amp;"|"&amp;F318&amp;"|"&amp;M318)</f>
        <v/>
      </c>
    </row>
    <row r="319">
      <c r="C319">
        <f>IF(B319="","",TEXT(B319,"YYYY-MM"))</f>
        <v/>
      </c>
      <c r="I319">
        <f>IF(H319="IC","OUI",IF(H319="HC","OUI",IF(H319="HR","NON","A_CONTROLER")))</f>
        <v/>
      </c>
      <c r="J319">
        <f>IF(H319="IC","OUI",IF(H319="HC","NON",IF(H319="HR","NON","A_CONTROLER")))</f>
        <v/>
      </c>
      <c r="AD319">
        <f>IF(A319="","",TEXT(B319,"YYYYMMDD")&amp;"|"&amp;TEXT(D319,"0.00")&amp;"|"&amp;F319&amp;"|"&amp;M319)</f>
        <v/>
      </c>
    </row>
    <row r="320">
      <c r="C320">
        <f>IF(B320="","",TEXT(B320,"YYYY-MM"))</f>
        <v/>
      </c>
      <c r="I320">
        <f>IF(H320="IC","OUI",IF(H320="HC","OUI",IF(H320="HR","NON","A_CONTROLER")))</f>
        <v/>
      </c>
      <c r="J320">
        <f>IF(H320="IC","OUI",IF(H320="HC","NON",IF(H320="HR","NON","A_CONTROLER")))</f>
        <v/>
      </c>
      <c r="AD320">
        <f>IF(A320="","",TEXT(B320,"YYYYMMDD")&amp;"|"&amp;TEXT(D320,"0.00")&amp;"|"&amp;F320&amp;"|"&amp;M320)</f>
        <v/>
      </c>
    </row>
    <row r="321">
      <c r="C321">
        <f>IF(B321="","",TEXT(B321,"YYYY-MM"))</f>
        <v/>
      </c>
      <c r="I321">
        <f>IF(H321="IC","OUI",IF(H321="HC","OUI",IF(H321="HR","NON","A_CONTROLER")))</f>
        <v/>
      </c>
      <c r="J321">
        <f>IF(H321="IC","OUI",IF(H321="HC","NON",IF(H321="HR","NON","A_CONTROLER")))</f>
        <v/>
      </c>
      <c r="AD321">
        <f>IF(A321="","",TEXT(B321,"YYYYMMDD")&amp;"|"&amp;TEXT(D321,"0.00")&amp;"|"&amp;F321&amp;"|"&amp;M321)</f>
        <v/>
      </c>
    </row>
    <row r="322">
      <c r="C322">
        <f>IF(B322="","",TEXT(B322,"YYYY-MM"))</f>
        <v/>
      </c>
      <c r="I322">
        <f>IF(H322="IC","OUI",IF(H322="HC","OUI",IF(H322="HR","NON","A_CONTROLER")))</f>
        <v/>
      </c>
      <c r="J322">
        <f>IF(H322="IC","OUI",IF(H322="HC","NON",IF(H322="HR","NON","A_CONTROLER")))</f>
        <v/>
      </c>
      <c r="AD322">
        <f>IF(A322="","",TEXT(B322,"YYYYMMDD")&amp;"|"&amp;TEXT(D322,"0.00")&amp;"|"&amp;F322&amp;"|"&amp;M322)</f>
        <v/>
      </c>
    </row>
    <row r="323">
      <c r="C323">
        <f>IF(B323="","",TEXT(B323,"YYYY-MM"))</f>
        <v/>
      </c>
      <c r="I323">
        <f>IF(H323="IC","OUI",IF(H323="HC","OUI",IF(H323="HR","NON","A_CONTROLER")))</f>
        <v/>
      </c>
      <c r="J323">
        <f>IF(H323="IC","OUI",IF(H323="HC","NON",IF(H323="HR","NON","A_CONTROLER")))</f>
        <v/>
      </c>
      <c r="AD323">
        <f>IF(A323="","",TEXT(B323,"YYYYMMDD")&amp;"|"&amp;TEXT(D323,"0.00")&amp;"|"&amp;F323&amp;"|"&amp;M323)</f>
        <v/>
      </c>
    </row>
    <row r="324">
      <c r="C324">
        <f>IF(B324="","",TEXT(B324,"YYYY-MM"))</f>
        <v/>
      </c>
      <c r="I324">
        <f>IF(H324="IC","OUI",IF(H324="HC","OUI",IF(H324="HR","NON","A_CONTROLER")))</f>
        <v/>
      </c>
      <c r="J324">
        <f>IF(H324="IC","OUI",IF(H324="HC","NON",IF(H324="HR","NON","A_CONTROLER")))</f>
        <v/>
      </c>
      <c r="AD324">
        <f>IF(A324="","",TEXT(B324,"YYYYMMDD")&amp;"|"&amp;TEXT(D324,"0.00")&amp;"|"&amp;F324&amp;"|"&amp;M324)</f>
        <v/>
      </c>
    </row>
    <row r="325">
      <c r="C325">
        <f>IF(B325="","",TEXT(B325,"YYYY-MM"))</f>
        <v/>
      </c>
      <c r="I325">
        <f>IF(H325="IC","OUI",IF(H325="HC","OUI",IF(H325="HR","NON","A_CONTROLER")))</f>
        <v/>
      </c>
      <c r="J325">
        <f>IF(H325="IC","OUI",IF(H325="HC","NON",IF(H325="HR","NON","A_CONTROLER")))</f>
        <v/>
      </c>
      <c r="AD325">
        <f>IF(A325="","",TEXT(B325,"YYYYMMDD")&amp;"|"&amp;TEXT(D325,"0.00")&amp;"|"&amp;F325&amp;"|"&amp;M325)</f>
        <v/>
      </c>
    </row>
    <row r="326">
      <c r="C326">
        <f>IF(B326="","",TEXT(B326,"YYYY-MM"))</f>
        <v/>
      </c>
      <c r="I326">
        <f>IF(H326="IC","OUI",IF(H326="HC","OUI",IF(H326="HR","NON","A_CONTROLER")))</f>
        <v/>
      </c>
      <c r="J326">
        <f>IF(H326="IC","OUI",IF(H326="HC","NON",IF(H326="HR","NON","A_CONTROLER")))</f>
        <v/>
      </c>
      <c r="AD326">
        <f>IF(A326="","",TEXT(B326,"YYYYMMDD")&amp;"|"&amp;TEXT(D326,"0.00")&amp;"|"&amp;F326&amp;"|"&amp;M326)</f>
        <v/>
      </c>
    </row>
    <row r="327">
      <c r="C327">
        <f>IF(B327="","",TEXT(B327,"YYYY-MM"))</f>
        <v/>
      </c>
      <c r="I327">
        <f>IF(H327="IC","OUI",IF(H327="HC","OUI",IF(H327="HR","NON","A_CONTROLER")))</f>
        <v/>
      </c>
      <c r="J327">
        <f>IF(H327="IC","OUI",IF(H327="HC","NON",IF(H327="HR","NON","A_CONTROLER")))</f>
        <v/>
      </c>
      <c r="AD327">
        <f>IF(A327="","",TEXT(B327,"YYYYMMDD")&amp;"|"&amp;TEXT(D327,"0.00")&amp;"|"&amp;F327&amp;"|"&amp;M327)</f>
        <v/>
      </c>
    </row>
    <row r="328">
      <c r="C328">
        <f>IF(B328="","",TEXT(B328,"YYYY-MM"))</f>
        <v/>
      </c>
      <c r="I328">
        <f>IF(H328="IC","OUI",IF(H328="HC","OUI",IF(H328="HR","NON","A_CONTROLER")))</f>
        <v/>
      </c>
      <c r="J328">
        <f>IF(H328="IC","OUI",IF(H328="HC","NON",IF(H328="HR","NON","A_CONTROLER")))</f>
        <v/>
      </c>
      <c r="AD328">
        <f>IF(A328="","",TEXT(B328,"YYYYMMDD")&amp;"|"&amp;TEXT(D328,"0.00")&amp;"|"&amp;F328&amp;"|"&amp;M328)</f>
        <v/>
      </c>
    </row>
    <row r="329">
      <c r="C329">
        <f>IF(B329="","",TEXT(B329,"YYYY-MM"))</f>
        <v/>
      </c>
      <c r="I329">
        <f>IF(H329="IC","OUI",IF(H329="HC","OUI",IF(H329="HR","NON","A_CONTROLER")))</f>
        <v/>
      </c>
      <c r="J329">
        <f>IF(H329="IC","OUI",IF(H329="HC","NON",IF(H329="HR","NON","A_CONTROLER")))</f>
        <v/>
      </c>
      <c r="AD329">
        <f>IF(A329="","",TEXT(B329,"YYYYMMDD")&amp;"|"&amp;TEXT(D329,"0.00")&amp;"|"&amp;F329&amp;"|"&amp;M329)</f>
        <v/>
      </c>
    </row>
    <row r="330">
      <c r="C330">
        <f>IF(B330="","",TEXT(B330,"YYYY-MM"))</f>
        <v/>
      </c>
      <c r="I330">
        <f>IF(H330="IC","OUI",IF(H330="HC","OUI",IF(H330="HR","NON","A_CONTROLER")))</f>
        <v/>
      </c>
      <c r="J330">
        <f>IF(H330="IC","OUI",IF(H330="HC","NON",IF(H330="HR","NON","A_CONTROLER")))</f>
        <v/>
      </c>
      <c r="AD330">
        <f>IF(A330="","",TEXT(B330,"YYYYMMDD")&amp;"|"&amp;TEXT(D330,"0.00")&amp;"|"&amp;F330&amp;"|"&amp;M330)</f>
        <v/>
      </c>
    </row>
    <row r="331">
      <c r="C331">
        <f>IF(B331="","",TEXT(B331,"YYYY-MM"))</f>
        <v/>
      </c>
      <c r="I331">
        <f>IF(H331="IC","OUI",IF(H331="HC","OUI",IF(H331="HR","NON","A_CONTROLER")))</f>
        <v/>
      </c>
      <c r="J331">
        <f>IF(H331="IC","OUI",IF(H331="HC","NON",IF(H331="HR","NON","A_CONTROLER")))</f>
        <v/>
      </c>
      <c r="AD331">
        <f>IF(A331="","",TEXT(B331,"YYYYMMDD")&amp;"|"&amp;TEXT(D331,"0.00")&amp;"|"&amp;F331&amp;"|"&amp;M331)</f>
        <v/>
      </c>
    </row>
    <row r="332">
      <c r="C332">
        <f>IF(B332="","",TEXT(B332,"YYYY-MM"))</f>
        <v/>
      </c>
      <c r="I332">
        <f>IF(H332="IC","OUI",IF(H332="HC","OUI",IF(H332="HR","NON","A_CONTROLER")))</f>
        <v/>
      </c>
      <c r="J332">
        <f>IF(H332="IC","OUI",IF(H332="HC","NON",IF(H332="HR","NON","A_CONTROLER")))</f>
        <v/>
      </c>
      <c r="AD332">
        <f>IF(A332="","",TEXT(B332,"YYYYMMDD")&amp;"|"&amp;TEXT(D332,"0.00")&amp;"|"&amp;F332&amp;"|"&amp;M332)</f>
        <v/>
      </c>
    </row>
    <row r="333">
      <c r="C333">
        <f>IF(B333="","",TEXT(B333,"YYYY-MM"))</f>
        <v/>
      </c>
      <c r="I333">
        <f>IF(H333="IC","OUI",IF(H333="HC","OUI",IF(H333="HR","NON","A_CONTROLER")))</f>
        <v/>
      </c>
      <c r="J333">
        <f>IF(H333="IC","OUI",IF(H333="HC","NON",IF(H333="HR","NON","A_CONTROLER")))</f>
        <v/>
      </c>
      <c r="AD333">
        <f>IF(A333="","",TEXT(B333,"YYYYMMDD")&amp;"|"&amp;TEXT(D333,"0.00")&amp;"|"&amp;F333&amp;"|"&amp;M333)</f>
        <v/>
      </c>
    </row>
    <row r="334">
      <c r="C334">
        <f>IF(B334="","",TEXT(B334,"YYYY-MM"))</f>
        <v/>
      </c>
      <c r="I334">
        <f>IF(H334="IC","OUI",IF(H334="HC","OUI",IF(H334="HR","NON","A_CONTROLER")))</f>
        <v/>
      </c>
      <c r="J334">
        <f>IF(H334="IC","OUI",IF(H334="HC","NON",IF(H334="HR","NON","A_CONTROLER")))</f>
        <v/>
      </c>
      <c r="AD334">
        <f>IF(A334="","",TEXT(B334,"YYYYMMDD")&amp;"|"&amp;TEXT(D334,"0.00")&amp;"|"&amp;F334&amp;"|"&amp;M334)</f>
        <v/>
      </c>
    </row>
    <row r="335">
      <c r="C335">
        <f>IF(B335="","",TEXT(B335,"YYYY-MM"))</f>
        <v/>
      </c>
      <c r="I335">
        <f>IF(H335="IC","OUI",IF(H335="HC","OUI",IF(H335="HR","NON","A_CONTROLER")))</f>
        <v/>
      </c>
      <c r="J335">
        <f>IF(H335="IC","OUI",IF(H335="HC","NON",IF(H335="HR","NON","A_CONTROLER")))</f>
        <v/>
      </c>
      <c r="AD335">
        <f>IF(A335="","",TEXT(B335,"YYYYMMDD")&amp;"|"&amp;TEXT(D335,"0.00")&amp;"|"&amp;F335&amp;"|"&amp;M335)</f>
        <v/>
      </c>
    </row>
    <row r="336">
      <c r="C336">
        <f>IF(B336="","",TEXT(B336,"YYYY-MM"))</f>
        <v/>
      </c>
      <c r="I336">
        <f>IF(H336="IC","OUI",IF(H336="HC","OUI",IF(H336="HR","NON","A_CONTROLER")))</f>
        <v/>
      </c>
      <c r="J336">
        <f>IF(H336="IC","OUI",IF(H336="HC","NON",IF(H336="HR","NON","A_CONTROLER")))</f>
        <v/>
      </c>
      <c r="AD336">
        <f>IF(A336="","",TEXT(B336,"YYYYMMDD")&amp;"|"&amp;TEXT(D336,"0.00")&amp;"|"&amp;F336&amp;"|"&amp;M336)</f>
        <v/>
      </c>
    </row>
    <row r="337">
      <c r="C337">
        <f>IF(B337="","",TEXT(B337,"YYYY-MM"))</f>
        <v/>
      </c>
      <c r="I337">
        <f>IF(H337="IC","OUI",IF(H337="HC","OUI",IF(H337="HR","NON","A_CONTROLER")))</f>
        <v/>
      </c>
      <c r="J337">
        <f>IF(H337="IC","OUI",IF(H337="HC","NON",IF(H337="HR","NON","A_CONTROLER")))</f>
        <v/>
      </c>
      <c r="AD337">
        <f>IF(A337="","",TEXT(B337,"YYYYMMDD")&amp;"|"&amp;TEXT(D337,"0.00")&amp;"|"&amp;F337&amp;"|"&amp;M337)</f>
        <v/>
      </c>
    </row>
    <row r="338">
      <c r="C338">
        <f>IF(B338="","",TEXT(B338,"YYYY-MM"))</f>
        <v/>
      </c>
      <c r="I338">
        <f>IF(H338="IC","OUI",IF(H338="HC","OUI",IF(H338="HR","NON","A_CONTROLER")))</f>
        <v/>
      </c>
      <c r="J338">
        <f>IF(H338="IC","OUI",IF(H338="HC","NON",IF(H338="HR","NON","A_CONTROLER")))</f>
        <v/>
      </c>
      <c r="AD338">
        <f>IF(A338="","",TEXT(B338,"YYYYMMDD")&amp;"|"&amp;TEXT(D338,"0.00")&amp;"|"&amp;F338&amp;"|"&amp;M338)</f>
        <v/>
      </c>
    </row>
    <row r="339">
      <c r="C339">
        <f>IF(B339="","",TEXT(B339,"YYYY-MM"))</f>
        <v/>
      </c>
      <c r="I339">
        <f>IF(H339="IC","OUI",IF(H339="HC","OUI",IF(H339="HR","NON","A_CONTROLER")))</f>
        <v/>
      </c>
      <c r="J339">
        <f>IF(H339="IC","OUI",IF(H339="HC","NON",IF(H339="HR","NON","A_CONTROLER")))</f>
        <v/>
      </c>
      <c r="AD339">
        <f>IF(A339="","",TEXT(B339,"YYYYMMDD")&amp;"|"&amp;TEXT(D339,"0.00")&amp;"|"&amp;F339&amp;"|"&amp;M339)</f>
        <v/>
      </c>
    </row>
    <row r="340">
      <c r="C340">
        <f>IF(B340="","",TEXT(B340,"YYYY-MM"))</f>
        <v/>
      </c>
      <c r="I340">
        <f>IF(H340="IC","OUI",IF(H340="HC","OUI",IF(H340="HR","NON","A_CONTROLER")))</f>
        <v/>
      </c>
      <c r="J340">
        <f>IF(H340="IC","OUI",IF(H340="HC","NON",IF(H340="HR","NON","A_CONTROLER")))</f>
        <v/>
      </c>
      <c r="AD340">
        <f>IF(A340="","",TEXT(B340,"YYYYMMDD")&amp;"|"&amp;TEXT(D340,"0.00")&amp;"|"&amp;F340&amp;"|"&amp;M340)</f>
        <v/>
      </c>
    </row>
    <row r="341">
      <c r="C341">
        <f>IF(B341="","",TEXT(B341,"YYYY-MM"))</f>
        <v/>
      </c>
      <c r="I341">
        <f>IF(H341="IC","OUI",IF(H341="HC","OUI",IF(H341="HR","NON","A_CONTROLER")))</f>
        <v/>
      </c>
      <c r="J341">
        <f>IF(H341="IC","OUI",IF(H341="HC","NON",IF(H341="HR","NON","A_CONTROLER")))</f>
        <v/>
      </c>
      <c r="AD341">
        <f>IF(A341="","",TEXT(B341,"YYYYMMDD")&amp;"|"&amp;TEXT(D341,"0.00")&amp;"|"&amp;F341&amp;"|"&amp;M341)</f>
        <v/>
      </c>
    </row>
    <row r="342">
      <c r="C342">
        <f>IF(B342="","",TEXT(B342,"YYYY-MM"))</f>
        <v/>
      </c>
      <c r="I342">
        <f>IF(H342="IC","OUI",IF(H342="HC","OUI",IF(H342="HR","NON","A_CONTROLER")))</f>
        <v/>
      </c>
      <c r="J342">
        <f>IF(H342="IC","OUI",IF(H342="HC","NON",IF(H342="HR","NON","A_CONTROLER")))</f>
        <v/>
      </c>
      <c r="AD342">
        <f>IF(A342="","",TEXT(B342,"YYYYMMDD")&amp;"|"&amp;TEXT(D342,"0.00")&amp;"|"&amp;F342&amp;"|"&amp;M342)</f>
        <v/>
      </c>
    </row>
    <row r="343">
      <c r="C343">
        <f>IF(B343="","",TEXT(B343,"YYYY-MM"))</f>
        <v/>
      </c>
      <c r="I343">
        <f>IF(H343="IC","OUI",IF(H343="HC","OUI",IF(H343="HR","NON","A_CONTROLER")))</f>
        <v/>
      </c>
      <c r="J343">
        <f>IF(H343="IC","OUI",IF(H343="HC","NON",IF(H343="HR","NON","A_CONTROLER")))</f>
        <v/>
      </c>
      <c r="AD343">
        <f>IF(A343="","",TEXT(B343,"YYYYMMDD")&amp;"|"&amp;TEXT(D343,"0.00")&amp;"|"&amp;F343&amp;"|"&amp;M343)</f>
        <v/>
      </c>
    </row>
    <row r="344">
      <c r="C344">
        <f>IF(B344="","",TEXT(B344,"YYYY-MM"))</f>
        <v/>
      </c>
      <c r="I344">
        <f>IF(H344="IC","OUI",IF(H344="HC","OUI",IF(H344="HR","NON","A_CONTROLER")))</f>
        <v/>
      </c>
      <c r="J344">
        <f>IF(H344="IC","OUI",IF(H344="HC","NON",IF(H344="HR","NON","A_CONTROLER")))</f>
        <v/>
      </c>
      <c r="AD344">
        <f>IF(A344="","",TEXT(B344,"YYYYMMDD")&amp;"|"&amp;TEXT(D344,"0.00")&amp;"|"&amp;F344&amp;"|"&amp;M344)</f>
        <v/>
      </c>
    </row>
    <row r="345">
      <c r="C345">
        <f>IF(B345="","",TEXT(B345,"YYYY-MM"))</f>
        <v/>
      </c>
      <c r="I345">
        <f>IF(H345="IC","OUI",IF(H345="HC","OUI",IF(H345="HR","NON","A_CONTROLER")))</f>
        <v/>
      </c>
      <c r="J345">
        <f>IF(H345="IC","OUI",IF(H345="HC","NON",IF(H345="HR","NON","A_CONTROLER")))</f>
        <v/>
      </c>
      <c r="AD345">
        <f>IF(A345="","",TEXT(B345,"YYYYMMDD")&amp;"|"&amp;TEXT(D345,"0.00")&amp;"|"&amp;F345&amp;"|"&amp;M345)</f>
        <v/>
      </c>
    </row>
    <row r="346">
      <c r="C346">
        <f>IF(B346="","",TEXT(B346,"YYYY-MM"))</f>
        <v/>
      </c>
      <c r="I346">
        <f>IF(H346="IC","OUI",IF(H346="HC","OUI",IF(H346="HR","NON","A_CONTROLER")))</f>
        <v/>
      </c>
      <c r="J346">
        <f>IF(H346="IC","OUI",IF(H346="HC","NON",IF(H346="HR","NON","A_CONTROLER")))</f>
        <v/>
      </c>
      <c r="AD346">
        <f>IF(A346="","",TEXT(B346,"YYYYMMDD")&amp;"|"&amp;TEXT(D346,"0.00")&amp;"|"&amp;F346&amp;"|"&amp;M346)</f>
        <v/>
      </c>
    </row>
    <row r="347">
      <c r="C347">
        <f>IF(B347="","",TEXT(B347,"YYYY-MM"))</f>
        <v/>
      </c>
      <c r="I347">
        <f>IF(H347="IC","OUI",IF(H347="HC","OUI",IF(H347="HR","NON","A_CONTROLER")))</f>
        <v/>
      </c>
      <c r="J347">
        <f>IF(H347="IC","OUI",IF(H347="HC","NON",IF(H347="HR","NON","A_CONTROLER")))</f>
        <v/>
      </c>
      <c r="AD347">
        <f>IF(A347="","",TEXT(B347,"YYYYMMDD")&amp;"|"&amp;TEXT(D347,"0.00")&amp;"|"&amp;F347&amp;"|"&amp;M347)</f>
        <v/>
      </c>
    </row>
    <row r="348">
      <c r="C348">
        <f>IF(B348="","",TEXT(B348,"YYYY-MM"))</f>
        <v/>
      </c>
      <c r="I348">
        <f>IF(H348="IC","OUI",IF(H348="HC","OUI",IF(H348="HR","NON","A_CONTROLER")))</f>
        <v/>
      </c>
      <c r="J348">
        <f>IF(H348="IC","OUI",IF(H348="HC","NON",IF(H348="HR","NON","A_CONTROLER")))</f>
        <v/>
      </c>
      <c r="AD348">
        <f>IF(A348="","",TEXT(B348,"YYYYMMDD")&amp;"|"&amp;TEXT(D348,"0.00")&amp;"|"&amp;F348&amp;"|"&amp;M348)</f>
        <v/>
      </c>
    </row>
    <row r="349">
      <c r="C349">
        <f>IF(B349="","",TEXT(B349,"YYYY-MM"))</f>
        <v/>
      </c>
      <c r="I349">
        <f>IF(H349="IC","OUI",IF(H349="HC","OUI",IF(H349="HR","NON","A_CONTROLER")))</f>
        <v/>
      </c>
      <c r="J349">
        <f>IF(H349="IC","OUI",IF(H349="HC","NON",IF(H349="HR","NON","A_CONTROLER")))</f>
        <v/>
      </c>
      <c r="AD349">
        <f>IF(A349="","",TEXT(B349,"YYYYMMDD")&amp;"|"&amp;TEXT(D349,"0.00")&amp;"|"&amp;F349&amp;"|"&amp;M349)</f>
        <v/>
      </c>
    </row>
    <row r="350">
      <c r="C350">
        <f>IF(B350="","",TEXT(B350,"YYYY-MM"))</f>
        <v/>
      </c>
      <c r="I350">
        <f>IF(H350="IC","OUI",IF(H350="HC","OUI",IF(H350="HR","NON","A_CONTROLER")))</f>
        <v/>
      </c>
      <c r="J350">
        <f>IF(H350="IC","OUI",IF(H350="HC","NON",IF(H350="HR","NON","A_CONTROLER")))</f>
        <v/>
      </c>
      <c r="AD350">
        <f>IF(A350="","",TEXT(B350,"YYYYMMDD")&amp;"|"&amp;TEXT(D350,"0.00")&amp;"|"&amp;F350&amp;"|"&amp;M350)</f>
        <v/>
      </c>
    </row>
    <row r="351">
      <c r="C351">
        <f>IF(B351="","",TEXT(B351,"YYYY-MM"))</f>
        <v/>
      </c>
      <c r="I351">
        <f>IF(H351="IC","OUI",IF(H351="HC","OUI",IF(H351="HR","NON","A_CONTROLER")))</f>
        <v/>
      </c>
      <c r="J351">
        <f>IF(H351="IC","OUI",IF(H351="HC","NON",IF(H351="HR","NON","A_CONTROLER")))</f>
        <v/>
      </c>
      <c r="AD351">
        <f>IF(A351="","",TEXT(B351,"YYYYMMDD")&amp;"|"&amp;TEXT(D351,"0.00")&amp;"|"&amp;F351&amp;"|"&amp;M351)</f>
        <v/>
      </c>
    </row>
    <row r="352">
      <c r="C352">
        <f>IF(B352="","",TEXT(B352,"YYYY-MM"))</f>
        <v/>
      </c>
      <c r="I352">
        <f>IF(H352="IC","OUI",IF(H352="HC","OUI",IF(H352="HR","NON","A_CONTROLER")))</f>
        <v/>
      </c>
      <c r="J352">
        <f>IF(H352="IC","OUI",IF(H352="HC","NON",IF(H352="HR","NON","A_CONTROLER")))</f>
        <v/>
      </c>
      <c r="AD352">
        <f>IF(A352="","",TEXT(B352,"YYYYMMDD")&amp;"|"&amp;TEXT(D352,"0.00")&amp;"|"&amp;F352&amp;"|"&amp;M352)</f>
        <v/>
      </c>
    </row>
    <row r="353">
      <c r="C353">
        <f>IF(B353="","",TEXT(B353,"YYYY-MM"))</f>
        <v/>
      </c>
      <c r="I353">
        <f>IF(H353="IC","OUI",IF(H353="HC","OUI",IF(H353="HR","NON","A_CONTROLER")))</f>
        <v/>
      </c>
      <c r="J353">
        <f>IF(H353="IC","OUI",IF(H353="HC","NON",IF(H353="HR","NON","A_CONTROLER")))</f>
        <v/>
      </c>
      <c r="AD353">
        <f>IF(A353="","",TEXT(B353,"YYYYMMDD")&amp;"|"&amp;TEXT(D353,"0.00")&amp;"|"&amp;F353&amp;"|"&amp;M353)</f>
        <v/>
      </c>
    </row>
    <row r="354">
      <c r="C354">
        <f>IF(B354="","",TEXT(B354,"YYYY-MM"))</f>
        <v/>
      </c>
      <c r="I354">
        <f>IF(H354="IC","OUI",IF(H354="HC","OUI",IF(H354="HR","NON","A_CONTROLER")))</f>
        <v/>
      </c>
      <c r="J354">
        <f>IF(H354="IC","OUI",IF(H354="HC","NON",IF(H354="HR","NON","A_CONTROLER")))</f>
        <v/>
      </c>
      <c r="AD354">
        <f>IF(A354="","",TEXT(B354,"YYYYMMDD")&amp;"|"&amp;TEXT(D354,"0.00")&amp;"|"&amp;F354&amp;"|"&amp;M354)</f>
        <v/>
      </c>
    </row>
    <row r="355">
      <c r="C355">
        <f>IF(B355="","",TEXT(B355,"YYYY-MM"))</f>
        <v/>
      </c>
      <c r="I355">
        <f>IF(H355="IC","OUI",IF(H355="HC","OUI",IF(H355="HR","NON","A_CONTROLER")))</f>
        <v/>
      </c>
      <c r="J355">
        <f>IF(H355="IC","OUI",IF(H355="HC","NON",IF(H355="HR","NON","A_CONTROLER")))</f>
        <v/>
      </c>
      <c r="AD355">
        <f>IF(A355="","",TEXT(B355,"YYYYMMDD")&amp;"|"&amp;TEXT(D355,"0.00")&amp;"|"&amp;F355&amp;"|"&amp;M355)</f>
        <v/>
      </c>
    </row>
    <row r="356">
      <c r="C356">
        <f>IF(B356="","",TEXT(B356,"YYYY-MM"))</f>
        <v/>
      </c>
      <c r="I356">
        <f>IF(H356="IC","OUI",IF(H356="HC","OUI",IF(H356="HR","NON","A_CONTROLER")))</f>
        <v/>
      </c>
      <c r="J356">
        <f>IF(H356="IC","OUI",IF(H356="HC","NON",IF(H356="HR","NON","A_CONTROLER")))</f>
        <v/>
      </c>
      <c r="AD356">
        <f>IF(A356="","",TEXT(B356,"YYYYMMDD")&amp;"|"&amp;TEXT(D356,"0.00")&amp;"|"&amp;F356&amp;"|"&amp;M356)</f>
        <v/>
      </c>
    </row>
    <row r="357">
      <c r="C357">
        <f>IF(B357="","",TEXT(B357,"YYYY-MM"))</f>
        <v/>
      </c>
      <c r="I357">
        <f>IF(H357="IC","OUI",IF(H357="HC","OUI",IF(H357="HR","NON","A_CONTROLER")))</f>
        <v/>
      </c>
      <c r="J357">
        <f>IF(H357="IC","OUI",IF(H357="HC","NON",IF(H357="HR","NON","A_CONTROLER")))</f>
        <v/>
      </c>
      <c r="AD357">
        <f>IF(A357="","",TEXT(B357,"YYYYMMDD")&amp;"|"&amp;TEXT(D357,"0.00")&amp;"|"&amp;F357&amp;"|"&amp;M357)</f>
        <v/>
      </c>
    </row>
    <row r="358">
      <c r="C358">
        <f>IF(B358="","",TEXT(B358,"YYYY-MM"))</f>
        <v/>
      </c>
      <c r="I358">
        <f>IF(H358="IC","OUI",IF(H358="HC","OUI",IF(H358="HR","NON","A_CONTROLER")))</f>
        <v/>
      </c>
      <c r="J358">
        <f>IF(H358="IC","OUI",IF(H358="HC","NON",IF(H358="HR","NON","A_CONTROLER")))</f>
        <v/>
      </c>
      <c r="AD358">
        <f>IF(A358="","",TEXT(B358,"YYYYMMDD")&amp;"|"&amp;TEXT(D358,"0.00")&amp;"|"&amp;F358&amp;"|"&amp;M358)</f>
        <v/>
      </c>
    </row>
    <row r="359">
      <c r="C359">
        <f>IF(B359="","",TEXT(B359,"YYYY-MM"))</f>
        <v/>
      </c>
      <c r="I359">
        <f>IF(H359="IC","OUI",IF(H359="HC","OUI",IF(H359="HR","NON","A_CONTROLER")))</f>
        <v/>
      </c>
      <c r="J359">
        <f>IF(H359="IC","OUI",IF(H359="HC","NON",IF(H359="HR","NON","A_CONTROLER")))</f>
        <v/>
      </c>
      <c r="AD359">
        <f>IF(A359="","",TEXT(B359,"YYYYMMDD")&amp;"|"&amp;TEXT(D359,"0.00")&amp;"|"&amp;F359&amp;"|"&amp;M359)</f>
        <v/>
      </c>
    </row>
    <row r="360">
      <c r="C360">
        <f>IF(B360="","",TEXT(B360,"YYYY-MM"))</f>
        <v/>
      </c>
      <c r="I360">
        <f>IF(H360="IC","OUI",IF(H360="HC","OUI",IF(H360="HR","NON","A_CONTROLER")))</f>
        <v/>
      </c>
      <c r="J360">
        <f>IF(H360="IC","OUI",IF(H360="HC","NON",IF(H360="HR","NON","A_CONTROLER")))</f>
        <v/>
      </c>
      <c r="AD360">
        <f>IF(A360="","",TEXT(B360,"YYYYMMDD")&amp;"|"&amp;TEXT(D360,"0.00")&amp;"|"&amp;F360&amp;"|"&amp;M360)</f>
        <v/>
      </c>
    </row>
    <row r="361">
      <c r="C361">
        <f>IF(B361="","",TEXT(B361,"YYYY-MM"))</f>
        <v/>
      </c>
      <c r="I361">
        <f>IF(H361="IC","OUI",IF(H361="HC","OUI",IF(H361="HR","NON","A_CONTROLER")))</f>
        <v/>
      </c>
      <c r="J361">
        <f>IF(H361="IC","OUI",IF(H361="HC","NON",IF(H361="HR","NON","A_CONTROLER")))</f>
        <v/>
      </c>
      <c r="AD361">
        <f>IF(A361="","",TEXT(B361,"YYYYMMDD")&amp;"|"&amp;TEXT(D361,"0.00")&amp;"|"&amp;F361&amp;"|"&amp;M361)</f>
        <v/>
      </c>
    </row>
    <row r="362">
      <c r="C362">
        <f>IF(B362="","",TEXT(B362,"YYYY-MM"))</f>
        <v/>
      </c>
      <c r="I362">
        <f>IF(H362="IC","OUI",IF(H362="HC","OUI",IF(H362="HR","NON","A_CONTROLER")))</f>
        <v/>
      </c>
      <c r="J362">
        <f>IF(H362="IC","OUI",IF(H362="HC","NON",IF(H362="HR","NON","A_CONTROLER")))</f>
        <v/>
      </c>
      <c r="AD362">
        <f>IF(A362="","",TEXT(B362,"YYYYMMDD")&amp;"|"&amp;TEXT(D362,"0.00")&amp;"|"&amp;F362&amp;"|"&amp;M362)</f>
        <v/>
      </c>
    </row>
    <row r="363">
      <c r="C363">
        <f>IF(B363="","",TEXT(B363,"YYYY-MM"))</f>
        <v/>
      </c>
      <c r="I363">
        <f>IF(H363="IC","OUI",IF(H363="HC","OUI",IF(H363="HR","NON","A_CONTROLER")))</f>
        <v/>
      </c>
      <c r="J363">
        <f>IF(H363="IC","OUI",IF(H363="HC","NON",IF(H363="HR","NON","A_CONTROLER")))</f>
        <v/>
      </c>
      <c r="AD363">
        <f>IF(A363="","",TEXT(B363,"YYYYMMDD")&amp;"|"&amp;TEXT(D363,"0.00")&amp;"|"&amp;F363&amp;"|"&amp;M363)</f>
        <v/>
      </c>
    </row>
    <row r="364">
      <c r="C364">
        <f>IF(B364="","",TEXT(B364,"YYYY-MM"))</f>
        <v/>
      </c>
      <c r="I364">
        <f>IF(H364="IC","OUI",IF(H364="HC","OUI",IF(H364="HR","NON","A_CONTROLER")))</f>
        <v/>
      </c>
      <c r="J364">
        <f>IF(H364="IC","OUI",IF(H364="HC","NON",IF(H364="HR","NON","A_CONTROLER")))</f>
        <v/>
      </c>
      <c r="AD364">
        <f>IF(A364="","",TEXT(B364,"YYYYMMDD")&amp;"|"&amp;TEXT(D364,"0.00")&amp;"|"&amp;F364&amp;"|"&amp;M364)</f>
        <v/>
      </c>
    </row>
    <row r="365">
      <c r="C365">
        <f>IF(B365="","",TEXT(B365,"YYYY-MM"))</f>
        <v/>
      </c>
      <c r="I365">
        <f>IF(H365="IC","OUI",IF(H365="HC","OUI",IF(H365="HR","NON","A_CONTROLER")))</f>
        <v/>
      </c>
      <c r="J365">
        <f>IF(H365="IC","OUI",IF(H365="HC","NON",IF(H365="HR","NON","A_CONTROLER")))</f>
        <v/>
      </c>
      <c r="AD365">
        <f>IF(A365="","",TEXT(B365,"YYYYMMDD")&amp;"|"&amp;TEXT(D365,"0.00")&amp;"|"&amp;F365&amp;"|"&amp;M365)</f>
        <v/>
      </c>
    </row>
    <row r="366">
      <c r="C366">
        <f>IF(B366="","",TEXT(B366,"YYYY-MM"))</f>
        <v/>
      </c>
      <c r="I366">
        <f>IF(H366="IC","OUI",IF(H366="HC","OUI",IF(H366="HR","NON","A_CONTROLER")))</f>
        <v/>
      </c>
      <c r="J366">
        <f>IF(H366="IC","OUI",IF(H366="HC","NON",IF(H366="HR","NON","A_CONTROLER")))</f>
        <v/>
      </c>
      <c r="AD366">
        <f>IF(A366="","",TEXT(B366,"YYYYMMDD")&amp;"|"&amp;TEXT(D366,"0.00")&amp;"|"&amp;F366&amp;"|"&amp;M366)</f>
        <v/>
      </c>
    </row>
    <row r="367">
      <c r="C367">
        <f>IF(B367="","",TEXT(B367,"YYYY-MM"))</f>
        <v/>
      </c>
      <c r="I367">
        <f>IF(H367="IC","OUI",IF(H367="HC","OUI",IF(H367="HR","NON","A_CONTROLER")))</f>
        <v/>
      </c>
      <c r="J367">
        <f>IF(H367="IC","OUI",IF(H367="HC","NON",IF(H367="HR","NON","A_CONTROLER")))</f>
        <v/>
      </c>
      <c r="AD367">
        <f>IF(A367="","",TEXT(B367,"YYYYMMDD")&amp;"|"&amp;TEXT(D367,"0.00")&amp;"|"&amp;F367&amp;"|"&amp;M367)</f>
        <v/>
      </c>
    </row>
    <row r="368">
      <c r="C368">
        <f>IF(B368="","",TEXT(B368,"YYYY-MM"))</f>
        <v/>
      </c>
      <c r="I368">
        <f>IF(H368="IC","OUI",IF(H368="HC","OUI",IF(H368="HR","NON","A_CONTROLER")))</f>
        <v/>
      </c>
      <c r="J368">
        <f>IF(H368="IC","OUI",IF(H368="HC","NON",IF(H368="HR","NON","A_CONTROLER")))</f>
        <v/>
      </c>
      <c r="AD368">
        <f>IF(A368="","",TEXT(B368,"YYYYMMDD")&amp;"|"&amp;TEXT(D368,"0.00")&amp;"|"&amp;F368&amp;"|"&amp;M368)</f>
        <v/>
      </c>
    </row>
    <row r="369">
      <c r="C369">
        <f>IF(B369="","",TEXT(B369,"YYYY-MM"))</f>
        <v/>
      </c>
      <c r="I369">
        <f>IF(H369="IC","OUI",IF(H369="HC","OUI",IF(H369="HR","NON","A_CONTROLER")))</f>
        <v/>
      </c>
      <c r="J369">
        <f>IF(H369="IC","OUI",IF(H369="HC","NON",IF(H369="HR","NON","A_CONTROLER")))</f>
        <v/>
      </c>
      <c r="AD369">
        <f>IF(A369="","",TEXT(B369,"YYYYMMDD")&amp;"|"&amp;TEXT(D369,"0.00")&amp;"|"&amp;F369&amp;"|"&amp;M369)</f>
        <v/>
      </c>
    </row>
    <row r="370">
      <c r="C370">
        <f>IF(B370="","",TEXT(B370,"YYYY-MM"))</f>
        <v/>
      </c>
      <c r="I370">
        <f>IF(H370="IC","OUI",IF(H370="HC","OUI",IF(H370="HR","NON","A_CONTROLER")))</f>
        <v/>
      </c>
      <c r="J370">
        <f>IF(H370="IC","OUI",IF(H370="HC","NON",IF(H370="HR","NON","A_CONTROLER")))</f>
        <v/>
      </c>
      <c r="AD370">
        <f>IF(A370="","",TEXT(B370,"YYYYMMDD")&amp;"|"&amp;TEXT(D370,"0.00")&amp;"|"&amp;F370&amp;"|"&amp;M370)</f>
        <v/>
      </c>
    </row>
    <row r="371">
      <c r="C371">
        <f>IF(B371="","",TEXT(B371,"YYYY-MM"))</f>
        <v/>
      </c>
      <c r="I371">
        <f>IF(H371="IC","OUI",IF(H371="HC","OUI",IF(H371="HR","NON","A_CONTROLER")))</f>
        <v/>
      </c>
      <c r="J371">
        <f>IF(H371="IC","OUI",IF(H371="HC","NON",IF(H371="HR","NON","A_CONTROLER")))</f>
        <v/>
      </c>
      <c r="AD371">
        <f>IF(A371="","",TEXT(B371,"YYYYMMDD")&amp;"|"&amp;TEXT(D371,"0.00")&amp;"|"&amp;F371&amp;"|"&amp;M371)</f>
        <v/>
      </c>
    </row>
    <row r="372">
      <c r="C372">
        <f>IF(B372="","",TEXT(B372,"YYYY-MM"))</f>
        <v/>
      </c>
      <c r="I372">
        <f>IF(H372="IC","OUI",IF(H372="HC","OUI",IF(H372="HR","NON","A_CONTROLER")))</f>
        <v/>
      </c>
      <c r="J372">
        <f>IF(H372="IC","OUI",IF(H372="HC","NON",IF(H372="HR","NON","A_CONTROLER")))</f>
        <v/>
      </c>
      <c r="AD372">
        <f>IF(A372="","",TEXT(B372,"YYYYMMDD")&amp;"|"&amp;TEXT(D372,"0.00")&amp;"|"&amp;F372&amp;"|"&amp;M372)</f>
        <v/>
      </c>
    </row>
    <row r="373">
      <c r="C373">
        <f>IF(B373="","",TEXT(B373,"YYYY-MM"))</f>
        <v/>
      </c>
      <c r="I373">
        <f>IF(H373="IC","OUI",IF(H373="HC","OUI",IF(H373="HR","NON","A_CONTROLER")))</f>
        <v/>
      </c>
      <c r="J373">
        <f>IF(H373="IC","OUI",IF(H373="HC","NON",IF(H373="HR","NON","A_CONTROLER")))</f>
        <v/>
      </c>
      <c r="AD373">
        <f>IF(A373="","",TEXT(B373,"YYYYMMDD")&amp;"|"&amp;TEXT(D373,"0.00")&amp;"|"&amp;F373&amp;"|"&amp;M373)</f>
        <v/>
      </c>
    </row>
    <row r="374">
      <c r="C374">
        <f>IF(B374="","",TEXT(B374,"YYYY-MM"))</f>
        <v/>
      </c>
      <c r="I374">
        <f>IF(H374="IC","OUI",IF(H374="HC","OUI",IF(H374="HR","NON","A_CONTROLER")))</f>
        <v/>
      </c>
      <c r="J374">
        <f>IF(H374="IC","OUI",IF(H374="HC","NON",IF(H374="HR","NON","A_CONTROLER")))</f>
        <v/>
      </c>
      <c r="AD374">
        <f>IF(A374="","",TEXT(B374,"YYYYMMDD")&amp;"|"&amp;TEXT(D374,"0.00")&amp;"|"&amp;F374&amp;"|"&amp;M374)</f>
        <v/>
      </c>
    </row>
    <row r="375">
      <c r="C375">
        <f>IF(B375="","",TEXT(B375,"YYYY-MM"))</f>
        <v/>
      </c>
      <c r="I375">
        <f>IF(H375="IC","OUI",IF(H375="HC","OUI",IF(H375="HR","NON","A_CONTROLER")))</f>
        <v/>
      </c>
      <c r="J375">
        <f>IF(H375="IC","OUI",IF(H375="HC","NON",IF(H375="HR","NON","A_CONTROLER")))</f>
        <v/>
      </c>
      <c r="AD375">
        <f>IF(A375="","",TEXT(B375,"YYYYMMDD")&amp;"|"&amp;TEXT(D375,"0.00")&amp;"|"&amp;F375&amp;"|"&amp;M375)</f>
        <v/>
      </c>
    </row>
    <row r="376">
      <c r="C376">
        <f>IF(B376="","",TEXT(B376,"YYYY-MM"))</f>
        <v/>
      </c>
      <c r="I376">
        <f>IF(H376="IC","OUI",IF(H376="HC","OUI",IF(H376="HR","NON","A_CONTROLER")))</f>
        <v/>
      </c>
      <c r="J376">
        <f>IF(H376="IC","OUI",IF(H376="HC","NON",IF(H376="HR","NON","A_CONTROLER")))</f>
        <v/>
      </c>
      <c r="AD376">
        <f>IF(A376="","",TEXT(B376,"YYYYMMDD")&amp;"|"&amp;TEXT(D376,"0.00")&amp;"|"&amp;F376&amp;"|"&amp;M376)</f>
        <v/>
      </c>
    </row>
    <row r="377">
      <c r="C377">
        <f>IF(B377="","",TEXT(B377,"YYYY-MM"))</f>
        <v/>
      </c>
      <c r="I377">
        <f>IF(H377="IC","OUI",IF(H377="HC","OUI",IF(H377="HR","NON","A_CONTROLER")))</f>
        <v/>
      </c>
      <c r="J377">
        <f>IF(H377="IC","OUI",IF(H377="HC","NON",IF(H377="HR","NON","A_CONTROLER")))</f>
        <v/>
      </c>
      <c r="AD377">
        <f>IF(A377="","",TEXT(B377,"YYYYMMDD")&amp;"|"&amp;TEXT(D377,"0.00")&amp;"|"&amp;F377&amp;"|"&amp;M377)</f>
        <v/>
      </c>
    </row>
    <row r="378">
      <c r="C378">
        <f>IF(B378="","",TEXT(B378,"YYYY-MM"))</f>
        <v/>
      </c>
      <c r="I378">
        <f>IF(H378="IC","OUI",IF(H378="HC","OUI",IF(H378="HR","NON","A_CONTROLER")))</f>
        <v/>
      </c>
      <c r="J378">
        <f>IF(H378="IC","OUI",IF(H378="HC","NON",IF(H378="HR","NON","A_CONTROLER")))</f>
        <v/>
      </c>
      <c r="AD378">
        <f>IF(A378="","",TEXT(B378,"YYYYMMDD")&amp;"|"&amp;TEXT(D378,"0.00")&amp;"|"&amp;F378&amp;"|"&amp;M378)</f>
        <v/>
      </c>
    </row>
    <row r="379">
      <c r="C379">
        <f>IF(B379="","",TEXT(B379,"YYYY-MM"))</f>
        <v/>
      </c>
      <c r="I379">
        <f>IF(H379="IC","OUI",IF(H379="HC","OUI",IF(H379="HR","NON","A_CONTROLER")))</f>
        <v/>
      </c>
      <c r="J379">
        <f>IF(H379="IC","OUI",IF(H379="HC","NON",IF(H379="HR","NON","A_CONTROLER")))</f>
        <v/>
      </c>
      <c r="AD379">
        <f>IF(A379="","",TEXT(B379,"YYYYMMDD")&amp;"|"&amp;TEXT(D379,"0.00")&amp;"|"&amp;F379&amp;"|"&amp;M379)</f>
        <v/>
      </c>
    </row>
    <row r="380">
      <c r="C380">
        <f>IF(B380="","",TEXT(B380,"YYYY-MM"))</f>
        <v/>
      </c>
      <c r="I380">
        <f>IF(H380="IC","OUI",IF(H380="HC","OUI",IF(H380="HR","NON","A_CONTROLER")))</f>
        <v/>
      </c>
      <c r="J380">
        <f>IF(H380="IC","OUI",IF(H380="HC","NON",IF(H380="HR","NON","A_CONTROLER")))</f>
        <v/>
      </c>
      <c r="AD380">
        <f>IF(A380="","",TEXT(B380,"YYYYMMDD")&amp;"|"&amp;TEXT(D380,"0.00")&amp;"|"&amp;F380&amp;"|"&amp;M380)</f>
        <v/>
      </c>
    </row>
    <row r="381">
      <c r="C381">
        <f>IF(B381="","",TEXT(B381,"YYYY-MM"))</f>
        <v/>
      </c>
      <c r="I381">
        <f>IF(H381="IC","OUI",IF(H381="HC","OUI",IF(H381="HR","NON","A_CONTROLER")))</f>
        <v/>
      </c>
      <c r="J381">
        <f>IF(H381="IC","OUI",IF(H381="HC","NON",IF(H381="HR","NON","A_CONTROLER")))</f>
        <v/>
      </c>
      <c r="AD381">
        <f>IF(A381="","",TEXT(B381,"YYYYMMDD")&amp;"|"&amp;TEXT(D381,"0.00")&amp;"|"&amp;F381&amp;"|"&amp;M381)</f>
        <v/>
      </c>
    </row>
    <row r="382">
      <c r="C382">
        <f>IF(B382="","",TEXT(B382,"YYYY-MM"))</f>
        <v/>
      </c>
      <c r="I382">
        <f>IF(H382="IC","OUI",IF(H382="HC","OUI",IF(H382="HR","NON","A_CONTROLER")))</f>
        <v/>
      </c>
      <c r="J382">
        <f>IF(H382="IC","OUI",IF(H382="HC","NON",IF(H382="HR","NON","A_CONTROLER")))</f>
        <v/>
      </c>
      <c r="AD382">
        <f>IF(A382="","",TEXT(B382,"YYYYMMDD")&amp;"|"&amp;TEXT(D382,"0.00")&amp;"|"&amp;F382&amp;"|"&amp;M382)</f>
        <v/>
      </c>
    </row>
    <row r="383">
      <c r="C383">
        <f>IF(B383="","",TEXT(B383,"YYYY-MM"))</f>
        <v/>
      </c>
      <c r="I383">
        <f>IF(H383="IC","OUI",IF(H383="HC","OUI",IF(H383="HR","NON","A_CONTROLER")))</f>
        <v/>
      </c>
      <c r="J383">
        <f>IF(H383="IC","OUI",IF(H383="HC","NON",IF(H383="HR","NON","A_CONTROLER")))</f>
        <v/>
      </c>
      <c r="AD383">
        <f>IF(A383="","",TEXT(B383,"YYYYMMDD")&amp;"|"&amp;TEXT(D383,"0.00")&amp;"|"&amp;F383&amp;"|"&amp;M383)</f>
        <v/>
      </c>
    </row>
    <row r="384">
      <c r="C384">
        <f>IF(B384="","",TEXT(B384,"YYYY-MM"))</f>
        <v/>
      </c>
      <c r="I384">
        <f>IF(H384="IC","OUI",IF(H384="HC","OUI",IF(H384="HR","NON","A_CONTROLER")))</f>
        <v/>
      </c>
      <c r="J384">
        <f>IF(H384="IC","OUI",IF(H384="HC","NON",IF(H384="HR","NON","A_CONTROLER")))</f>
        <v/>
      </c>
      <c r="AD384">
        <f>IF(A384="","",TEXT(B384,"YYYYMMDD")&amp;"|"&amp;TEXT(D384,"0.00")&amp;"|"&amp;F384&amp;"|"&amp;M384)</f>
        <v/>
      </c>
    </row>
    <row r="385">
      <c r="C385">
        <f>IF(B385="","",TEXT(B385,"YYYY-MM"))</f>
        <v/>
      </c>
      <c r="I385">
        <f>IF(H385="IC","OUI",IF(H385="HC","OUI",IF(H385="HR","NON","A_CONTROLER")))</f>
        <v/>
      </c>
      <c r="J385">
        <f>IF(H385="IC","OUI",IF(H385="HC","NON",IF(H385="HR","NON","A_CONTROLER")))</f>
        <v/>
      </c>
      <c r="AD385">
        <f>IF(A385="","",TEXT(B385,"YYYYMMDD")&amp;"|"&amp;TEXT(D385,"0.00")&amp;"|"&amp;F385&amp;"|"&amp;M385)</f>
        <v/>
      </c>
    </row>
    <row r="386">
      <c r="C386">
        <f>IF(B386="","",TEXT(B386,"YYYY-MM"))</f>
        <v/>
      </c>
      <c r="I386">
        <f>IF(H386="IC","OUI",IF(H386="HC","OUI",IF(H386="HR","NON","A_CONTROLER")))</f>
        <v/>
      </c>
      <c r="J386">
        <f>IF(H386="IC","OUI",IF(H386="HC","NON",IF(H386="HR","NON","A_CONTROLER")))</f>
        <v/>
      </c>
      <c r="AD386">
        <f>IF(A386="","",TEXT(B386,"YYYYMMDD")&amp;"|"&amp;TEXT(D386,"0.00")&amp;"|"&amp;F386&amp;"|"&amp;M386)</f>
        <v/>
      </c>
    </row>
    <row r="387">
      <c r="C387">
        <f>IF(B387="","",TEXT(B387,"YYYY-MM"))</f>
        <v/>
      </c>
      <c r="I387">
        <f>IF(H387="IC","OUI",IF(H387="HC","OUI",IF(H387="HR","NON","A_CONTROLER")))</f>
        <v/>
      </c>
      <c r="J387">
        <f>IF(H387="IC","OUI",IF(H387="HC","NON",IF(H387="HR","NON","A_CONTROLER")))</f>
        <v/>
      </c>
      <c r="AD387">
        <f>IF(A387="","",TEXT(B387,"YYYYMMDD")&amp;"|"&amp;TEXT(D387,"0.00")&amp;"|"&amp;F387&amp;"|"&amp;M387)</f>
        <v/>
      </c>
    </row>
    <row r="388">
      <c r="C388">
        <f>IF(B388="","",TEXT(B388,"YYYY-MM"))</f>
        <v/>
      </c>
      <c r="I388">
        <f>IF(H388="IC","OUI",IF(H388="HC","OUI",IF(H388="HR","NON","A_CONTROLER")))</f>
        <v/>
      </c>
      <c r="J388">
        <f>IF(H388="IC","OUI",IF(H388="HC","NON",IF(H388="HR","NON","A_CONTROLER")))</f>
        <v/>
      </c>
      <c r="AD388">
        <f>IF(A388="","",TEXT(B388,"YYYYMMDD")&amp;"|"&amp;TEXT(D388,"0.00")&amp;"|"&amp;F388&amp;"|"&amp;M388)</f>
        <v/>
      </c>
    </row>
    <row r="389">
      <c r="C389">
        <f>IF(B389="","",TEXT(B389,"YYYY-MM"))</f>
        <v/>
      </c>
      <c r="I389">
        <f>IF(H389="IC","OUI",IF(H389="HC","OUI",IF(H389="HR","NON","A_CONTROLER")))</f>
        <v/>
      </c>
      <c r="J389">
        <f>IF(H389="IC","OUI",IF(H389="HC","NON",IF(H389="HR","NON","A_CONTROLER")))</f>
        <v/>
      </c>
      <c r="AD389">
        <f>IF(A389="","",TEXT(B389,"YYYYMMDD")&amp;"|"&amp;TEXT(D389,"0.00")&amp;"|"&amp;F389&amp;"|"&amp;M389)</f>
        <v/>
      </c>
    </row>
    <row r="390">
      <c r="C390">
        <f>IF(B390="","",TEXT(B390,"YYYY-MM"))</f>
        <v/>
      </c>
      <c r="I390">
        <f>IF(H390="IC","OUI",IF(H390="HC","OUI",IF(H390="HR","NON","A_CONTROLER")))</f>
        <v/>
      </c>
      <c r="J390">
        <f>IF(H390="IC","OUI",IF(H390="HC","NON",IF(H390="HR","NON","A_CONTROLER")))</f>
        <v/>
      </c>
      <c r="AD390">
        <f>IF(A390="","",TEXT(B390,"YYYYMMDD")&amp;"|"&amp;TEXT(D390,"0.00")&amp;"|"&amp;F390&amp;"|"&amp;M390)</f>
        <v/>
      </c>
    </row>
    <row r="391">
      <c r="C391">
        <f>IF(B391="","",TEXT(B391,"YYYY-MM"))</f>
        <v/>
      </c>
      <c r="I391">
        <f>IF(H391="IC","OUI",IF(H391="HC","OUI",IF(H391="HR","NON","A_CONTROLER")))</f>
        <v/>
      </c>
      <c r="J391">
        <f>IF(H391="IC","OUI",IF(H391="HC","NON",IF(H391="HR","NON","A_CONTROLER")))</f>
        <v/>
      </c>
      <c r="AD391">
        <f>IF(A391="","",TEXT(B391,"YYYYMMDD")&amp;"|"&amp;TEXT(D391,"0.00")&amp;"|"&amp;F391&amp;"|"&amp;M391)</f>
        <v/>
      </c>
    </row>
    <row r="392">
      <c r="C392">
        <f>IF(B392="","",TEXT(B392,"YYYY-MM"))</f>
        <v/>
      </c>
      <c r="I392">
        <f>IF(H392="IC","OUI",IF(H392="HC","OUI",IF(H392="HR","NON","A_CONTROLER")))</f>
        <v/>
      </c>
      <c r="J392">
        <f>IF(H392="IC","OUI",IF(H392="HC","NON",IF(H392="HR","NON","A_CONTROLER")))</f>
        <v/>
      </c>
      <c r="AD392">
        <f>IF(A392="","",TEXT(B392,"YYYYMMDD")&amp;"|"&amp;TEXT(D392,"0.00")&amp;"|"&amp;F392&amp;"|"&amp;M392)</f>
        <v/>
      </c>
    </row>
    <row r="393">
      <c r="C393">
        <f>IF(B393="","",TEXT(B393,"YYYY-MM"))</f>
        <v/>
      </c>
      <c r="I393">
        <f>IF(H393="IC","OUI",IF(H393="HC","OUI",IF(H393="HR","NON","A_CONTROLER")))</f>
        <v/>
      </c>
      <c r="J393">
        <f>IF(H393="IC","OUI",IF(H393="HC","NON",IF(H393="HR","NON","A_CONTROLER")))</f>
        <v/>
      </c>
      <c r="AD393">
        <f>IF(A393="","",TEXT(B393,"YYYYMMDD")&amp;"|"&amp;TEXT(D393,"0.00")&amp;"|"&amp;F393&amp;"|"&amp;M393)</f>
        <v/>
      </c>
    </row>
    <row r="394">
      <c r="C394">
        <f>IF(B394="","",TEXT(B394,"YYYY-MM"))</f>
        <v/>
      </c>
      <c r="I394">
        <f>IF(H394="IC","OUI",IF(H394="HC","OUI",IF(H394="HR","NON","A_CONTROLER")))</f>
        <v/>
      </c>
      <c r="J394">
        <f>IF(H394="IC","OUI",IF(H394="HC","NON",IF(H394="HR","NON","A_CONTROLER")))</f>
        <v/>
      </c>
      <c r="AD394">
        <f>IF(A394="","",TEXT(B394,"YYYYMMDD")&amp;"|"&amp;TEXT(D394,"0.00")&amp;"|"&amp;F394&amp;"|"&amp;M394)</f>
        <v/>
      </c>
    </row>
    <row r="395">
      <c r="C395">
        <f>IF(B395="","",TEXT(B395,"YYYY-MM"))</f>
        <v/>
      </c>
      <c r="I395">
        <f>IF(H395="IC","OUI",IF(H395="HC","OUI",IF(H395="HR","NON","A_CONTROLER")))</f>
        <v/>
      </c>
      <c r="J395">
        <f>IF(H395="IC","OUI",IF(H395="HC","NON",IF(H395="HR","NON","A_CONTROLER")))</f>
        <v/>
      </c>
      <c r="AD395">
        <f>IF(A395="","",TEXT(B395,"YYYYMMDD")&amp;"|"&amp;TEXT(D395,"0.00")&amp;"|"&amp;F395&amp;"|"&amp;M395)</f>
        <v/>
      </c>
    </row>
    <row r="396">
      <c r="C396">
        <f>IF(B396="","",TEXT(B396,"YYYY-MM"))</f>
        <v/>
      </c>
      <c r="I396">
        <f>IF(H396="IC","OUI",IF(H396="HC","OUI",IF(H396="HR","NON","A_CONTROLER")))</f>
        <v/>
      </c>
      <c r="J396">
        <f>IF(H396="IC","OUI",IF(H396="HC","NON",IF(H396="HR","NON","A_CONTROLER")))</f>
        <v/>
      </c>
      <c r="AD396">
        <f>IF(A396="","",TEXT(B396,"YYYYMMDD")&amp;"|"&amp;TEXT(D396,"0.00")&amp;"|"&amp;F396&amp;"|"&amp;M396)</f>
        <v/>
      </c>
    </row>
    <row r="397">
      <c r="C397">
        <f>IF(B397="","",TEXT(B397,"YYYY-MM"))</f>
        <v/>
      </c>
      <c r="I397">
        <f>IF(H397="IC","OUI",IF(H397="HC","OUI",IF(H397="HR","NON","A_CONTROLER")))</f>
        <v/>
      </c>
      <c r="J397">
        <f>IF(H397="IC","OUI",IF(H397="HC","NON",IF(H397="HR","NON","A_CONTROLER")))</f>
        <v/>
      </c>
      <c r="AD397">
        <f>IF(A397="","",TEXT(B397,"YYYYMMDD")&amp;"|"&amp;TEXT(D397,"0.00")&amp;"|"&amp;F397&amp;"|"&amp;M397)</f>
        <v/>
      </c>
    </row>
    <row r="398">
      <c r="C398">
        <f>IF(B398="","",TEXT(B398,"YYYY-MM"))</f>
        <v/>
      </c>
      <c r="I398">
        <f>IF(H398="IC","OUI",IF(H398="HC","OUI",IF(H398="HR","NON","A_CONTROLER")))</f>
        <v/>
      </c>
      <c r="J398">
        <f>IF(H398="IC","OUI",IF(H398="HC","NON",IF(H398="HR","NON","A_CONTROLER")))</f>
        <v/>
      </c>
      <c r="AD398">
        <f>IF(A398="","",TEXT(B398,"YYYYMMDD")&amp;"|"&amp;TEXT(D398,"0.00")&amp;"|"&amp;F398&amp;"|"&amp;M398)</f>
        <v/>
      </c>
    </row>
    <row r="399">
      <c r="C399">
        <f>IF(B399="","",TEXT(B399,"YYYY-MM"))</f>
        <v/>
      </c>
      <c r="I399">
        <f>IF(H399="IC","OUI",IF(H399="HC","OUI",IF(H399="HR","NON","A_CONTROLER")))</f>
        <v/>
      </c>
      <c r="J399">
        <f>IF(H399="IC","OUI",IF(H399="HC","NON",IF(H399="HR","NON","A_CONTROLER")))</f>
        <v/>
      </c>
      <c r="AD399">
        <f>IF(A399="","",TEXT(B399,"YYYYMMDD")&amp;"|"&amp;TEXT(D399,"0.00")&amp;"|"&amp;F399&amp;"|"&amp;M399)</f>
        <v/>
      </c>
    </row>
    <row r="400">
      <c r="C400">
        <f>IF(B400="","",TEXT(B400,"YYYY-MM"))</f>
        <v/>
      </c>
      <c r="I400">
        <f>IF(H400="IC","OUI",IF(H400="HC","OUI",IF(H400="HR","NON","A_CONTROLER")))</f>
        <v/>
      </c>
      <c r="J400">
        <f>IF(H400="IC","OUI",IF(H400="HC","NON",IF(H400="HR","NON","A_CONTROLER")))</f>
        <v/>
      </c>
      <c r="AD400">
        <f>IF(A400="","",TEXT(B400,"YYYYMMDD")&amp;"|"&amp;TEXT(D400,"0.00")&amp;"|"&amp;F400&amp;"|"&amp;M400)</f>
        <v/>
      </c>
    </row>
    <row r="401">
      <c r="C401">
        <f>IF(B401="","",TEXT(B401,"YYYY-MM"))</f>
        <v/>
      </c>
      <c r="I401">
        <f>IF(H401="IC","OUI",IF(H401="HC","OUI",IF(H401="HR","NON","A_CONTROLER")))</f>
        <v/>
      </c>
      <c r="J401">
        <f>IF(H401="IC","OUI",IF(H401="HC","NON",IF(H401="HR","NON","A_CONTROLER")))</f>
        <v/>
      </c>
      <c r="AD401">
        <f>IF(A401="","",TEXT(B401,"YYYYMMDD")&amp;"|"&amp;TEXT(D401,"0.00")&amp;"|"&amp;F401&amp;"|"&amp;M401)</f>
        <v/>
      </c>
    </row>
    <row r="402">
      <c r="C402">
        <f>IF(B402="","",TEXT(B402,"YYYY-MM"))</f>
        <v/>
      </c>
      <c r="I402">
        <f>IF(H402="IC","OUI",IF(H402="HC","OUI",IF(H402="HR","NON","A_CONTROLER")))</f>
        <v/>
      </c>
      <c r="J402">
        <f>IF(H402="IC","OUI",IF(H402="HC","NON",IF(H402="HR","NON","A_CONTROLER")))</f>
        <v/>
      </c>
      <c r="AD402">
        <f>IF(A402="","",TEXT(B402,"YYYYMMDD")&amp;"|"&amp;TEXT(D402,"0.00")&amp;"|"&amp;F402&amp;"|"&amp;M402)</f>
        <v/>
      </c>
    </row>
    <row r="403">
      <c r="C403">
        <f>IF(B403="","",TEXT(B403,"YYYY-MM"))</f>
        <v/>
      </c>
      <c r="I403">
        <f>IF(H403="IC","OUI",IF(H403="HC","OUI",IF(H403="HR","NON","A_CONTROLER")))</f>
        <v/>
      </c>
      <c r="J403">
        <f>IF(H403="IC","OUI",IF(H403="HC","NON",IF(H403="HR","NON","A_CONTROLER")))</f>
        <v/>
      </c>
      <c r="AD403">
        <f>IF(A403="","",TEXT(B403,"YYYYMMDD")&amp;"|"&amp;TEXT(D403,"0.00")&amp;"|"&amp;F403&amp;"|"&amp;M403)</f>
        <v/>
      </c>
    </row>
    <row r="404">
      <c r="C404">
        <f>IF(B404="","",TEXT(B404,"YYYY-MM"))</f>
        <v/>
      </c>
      <c r="I404">
        <f>IF(H404="IC","OUI",IF(H404="HC","OUI",IF(H404="HR","NON","A_CONTROLER")))</f>
        <v/>
      </c>
      <c r="J404">
        <f>IF(H404="IC","OUI",IF(H404="HC","NON",IF(H404="HR","NON","A_CONTROLER")))</f>
        <v/>
      </c>
      <c r="AD404">
        <f>IF(A404="","",TEXT(B404,"YYYYMMDD")&amp;"|"&amp;TEXT(D404,"0.00")&amp;"|"&amp;F404&amp;"|"&amp;M404)</f>
        <v/>
      </c>
    </row>
    <row r="405">
      <c r="C405">
        <f>IF(B405="","",TEXT(B405,"YYYY-MM"))</f>
        <v/>
      </c>
      <c r="I405">
        <f>IF(H405="IC","OUI",IF(H405="HC","OUI",IF(H405="HR","NON","A_CONTROLER")))</f>
        <v/>
      </c>
      <c r="J405">
        <f>IF(H405="IC","OUI",IF(H405="HC","NON",IF(H405="HR","NON","A_CONTROLER")))</f>
        <v/>
      </c>
      <c r="AD405">
        <f>IF(A405="","",TEXT(B405,"YYYYMMDD")&amp;"|"&amp;TEXT(D405,"0.00")&amp;"|"&amp;F405&amp;"|"&amp;M405)</f>
        <v/>
      </c>
    </row>
    <row r="406">
      <c r="C406">
        <f>IF(B406="","",TEXT(B406,"YYYY-MM"))</f>
        <v/>
      </c>
      <c r="I406">
        <f>IF(H406="IC","OUI",IF(H406="HC","OUI",IF(H406="HR","NON","A_CONTROLER")))</f>
        <v/>
      </c>
      <c r="J406">
        <f>IF(H406="IC","OUI",IF(H406="HC","NON",IF(H406="HR","NON","A_CONTROLER")))</f>
        <v/>
      </c>
      <c r="AD406">
        <f>IF(A406="","",TEXT(B406,"YYYYMMDD")&amp;"|"&amp;TEXT(D406,"0.00")&amp;"|"&amp;F406&amp;"|"&amp;M406)</f>
        <v/>
      </c>
    </row>
    <row r="407">
      <c r="C407">
        <f>IF(B407="","",TEXT(B407,"YYYY-MM"))</f>
        <v/>
      </c>
      <c r="I407">
        <f>IF(H407="IC","OUI",IF(H407="HC","OUI",IF(H407="HR","NON","A_CONTROLER")))</f>
        <v/>
      </c>
      <c r="J407">
        <f>IF(H407="IC","OUI",IF(H407="HC","NON",IF(H407="HR","NON","A_CONTROLER")))</f>
        <v/>
      </c>
      <c r="AD407">
        <f>IF(A407="","",TEXT(B407,"YYYYMMDD")&amp;"|"&amp;TEXT(D407,"0.00")&amp;"|"&amp;F407&amp;"|"&amp;M407)</f>
        <v/>
      </c>
    </row>
    <row r="408">
      <c r="C408">
        <f>IF(B408="","",TEXT(B408,"YYYY-MM"))</f>
        <v/>
      </c>
      <c r="I408">
        <f>IF(H408="IC","OUI",IF(H408="HC","OUI",IF(H408="HR","NON","A_CONTROLER")))</f>
        <v/>
      </c>
      <c r="J408">
        <f>IF(H408="IC","OUI",IF(H408="HC","NON",IF(H408="HR","NON","A_CONTROLER")))</f>
        <v/>
      </c>
      <c r="AD408">
        <f>IF(A408="","",TEXT(B408,"YYYYMMDD")&amp;"|"&amp;TEXT(D408,"0.00")&amp;"|"&amp;F408&amp;"|"&amp;M408)</f>
        <v/>
      </c>
    </row>
    <row r="409">
      <c r="C409">
        <f>IF(B409="","",TEXT(B409,"YYYY-MM"))</f>
        <v/>
      </c>
      <c r="I409">
        <f>IF(H409="IC","OUI",IF(H409="HC","OUI",IF(H409="HR","NON","A_CONTROLER")))</f>
        <v/>
      </c>
      <c r="J409">
        <f>IF(H409="IC","OUI",IF(H409="HC","NON",IF(H409="HR","NON","A_CONTROLER")))</f>
        <v/>
      </c>
      <c r="AD409">
        <f>IF(A409="","",TEXT(B409,"YYYYMMDD")&amp;"|"&amp;TEXT(D409,"0.00")&amp;"|"&amp;F409&amp;"|"&amp;M409)</f>
        <v/>
      </c>
    </row>
    <row r="410">
      <c r="C410">
        <f>IF(B410="","",TEXT(B410,"YYYY-MM"))</f>
        <v/>
      </c>
      <c r="I410">
        <f>IF(H410="IC","OUI",IF(H410="HC","OUI",IF(H410="HR","NON","A_CONTROLER")))</f>
        <v/>
      </c>
      <c r="J410">
        <f>IF(H410="IC","OUI",IF(H410="HC","NON",IF(H410="HR","NON","A_CONTROLER")))</f>
        <v/>
      </c>
      <c r="AD410">
        <f>IF(A410="","",TEXT(B410,"YYYYMMDD")&amp;"|"&amp;TEXT(D410,"0.00")&amp;"|"&amp;F410&amp;"|"&amp;M410)</f>
        <v/>
      </c>
    </row>
    <row r="411">
      <c r="C411">
        <f>IF(B411="","",TEXT(B411,"YYYY-MM"))</f>
        <v/>
      </c>
      <c r="I411">
        <f>IF(H411="IC","OUI",IF(H411="HC","OUI",IF(H411="HR","NON","A_CONTROLER")))</f>
        <v/>
      </c>
      <c r="J411">
        <f>IF(H411="IC","OUI",IF(H411="HC","NON",IF(H411="HR","NON","A_CONTROLER")))</f>
        <v/>
      </c>
      <c r="AD411">
        <f>IF(A411="","",TEXT(B411,"YYYYMMDD")&amp;"|"&amp;TEXT(D411,"0.00")&amp;"|"&amp;F411&amp;"|"&amp;M411)</f>
        <v/>
      </c>
    </row>
    <row r="412">
      <c r="C412">
        <f>IF(B412="","",TEXT(B412,"YYYY-MM"))</f>
        <v/>
      </c>
      <c r="I412">
        <f>IF(H412="IC","OUI",IF(H412="HC","OUI",IF(H412="HR","NON","A_CONTROLER")))</f>
        <v/>
      </c>
      <c r="J412">
        <f>IF(H412="IC","OUI",IF(H412="HC","NON",IF(H412="HR","NON","A_CONTROLER")))</f>
        <v/>
      </c>
      <c r="AD412">
        <f>IF(A412="","",TEXT(B412,"YYYYMMDD")&amp;"|"&amp;TEXT(D412,"0.00")&amp;"|"&amp;F412&amp;"|"&amp;M412)</f>
        <v/>
      </c>
    </row>
    <row r="413">
      <c r="C413">
        <f>IF(B413="","",TEXT(B413,"YYYY-MM"))</f>
        <v/>
      </c>
      <c r="I413">
        <f>IF(H413="IC","OUI",IF(H413="HC","OUI",IF(H413="HR","NON","A_CONTROLER")))</f>
        <v/>
      </c>
      <c r="J413">
        <f>IF(H413="IC","OUI",IF(H413="HC","NON",IF(H413="HR","NON","A_CONTROLER")))</f>
        <v/>
      </c>
      <c r="AD413">
        <f>IF(A413="","",TEXT(B413,"YYYYMMDD")&amp;"|"&amp;TEXT(D413,"0.00")&amp;"|"&amp;F413&amp;"|"&amp;M413)</f>
        <v/>
      </c>
    </row>
    <row r="414">
      <c r="C414">
        <f>IF(B414="","",TEXT(B414,"YYYY-MM"))</f>
        <v/>
      </c>
      <c r="I414">
        <f>IF(H414="IC","OUI",IF(H414="HC","OUI",IF(H414="HR","NON","A_CONTROLER")))</f>
        <v/>
      </c>
      <c r="J414">
        <f>IF(H414="IC","OUI",IF(H414="HC","NON",IF(H414="HR","NON","A_CONTROLER")))</f>
        <v/>
      </c>
      <c r="AD414">
        <f>IF(A414="","",TEXT(B414,"YYYYMMDD")&amp;"|"&amp;TEXT(D414,"0.00")&amp;"|"&amp;F414&amp;"|"&amp;M414)</f>
        <v/>
      </c>
    </row>
    <row r="415">
      <c r="C415">
        <f>IF(B415="","",TEXT(B415,"YYYY-MM"))</f>
        <v/>
      </c>
      <c r="I415">
        <f>IF(H415="IC","OUI",IF(H415="HC","OUI",IF(H415="HR","NON","A_CONTROLER")))</f>
        <v/>
      </c>
      <c r="J415">
        <f>IF(H415="IC","OUI",IF(H415="HC","NON",IF(H415="HR","NON","A_CONTROLER")))</f>
        <v/>
      </c>
      <c r="AD415">
        <f>IF(A415="","",TEXT(B415,"YYYYMMDD")&amp;"|"&amp;TEXT(D415,"0.00")&amp;"|"&amp;F415&amp;"|"&amp;M415)</f>
        <v/>
      </c>
    </row>
    <row r="416">
      <c r="C416">
        <f>IF(B416="","",TEXT(B416,"YYYY-MM"))</f>
        <v/>
      </c>
      <c r="I416">
        <f>IF(H416="IC","OUI",IF(H416="HC","OUI",IF(H416="HR","NON","A_CONTROLER")))</f>
        <v/>
      </c>
      <c r="J416">
        <f>IF(H416="IC","OUI",IF(H416="HC","NON",IF(H416="HR","NON","A_CONTROLER")))</f>
        <v/>
      </c>
      <c r="AD416">
        <f>IF(A416="","",TEXT(B416,"YYYYMMDD")&amp;"|"&amp;TEXT(D416,"0.00")&amp;"|"&amp;F416&amp;"|"&amp;M416)</f>
        <v/>
      </c>
    </row>
    <row r="417">
      <c r="C417">
        <f>IF(B417="","",TEXT(B417,"YYYY-MM"))</f>
        <v/>
      </c>
      <c r="I417">
        <f>IF(H417="IC","OUI",IF(H417="HC","OUI",IF(H417="HR","NON","A_CONTROLER")))</f>
        <v/>
      </c>
      <c r="J417">
        <f>IF(H417="IC","OUI",IF(H417="HC","NON",IF(H417="HR","NON","A_CONTROLER")))</f>
        <v/>
      </c>
      <c r="AD417">
        <f>IF(A417="","",TEXT(B417,"YYYYMMDD")&amp;"|"&amp;TEXT(D417,"0.00")&amp;"|"&amp;F417&amp;"|"&amp;M417)</f>
        <v/>
      </c>
    </row>
    <row r="418">
      <c r="C418">
        <f>IF(B418="","",TEXT(B418,"YYYY-MM"))</f>
        <v/>
      </c>
      <c r="I418">
        <f>IF(H418="IC","OUI",IF(H418="HC","OUI",IF(H418="HR","NON","A_CONTROLER")))</f>
        <v/>
      </c>
      <c r="J418">
        <f>IF(H418="IC","OUI",IF(H418="HC","NON",IF(H418="HR","NON","A_CONTROLER")))</f>
        <v/>
      </c>
      <c r="AD418">
        <f>IF(A418="","",TEXT(B418,"YYYYMMDD")&amp;"|"&amp;TEXT(D418,"0.00")&amp;"|"&amp;F418&amp;"|"&amp;M418)</f>
        <v/>
      </c>
    </row>
    <row r="419">
      <c r="C419">
        <f>IF(B419="","",TEXT(B419,"YYYY-MM"))</f>
        <v/>
      </c>
      <c r="I419">
        <f>IF(H419="IC","OUI",IF(H419="HC","OUI",IF(H419="HR","NON","A_CONTROLER")))</f>
        <v/>
      </c>
      <c r="J419">
        <f>IF(H419="IC","OUI",IF(H419="HC","NON",IF(H419="HR","NON","A_CONTROLER")))</f>
        <v/>
      </c>
      <c r="AD419">
        <f>IF(A419="","",TEXT(B419,"YYYYMMDD")&amp;"|"&amp;TEXT(D419,"0.00")&amp;"|"&amp;F419&amp;"|"&amp;M419)</f>
        <v/>
      </c>
    </row>
    <row r="420">
      <c r="C420">
        <f>IF(B420="","",TEXT(B420,"YYYY-MM"))</f>
        <v/>
      </c>
      <c r="I420">
        <f>IF(H420="IC","OUI",IF(H420="HC","OUI",IF(H420="HR","NON","A_CONTROLER")))</f>
        <v/>
      </c>
      <c r="J420">
        <f>IF(H420="IC","OUI",IF(H420="HC","NON",IF(H420="HR","NON","A_CONTROLER")))</f>
        <v/>
      </c>
      <c r="AD420">
        <f>IF(A420="","",TEXT(B420,"YYYYMMDD")&amp;"|"&amp;TEXT(D420,"0.00")&amp;"|"&amp;F420&amp;"|"&amp;M420)</f>
        <v/>
      </c>
    </row>
    <row r="421">
      <c r="C421">
        <f>IF(B421="","",TEXT(B421,"YYYY-MM"))</f>
        <v/>
      </c>
      <c r="I421">
        <f>IF(H421="IC","OUI",IF(H421="HC","OUI",IF(H421="HR","NON","A_CONTROLER")))</f>
        <v/>
      </c>
      <c r="J421">
        <f>IF(H421="IC","OUI",IF(H421="HC","NON",IF(H421="HR","NON","A_CONTROLER")))</f>
        <v/>
      </c>
      <c r="AD421">
        <f>IF(A421="","",TEXT(B421,"YYYYMMDD")&amp;"|"&amp;TEXT(D421,"0.00")&amp;"|"&amp;F421&amp;"|"&amp;M421)</f>
        <v/>
      </c>
    </row>
    <row r="422">
      <c r="C422">
        <f>IF(B422="","",TEXT(B422,"YYYY-MM"))</f>
        <v/>
      </c>
      <c r="I422">
        <f>IF(H422="IC","OUI",IF(H422="HC","OUI",IF(H422="HR","NON","A_CONTROLER")))</f>
        <v/>
      </c>
      <c r="J422">
        <f>IF(H422="IC","OUI",IF(H422="HC","NON",IF(H422="HR","NON","A_CONTROLER")))</f>
        <v/>
      </c>
      <c r="AD422">
        <f>IF(A422="","",TEXT(B422,"YYYYMMDD")&amp;"|"&amp;TEXT(D422,"0.00")&amp;"|"&amp;F422&amp;"|"&amp;M422)</f>
        <v/>
      </c>
    </row>
    <row r="423">
      <c r="C423">
        <f>IF(B423="","",TEXT(B423,"YYYY-MM"))</f>
        <v/>
      </c>
      <c r="I423">
        <f>IF(H423="IC","OUI",IF(H423="HC","OUI",IF(H423="HR","NON","A_CONTROLER")))</f>
        <v/>
      </c>
      <c r="J423">
        <f>IF(H423="IC","OUI",IF(H423="HC","NON",IF(H423="HR","NON","A_CONTROLER")))</f>
        <v/>
      </c>
      <c r="AD423">
        <f>IF(A423="","",TEXT(B423,"YYYYMMDD")&amp;"|"&amp;TEXT(D423,"0.00")&amp;"|"&amp;F423&amp;"|"&amp;M423)</f>
        <v/>
      </c>
    </row>
    <row r="424">
      <c r="C424">
        <f>IF(B424="","",TEXT(B424,"YYYY-MM"))</f>
        <v/>
      </c>
      <c r="I424">
        <f>IF(H424="IC","OUI",IF(H424="HC","OUI",IF(H424="HR","NON","A_CONTROLER")))</f>
        <v/>
      </c>
      <c r="J424">
        <f>IF(H424="IC","OUI",IF(H424="HC","NON",IF(H424="HR","NON","A_CONTROLER")))</f>
        <v/>
      </c>
      <c r="AD424">
        <f>IF(A424="","",TEXT(B424,"YYYYMMDD")&amp;"|"&amp;TEXT(D424,"0.00")&amp;"|"&amp;F424&amp;"|"&amp;M424)</f>
        <v/>
      </c>
    </row>
    <row r="425">
      <c r="C425">
        <f>IF(B425="","",TEXT(B425,"YYYY-MM"))</f>
        <v/>
      </c>
      <c r="I425">
        <f>IF(H425="IC","OUI",IF(H425="HC","OUI",IF(H425="HR","NON","A_CONTROLER")))</f>
        <v/>
      </c>
      <c r="J425">
        <f>IF(H425="IC","OUI",IF(H425="HC","NON",IF(H425="HR","NON","A_CONTROLER")))</f>
        <v/>
      </c>
      <c r="AD425">
        <f>IF(A425="","",TEXT(B425,"YYYYMMDD")&amp;"|"&amp;TEXT(D425,"0.00")&amp;"|"&amp;F425&amp;"|"&amp;M425)</f>
        <v/>
      </c>
    </row>
    <row r="426">
      <c r="C426">
        <f>IF(B426="","",TEXT(B426,"YYYY-MM"))</f>
        <v/>
      </c>
      <c r="I426">
        <f>IF(H426="IC","OUI",IF(H426="HC","OUI",IF(H426="HR","NON","A_CONTROLER")))</f>
        <v/>
      </c>
      <c r="J426">
        <f>IF(H426="IC","OUI",IF(H426="HC","NON",IF(H426="HR","NON","A_CONTROLER")))</f>
        <v/>
      </c>
      <c r="AD426">
        <f>IF(A426="","",TEXT(B426,"YYYYMMDD")&amp;"|"&amp;TEXT(D426,"0.00")&amp;"|"&amp;F426&amp;"|"&amp;M426)</f>
        <v/>
      </c>
    </row>
    <row r="427">
      <c r="C427">
        <f>IF(B427="","",TEXT(B427,"YYYY-MM"))</f>
        <v/>
      </c>
      <c r="I427">
        <f>IF(H427="IC","OUI",IF(H427="HC","OUI",IF(H427="HR","NON","A_CONTROLER")))</f>
        <v/>
      </c>
      <c r="J427">
        <f>IF(H427="IC","OUI",IF(H427="HC","NON",IF(H427="HR","NON","A_CONTROLER")))</f>
        <v/>
      </c>
      <c r="AD427">
        <f>IF(A427="","",TEXT(B427,"YYYYMMDD")&amp;"|"&amp;TEXT(D427,"0.00")&amp;"|"&amp;F427&amp;"|"&amp;M427)</f>
        <v/>
      </c>
    </row>
    <row r="428">
      <c r="C428">
        <f>IF(B428="","",TEXT(B428,"YYYY-MM"))</f>
        <v/>
      </c>
      <c r="I428">
        <f>IF(H428="IC","OUI",IF(H428="HC","OUI",IF(H428="HR","NON","A_CONTROLER")))</f>
        <v/>
      </c>
      <c r="J428">
        <f>IF(H428="IC","OUI",IF(H428="HC","NON",IF(H428="HR","NON","A_CONTROLER")))</f>
        <v/>
      </c>
      <c r="AD428">
        <f>IF(A428="","",TEXT(B428,"YYYYMMDD")&amp;"|"&amp;TEXT(D428,"0.00")&amp;"|"&amp;F428&amp;"|"&amp;M428)</f>
        <v/>
      </c>
    </row>
    <row r="429">
      <c r="C429">
        <f>IF(B429="","",TEXT(B429,"YYYY-MM"))</f>
        <v/>
      </c>
      <c r="I429">
        <f>IF(H429="IC","OUI",IF(H429="HC","OUI",IF(H429="HR","NON","A_CONTROLER")))</f>
        <v/>
      </c>
      <c r="J429">
        <f>IF(H429="IC","OUI",IF(H429="HC","NON",IF(H429="HR","NON","A_CONTROLER")))</f>
        <v/>
      </c>
      <c r="AD429">
        <f>IF(A429="","",TEXT(B429,"YYYYMMDD")&amp;"|"&amp;TEXT(D429,"0.00")&amp;"|"&amp;F429&amp;"|"&amp;M429)</f>
        <v/>
      </c>
    </row>
    <row r="430">
      <c r="C430">
        <f>IF(B430="","",TEXT(B430,"YYYY-MM"))</f>
        <v/>
      </c>
      <c r="I430">
        <f>IF(H430="IC","OUI",IF(H430="HC","OUI",IF(H430="HR","NON","A_CONTROLER")))</f>
        <v/>
      </c>
      <c r="J430">
        <f>IF(H430="IC","OUI",IF(H430="HC","NON",IF(H430="HR","NON","A_CONTROLER")))</f>
        <v/>
      </c>
      <c r="AD430">
        <f>IF(A430="","",TEXT(B430,"YYYYMMDD")&amp;"|"&amp;TEXT(D430,"0.00")&amp;"|"&amp;F430&amp;"|"&amp;M430)</f>
        <v/>
      </c>
    </row>
    <row r="431">
      <c r="C431">
        <f>IF(B431="","",TEXT(B431,"YYYY-MM"))</f>
        <v/>
      </c>
      <c r="I431">
        <f>IF(H431="IC","OUI",IF(H431="HC","OUI",IF(H431="HR","NON","A_CONTROLER")))</f>
        <v/>
      </c>
      <c r="J431">
        <f>IF(H431="IC","OUI",IF(H431="HC","NON",IF(H431="HR","NON","A_CONTROLER")))</f>
        <v/>
      </c>
      <c r="AD431">
        <f>IF(A431="","",TEXT(B431,"YYYYMMDD")&amp;"|"&amp;TEXT(D431,"0.00")&amp;"|"&amp;F431&amp;"|"&amp;M431)</f>
        <v/>
      </c>
    </row>
    <row r="432">
      <c r="C432">
        <f>IF(B432="","",TEXT(B432,"YYYY-MM"))</f>
        <v/>
      </c>
      <c r="I432">
        <f>IF(H432="IC","OUI",IF(H432="HC","OUI",IF(H432="HR","NON","A_CONTROLER")))</f>
        <v/>
      </c>
      <c r="J432">
        <f>IF(H432="IC","OUI",IF(H432="HC","NON",IF(H432="HR","NON","A_CONTROLER")))</f>
        <v/>
      </c>
      <c r="AD432">
        <f>IF(A432="","",TEXT(B432,"YYYYMMDD")&amp;"|"&amp;TEXT(D432,"0.00")&amp;"|"&amp;F432&amp;"|"&amp;M432)</f>
        <v/>
      </c>
    </row>
    <row r="433">
      <c r="C433">
        <f>IF(B433="","",TEXT(B433,"YYYY-MM"))</f>
        <v/>
      </c>
      <c r="I433">
        <f>IF(H433="IC","OUI",IF(H433="HC","OUI",IF(H433="HR","NON","A_CONTROLER")))</f>
        <v/>
      </c>
      <c r="J433">
        <f>IF(H433="IC","OUI",IF(H433="HC","NON",IF(H433="HR","NON","A_CONTROLER")))</f>
        <v/>
      </c>
      <c r="AD433">
        <f>IF(A433="","",TEXT(B433,"YYYYMMDD")&amp;"|"&amp;TEXT(D433,"0.00")&amp;"|"&amp;F433&amp;"|"&amp;M433)</f>
        <v/>
      </c>
    </row>
    <row r="434">
      <c r="C434">
        <f>IF(B434="","",TEXT(B434,"YYYY-MM"))</f>
        <v/>
      </c>
      <c r="I434">
        <f>IF(H434="IC","OUI",IF(H434="HC","OUI",IF(H434="HR","NON","A_CONTROLER")))</f>
        <v/>
      </c>
      <c r="J434">
        <f>IF(H434="IC","OUI",IF(H434="HC","NON",IF(H434="HR","NON","A_CONTROLER")))</f>
        <v/>
      </c>
      <c r="AD434">
        <f>IF(A434="","",TEXT(B434,"YYYYMMDD")&amp;"|"&amp;TEXT(D434,"0.00")&amp;"|"&amp;F434&amp;"|"&amp;M434)</f>
        <v/>
      </c>
    </row>
    <row r="435">
      <c r="C435">
        <f>IF(B435="","",TEXT(B435,"YYYY-MM"))</f>
        <v/>
      </c>
      <c r="I435">
        <f>IF(H435="IC","OUI",IF(H435="HC","OUI",IF(H435="HR","NON","A_CONTROLER")))</f>
        <v/>
      </c>
      <c r="J435">
        <f>IF(H435="IC","OUI",IF(H435="HC","NON",IF(H435="HR","NON","A_CONTROLER")))</f>
        <v/>
      </c>
      <c r="AD435">
        <f>IF(A435="","",TEXT(B435,"YYYYMMDD")&amp;"|"&amp;TEXT(D435,"0.00")&amp;"|"&amp;F435&amp;"|"&amp;M435)</f>
        <v/>
      </c>
    </row>
    <row r="436">
      <c r="C436">
        <f>IF(B436="","",TEXT(B436,"YYYY-MM"))</f>
        <v/>
      </c>
      <c r="I436">
        <f>IF(H436="IC","OUI",IF(H436="HC","OUI",IF(H436="HR","NON","A_CONTROLER")))</f>
        <v/>
      </c>
      <c r="J436">
        <f>IF(H436="IC","OUI",IF(H436="HC","NON",IF(H436="HR","NON","A_CONTROLER")))</f>
        <v/>
      </c>
      <c r="AD436">
        <f>IF(A436="","",TEXT(B436,"YYYYMMDD")&amp;"|"&amp;TEXT(D436,"0.00")&amp;"|"&amp;F436&amp;"|"&amp;M436)</f>
        <v/>
      </c>
    </row>
    <row r="437">
      <c r="C437">
        <f>IF(B437="","",TEXT(B437,"YYYY-MM"))</f>
        <v/>
      </c>
      <c r="I437">
        <f>IF(H437="IC","OUI",IF(H437="HC","OUI",IF(H437="HR","NON","A_CONTROLER")))</f>
        <v/>
      </c>
      <c r="J437">
        <f>IF(H437="IC","OUI",IF(H437="HC","NON",IF(H437="HR","NON","A_CONTROLER")))</f>
        <v/>
      </c>
      <c r="AD437">
        <f>IF(A437="","",TEXT(B437,"YYYYMMDD")&amp;"|"&amp;TEXT(D437,"0.00")&amp;"|"&amp;F437&amp;"|"&amp;M437)</f>
        <v/>
      </c>
    </row>
    <row r="438">
      <c r="C438">
        <f>IF(B438="","",TEXT(B438,"YYYY-MM"))</f>
        <v/>
      </c>
      <c r="I438">
        <f>IF(H438="IC","OUI",IF(H438="HC","OUI",IF(H438="HR","NON","A_CONTROLER")))</f>
        <v/>
      </c>
      <c r="J438">
        <f>IF(H438="IC","OUI",IF(H438="HC","NON",IF(H438="HR","NON","A_CONTROLER")))</f>
        <v/>
      </c>
      <c r="AD438">
        <f>IF(A438="","",TEXT(B438,"YYYYMMDD")&amp;"|"&amp;TEXT(D438,"0.00")&amp;"|"&amp;F438&amp;"|"&amp;M438)</f>
        <v/>
      </c>
    </row>
    <row r="439">
      <c r="C439">
        <f>IF(B439="","",TEXT(B439,"YYYY-MM"))</f>
        <v/>
      </c>
      <c r="I439">
        <f>IF(H439="IC","OUI",IF(H439="HC","OUI",IF(H439="HR","NON","A_CONTROLER")))</f>
        <v/>
      </c>
      <c r="J439">
        <f>IF(H439="IC","OUI",IF(H439="HC","NON",IF(H439="HR","NON","A_CONTROLER")))</f>
        <v/>
      </c>
      <c r="AD439">
        <f>IF(A439="","",TEXT(B439,"YYYYMMDD")&amp;"|"&amp;TEXT(D439,"0.00")&amp;"|"&amp;F439&amp;"|"&amp;M439)</f>
        <v/>
      </c>
    </row>
    <row r="440">
      <c r="C440">
        <f>IF(B440="","",TEXT(B440,"YYYY-MM"))</f>
        <v/>
      </c>
      <c r="I440">
        <f>IF(H440="IC","OUI",IF(H440="HC","OUI",IF(H440="HR","NON","A_CONTROLER")))</f>
        <v/>
      </c>
      <c r="J440">
        <f>IF(H440="IC","OUI",IF(H440="HC","NON",IF(H440="HR","NON","A_CONTROLER")))</f>
        <v/>
      </c>
      <c r="AD440">
        <f>IF(A440="","",TEXT(B440,"YYYYMMDD")&amp;"|"&amp;TEXT(D440,"0.00")&amp;"|"&amp;F440&amp;"|"&amp;M440)</f>
        <v/>
      </c>
    </row>
    <row r="441">
      <c r="C441">
        <f>IF(B441="","",TEXT(B441,"YYYY-MM"))</f>
        <v/>
      </c>
      <c r="I441">
        <f>IF(H441="IC","OUI",IF(H441="HC","OUI",IF(H441="HR","NON","A_CONTROLER")))</f>
        <v/>
      </c>
      <c r="J441">
        <f>IF(H441="IC","OUI",IF(H441="HC","NON",IF(H441="HR","NON","A_CONTROLER")))</f>
        <v/>
      </c>
      <c r="AD441">
        <f>IF(A441="","",TEXT(B441,"YYYYMMDD")&amp;"|"&amp;TEXT(D441,"0.00")&amp;"|"&amp;F441&amp;"|"&amp;M441)</f>
        <v/>
      </c>
    </row>
    <row r="442">
      <c r="C442">
        <f>IF(B442="","",TEXT(B442,"YYYY-MM"))</f>
        <v/>
      </c>
      <c r="I442">
        <f>IF(H442="IC","OUI",IF(H442="HC","OUI",IF(H442="HR","NON","A_CONTROLER")))</f>
        <v/>
      </c>
      <c r="J442">
        <f>IF(H442="IC","OUI",IF(H442="HC","NON",IF(H442="HR","NON","A_CONTROLER")))</f>
        <v/>
      </c>
      <c r="AD442">
        <f>IF(A442="","",TEXT(B442,"YYYYMMDD")&amp;"|"&amp;TEXT(D442,"0.00")&amp;"|"&amp;F442&amp;"|"&amp;M442)</f>
        <v/>
      </c>
    </row>
    <row r="443">
      <c r="C443">
        <f>IF(B443="","",TEXT(B443,"YYYY-MM"))</f>
        <v/>
      </c>
      <c r="I443">
        <f>IF(H443="IC","OUI",IF(H443="HC","OUI",IF(H443="HR","NON","A_CONTROLER")))</f>
        <v/>
      </c>
      <c r="J443">
        <f>IF(H443="IC","OUI",IF(H443="HC","NON",IF(H443="HR","NON","A_CONTROLER")))</f>
        <v/>
      </c>
      <c r="AD443">
        <f>IF(A443="","",TEXT(B443,"YYYYMMDD")&amp;"|"&amp;TEXT(D443,"0.00")&amp;"|"&amp;F443&amp;"|"&amp;M443)</f>
        <v/>
      </c>
    </row>
    <row r="444">
      <c r="C444">
        <f>IF(B444="","",TEXT(B444,"YYYY-MM"))</f>
        <v/>
      </c>
      <c r="I444">
        <f>IF(H444="IC","OUI",IF(H444="HC","OUI",IF(H444="HR","NON","A_CONTROLER")))</f>
        <v/>
      </c>
      <c r="J444">
        <f>IF(H444="IC","OUI",IF(H444="HC","NON",IF(H444="HR","NON","A_CONTROLER")))</f>
        <v/>
      </c>
      <c r="AD444">
        <f>IF(A444="","",TEXT(B444,"YYYYMMDD")&amp;"|"&amp;TEXT(D444,"0.00")&amp;"|"&amp;F444&amp;"|"&amp;M444)</f>
        <v/>
      </c>
    </row>
    <row r="445">
      <c r="C445">
        <f>IF(B445="","",TEXT(B445,"YYYY-MM"))</f>
        <v/>
      </c>
      <c r="I445">
        <f>IF(H445="IC","OUI",IF(H445="HC","OUI",IF(H445="HR","NON","A_CONTROLER")))</f>
        <v/>
      </c>
      <c r="J445">
        <f>IF(H445="IC","OUI",IF(H445="HC","NON",IF(H445="HR","NON","A_CONTROLER")))</f>
        <v/>
      </c>
      <c r="AD445">
        <f>IF(A445="","",TEXT(B445,"YYYYMMDD")&amp;"|"&amp;TEXT(D445,"0.00")&amp;"|"&amp;F445&amp;"|"&amp;M445)</f>
        <v/>
      </c>
    </row>
    <row r="446">
      <c r="C446">
        <f>IF(B446="","",TEXT(B446,"YYYY-MM"))</f>
        <v/>
      </c>
      <c r="I446">
        <f>IF(H446="IC","OUI",IF(H446="HC","OUI",IF(H446="HR","NON","A_CONTROLER")))</f>
        <v/>
      </c>
      <c r="J446">
        <f>IF(H446="IC","OUI",IF(H446="HC","NON",IF(H446="HR","NON","A_CONTROLER")))</f>
        <v/>
      </c>
      <c r="AD446">
        <f>IF(A446="","",TEXT(B446,"YYYYMMDD")&amp;"|"&amp;TEXT(D446,"0.00")&amp;"|"&amp;F446&amp;"|"&amp;M446)</f>
        <v/>
      </c>
    </row>
    <row r="447">
      <c r="C447">
        <f>IF(B447="","",TEXT(B447,"YYYY-MM"))</f>
        <v/>
      </c>
      <c r="I447">
        <f>IF(H447="IC","OUI",IF(H447="HC","OUI",IF(H447="HR","NON","A_CONTROLER")))</f>
        <v/>
      </c>
      <c r="J447">
        <f>IF(H447="IC","OUI",IF(H447="HC","NON",IF(H447="HR","NON","A_CONTROLER")))</f>
        <v/>
      </c>
      <c r="AD447">
        <f>IF(A447="","",TEXT(B447,"YYYYMMDD")&amp;"|"&amp;TEXT(D447,"0.00")&amp;"|"&amp;F447&amp;"|"&amp;M447)</f>
        <v/>
      </c>
    </row>
    <row r="448">
      <c r="C448">
        <f>IF(B448="","",TEXT(B448,"YYYY-MM"))</f>
        <v/>
      </c>
      <c r="I448">
        <f>IF(H448="IC","OUI",IF(H448="HC","OUI",IF(H448="HR","NON","A_CONTROLER")))</f>
        <v/>
      </c>
      <c r="J448">
        <f>IF(H448="IC","OUI",IF(H448="HC","NON",IF(H448="HR","NON","A_CONTROLER")))</f>
        <v/>
      </c>
      <c r="AD448">
        <f>IF(A448="","",TEXT(B448,"YYYYMMDD")&amp;"|"&amp;TEXT(D448,"0.00")&amp;"|"&amp;F448&amp;"|"&amp;M448)</f>
        <v/>
      </c>
    </row>
    <row r="449">
      <c r="C449">
        <f>IF(B449="","",TEXT(B449,"YYYY-MM"))</f>
        <v/>
      </c>
      <c r="I449">
        <f>IF(H449="IC","OUI",IF(H449="HC","OUI",IF(H449="HR","NON","A_CONTROLER")))</f>
        <v/>
      </c>
      <c r="J449">
        <f>IF(H449="IC","OUI",IF(H449="HC","NON",IF(H449="HR","NON","A_CONTROLER")))</f>
        <v/>
      </c>
      <c r="AD449">
        <f>IF(A449="","",TEXT(B449,"YYYYMMDD")&amp;"|"&amp;TEXT(D449,"0.00")&amp;"|"&amp;F449&amp;"|"&amp;M449)</f>
        <v/>
      </c>
    </row>
    <row r="450">
      <c r="C450">
        <f>IF(B450="","",TEXT(B450,"YYYY-MM"))</f>
        <v/>
      </c>
      <c r="I450">
        <f>IF(H450="IC","OUI",IF(H450="HC","OUI",IF(H450="HR","NON","A_CONTROLER")))</f>
        <v/>
      </c>
      <c r="J450">
        <f>IF(H450="IC","OUI",IF(H450="HC","NON",IF(H450="HR","NON","A_CONTROLER")))</f>
        <v/>
      </c>
      <c r="AD450">
        <f>IF(A450="","",TEXT(B450,"YYYYMMDD")&amp;"|"&amp;TEXT(D450,"0.00")&amp;"|"&amp;F450&amp;"|"&amp;M450)</f>
        <v/>
      </c>
    </row>
    <row r="451">
      <c r="C451">
        <f>IF(B451="","",TEXT(B451,"YYYY-MM"))</f>
        <v/>
      </c>
      <c r="I451">
        <f>IF(H451="IC","OUI",IF(H451="HC","OUI",IF(H451="HR","NON","A_CONTROLER")))</f>
        <v/>
      </c>
      <c r="J451">
        <f>IF(H451="IC","OUI",IF(H451="HC","NON",IF(H451="HR","NON","A_CONTROLER")))</f>
        <v/>
      </c>
      <c r="AD451">
        <f>IF(A451="","",TEXT(B451,"YYYYMMDD")&amp;"|"&amp;TEXT(D451,"0.00")&amp;"|"&amp;F451&amp;"|"&amp;M451)</f>
        <v/>
      </c>
    </row>
    <row r="452">
      <c r="C452">
        <f>IF(B452="","",TEXT(B452,"YYYY-MM"))</f>
        <v/>
      </c>
      <c r="I452">
        <f>IF(H452="IC","OUI",IF(H452="HC","OUI",IF(H452="HR","NON","A_CONTROLER")))</f>
        <v/>
      </c>
      <c r="J452">
        <f>IF(H452="IC","OUI",IF(H452="HC","NON",IF(H452="HR","NON","A_CONTROLER")))</f>
        <v/>
      </c>
      <c r="AD452">
        <f>IF(A452="","",TEXT(B452,"YYYYMMDD")&amp;"|"&amp;TEXT(D452,"0.00")&amp;"|"&amp;F452&amp;"|"&amp;M452)</f>
        <v/>
      </c>
    </row>
    <row r="453">
      <c r="C453">
        <f>IF(B453="","",TEXT(B453,"YYYY-MM"))</f>
        <v/>
      </c>
      <c r="I453">
        <f>IF(H453="IC","OUI",IF(H453="HC","OUI",IF(H453="HR","NON","A_CONTROLER")))</f>
        <v/>
      </c>
      <c r="J453">
        <f>IF(H453="IC","OUI",IF(H453="HC","NON",IF(H453="HR","NON","A_CONTROLER")))</f>
        <v/>
      </c>
      <c r="AD453">
        <f>IF(A453="","",TEXT(B453,"YYYYMMDD")&amp;"|"&amp;TEXT(D453,"0.00")&amp;"|"&amp;F453&amp;"|"&amp;M453)</f>
        <v/>
      </c>
    </row>
    <row r="454">
      <c r="C454">
        <f>IF(B454="","",TEXT(B454,"YYYY-MM"))</f>
        <v/>
      </c>
      <c r="I454">
        <f>IF(H454="IC","OUI",IF(H454="HC","OUI",IF(H454="HR","NON","A_CONTROLER")))</f>
        <v/>
      </c>
      <c r="J454">
        <f>IF(H454="IC","OUI",IF(H454="HC","NON",IF(H454="HR","NON","A_CONTROLER")))</f>
        <v/>
      </c>
      <c r="AD454">
        <f>IF(A454="","",TEXT(B454,"YYYYMMDD")&amp;"|"&amp;TEXT(D454,"0.00")&amp;"|"&amp;F454&amp;"|"&amp;M454)</f>
        <v/>
      </c>
    </row>
    <row r="455">
      <c r="C455">
        <f>IF(B455="","",TEXT(B455,"YYYY-MM"))</f>
        <v/>
      </c>
      <c r="I455">
        <f>IF(H455="IC","OUI",IF(H455="HC","OUI",IF(H455="HR","NON","A_CONTROLER")))</f>
        <v/>
      </c>
      <c r="J455">
        <f>IF(H455="IC","OUI",IF(H455="HC","NON",IF(H455="HR","NON","A_CONTROLER")))</f>
        <v/>
      </c>
      <c r="AD455">
        <f>IF(A455="","",TEXT(B455,"YYYYMMDD")&amp;"|"&amp;TEXT(D455,"0.00")&amp;"|"&amp;F455&amp;"|"&amp;M455)</f>
        <v/>
      </c>
    </row>
    <row r="456">
      <c r="C456">
        <f>IF(B456="","",TEXT(B456,"YYYY-MM"))</f>
        <v/>
      </c>
      <c r="I456">
        <f>IF(H456="IC","OUI",IF(H456="HC","OUI",IF(H456="HR","NON","A_CONTROLER")))</f>
        <v/>
      </c>
      <c r="J456">
        <f>IF(H456="IC","OUI",IF(H456="HC","NON",IF(H456="HR","NON","A_CONTROLER")))</f>
        <v/>
      </c>
      <c r="AD456">
        <f>IF(A456="","",TEXT(B456,"YYYYMMDD")&amp;"|"&amp;TEXT(D456,"0.00")&amp;"|"&amp;F456&amp;"|"&amp;M456)</f>
        <v/>
      </c>
    </row>
    <row r="457">
      <c r="C457">
        <f>IF(B457="","",TEXT(B457,"YYYY-MM"))</f>
        <v/>
      </c>
      <c r="I457">
        <f>IF(H457="IC","OUI",IF(H457="HC","OUI",IF(H457="HR","NON","A_CONTROLER")))</f>
        <v/>
      </c>
      <c r="J457">
        <f>IF(H457="IC","OUI",IF(H457="HC","NON",IF(H457="HR","NON","A_CONTROLER")))</f>
        <v/>
      </c>
      <c r="AD457">
        <f>IF(A457="","",TEXT(B457,"YYYYMMDD")&amp;"|"&amp;TEXT(D457,"0.00")&amp;"|"&amp;F457&amp;"|"&amp;M457)</f>
        <v/>
      </c>
    </row>
    <row r="458">
      <c r="C458">
        <f>IF(B458="","",TEXT(B458,"YYYY-MM"))</f>
        <v/>
      </c>
      <c r="I458">
        <f>IF(H458="IC","OUI",IF(H458="HC","OUI",IF(H458="HR","NON","A_CONTROLER")))</f>
        <v/>
      </c>
      <c r="J458">
        <f>IF(H458="IC","OUI",IF(H458="HC","NON",IF(H458="HR","NON","A_CONTROLER")))</f>
        <v/>
      </c>
      <c r="AD458">
        <f>IF(A458="","",TEXT(B458,"YYYYMMDD")&amp;"|"&amp;TEXT(D458,"0.00")&amp;"|"&amp;F458&amp;"|"&amp;M458)</f>
        <v/>
      </c>
    </row>
    <row r="459">
      <c r="C459">
        <f>IF(B459="","",TEXT(B459,"YYYY-MM"))</f>
        <v/>
      </c>
      <c r="I459">
        <f>IF(H459="IC","OUI",IF(H459="HC","OUI",IF(H459="HR","NON","A_CONTROLER")))</f>
        <v/>
      </c>
      <c r="J459">
        <f>IF(H459="IC","OUI",IF(H459="HC","NON",IF(H459="HR","NON","A_CONTROLER")))</f>
        <v/>
      </c>
      <c r="AD459">
        <f>IF(A459="","",TEXT(B459,"YYYYMMDD")&amp;"|"&amp;TEXT(D459,"0.00")&amp;"|"&amp;F459&amp;"|"&amp;M459)</f>
        <v/>
      </c>
    </row>
    <row r="460">
      <c r="C460">
        <f>IF(B460="","",TEXT(B460,"YYYY-MM"))</f>
        <v/>
      </c>
      <c r="I460">
        <f>IF(H460="IC","OUI",IF(H460="HC","OUI",IF(H460="HR","NON","A_CONTROLER")))</f>
        <v/>
      </c>
      <c r="J460">
        <f>IF(H460="IC","OUI",IF(H460="HC","NON",IF(H460="HR","NON","A_CONTROLER")))</f>
        <v/>
      </c>
      <c r="AD460">
        <f>IF(A460="","",TEXT(B460,"YYYYMMDD")&amp;"|"&amp;TEXT(D460,"0.00")&amp;"|"&amp;F460&amp;"|"&amp;M460)</f>
        <v/>
      </c>
    </row>
    <row r="461">
      <c r="C461">
        <f>IF(B461="","",TEXT(B461,"YYYY-MM"))</f>
        <v/>
      </c>
      <c r="I461">
        <f>IF(H461="IC","OUI",IF(H461="HC","OUI",IF(H461="HR","NON","A_CONTROLER")))</f>
        <v/>
      </c>
      <c r="J461">
        <f>IF(H461="IC","OUI",IF(H461="HC","NON",IF(H461="HR","NON","A_CONTROLER")))</f>
        <v/>
      </c>
      <c r="AD461">
        <f>IF(A461="","",TEXT(B461,"YYYYMMDD")&amp;"|"&amp;TEXT(D461,"0.00")&amp;"|"&amp;F461&amp;"|"&amp;M461)</f>
        <v/>
      </c>
    </row>
    <row r="462">
      <c r="C462">
        <f>IF(B462="","",TEXT(B462,"YYYY-MM"))</f>
        <v/>
      </c>
      <c r="I462">
        <f>IF(H462="IC","OUI",IF(H462="HC","OUI",IF(H462="HR","NON","A_CONTROLER")))</f>
        <v/>
      </c>
      <c r="J462">
        <f>IF(H462="IC","OUI",IF(H462="HC","NON",IF(H462="HR","NON","A_CONTROLER")))</f>
        <v/>
      </c>
      <c r="AD462">
        <f>IF(A462="","",TEXT(B462,"YYYYMMDD")&amp;"|"&amp;TEXT(D462,"0.00")&amp;"|"&amp;F462&amp;"|"&amp;M462)</f>
        <v/>
      </c>
    </row>
    <row r="463">
      <c r="C463">
        <f>IF(B463="","",TEXT(B463,"YYYY-MM"))</f>
        <v/>
      </c>
      <c r="I463">
        <f>IF(H463="IC","OUI",IF(H463="HC","OUI",IF(H463="HR","NON","A_CONTROLER")))</f>
        <v/>
      </c>
      <c r="J463">
        <f>IF(H463="IC","OUI",IF(H463="HC","NON",IF(H463="HR","NON","A_CONTROLER")))</f>
        <v/>
      </c>
      <c r="AD463">
        <f>IF(A463="","",TEXT(B463,"YYYYMMDD")&amp;"|"&amp;TEXT(D463,"0.00")&amp;"|"&amp;F463&amp;"|"&amp;M463)</f>
        <v/>
      </c>
    </row>
    <row r="464">
      <c r="C464">
        <f>IF(B464="","",TEXT(B464,"YYYY-MM"))</f>
        <v/>
      </c>
      <c r="I464">
        <f>IF(H464="IC","OUI",IF(H464="HC","OUI",IF(H464="HR","NON","A_CONTROLER")))</f>
        <v/>
      </c>
      <c r="J464">
        <f>IF(H464="IC","OUI",IF(H464="HC","NON",IF(H464="HR","NON","A_CONTROLER")))</f>
        <v/>
      </c>
      <c r="AD464">
        <f>IF(A464="","",TEXT(B464,"YYYYMMDD")&amp;"|"&amp;TEXT(D464,"0.00")&amp;"|"&amp;F464&amp;"|"&amp;M464)</f>
        <v/>
      </c>
    </row>
    <row r="465">
      <c r="C465">
        <f>IF(B465="","",TEXT(B465,"YYYY-MM"))</f>
        <v/>
      </c>
      <c r="I465">
        <f>IF(H465="IC","OUI",IF(H465="HC","OUI",IF(H465="HR","NON","A_CONTROLER")))</f>
        <v/>
      </c>
      <c r="J465">
        <f>IF(H465="IC","OUI",IF(H465="HC","NON",IF(H465="HR","NON","A_CONTROLER")))</f>
        <v/>
      </c>
      <c r="AD465">
        <f>IF(A465="","",TEXT(B465,"YYYYMMDD")&amp;"|"&amp;TEXT(D465,"0.00")&amp;"|"&amp;F465&amp;"|"&amp;M465)</f>
        <v/>
      </c>
    </row>
    <row r="466">
      <c r="C466">
        <f>IF(B466="","",TEXT(B466,"YYYY-MM"))</f>
        <v/>
      </c>
      <c r="I466">
        <f>IF(H466="IC","OUI",IF(H466="HC","OUI",IF(H466="HR","NON","A_CONTROLER")))</f>
        <v/>
      </c>
      <c r="J466">
        <f>IF(H466="IC","OUI",IF(H466="HC","NON",IF(H466="HR","NON","A_CONTROLER")))</f>
        <v/>
      </c>
      <c r="AD466">
        <f>IF(A466="","",TEXT(B466,"YYYYMMDD")&amp;"|"&amp;TEXT(D466,"0.00")&amp;"|"&amp;F466&amp;"|"&amp;M466)</f>
        <v/>
      </c>
    </row>
    <row r="467">
      <c r="C467">
        <f>IF(B467="","",TEXT(B467,"YYYY-MM"))</f>
        <v/>
      </c>
      <c r="I467">
        <f>IF(H467="IC","OUI",IF(H467="HC","OUI",IF(H467="HR","NON","A_CONTROLER")))</f>
        <v/>
      </c>
      <c r="J467">
        <f>IF(H467="IC","OUI",IF(H467="HC","NON",IF(H467="HR","NON","A_CONTROLER")))</f>
        <v/>
      </c>
      <c r="AD467">
        <f>IF(A467="","",TEXT(B467,"YYYYMMDD")&amp;"|"&amp;TEXT(D467,"0.00")&amp;"|"&amp;F467&amp;"|"&amp;M467)</f>
        <v/>
      </c>
    </row>
    <row r="468">
      <c r="C468">
        <f>IF(B468="","",TEXT(B468,"YYYY-MM"))</f>
        <v/>
      </c>
      <c r="I468">
        <f>IF(H468="IC","OUI",IF(H468="HC","OUI",IF(H468="HR","NON","A_CONTROLER")))</f>
        <v/>
      </c>
      <c r="J468">
        <f>IF(H468="IC","OUI",IF(H468="HC","NON",IF(H468="HR","NON","A_CONTROLER")))</f>
        <v/>
      </c>
      <c r="AD468">
        <f>IF(A468="","",TEXT(B468,"YYYYMMDD")&amp;"|"&amp;TEXT(D468,"0.00")&amp;"|"&amp;F468&amp;"|"&amp;M468)</f>
        <v/>
      </c>
    </row>
    <row r="469">
      <c r="C469">
        <f>IF(B469="","",TEXT(B469,"YYYY-MM"))</f>
        <v/>
      </c>
      <c r="I469">
        <f>IF(H469="IC","OUI",IF(H469="HC","OUI",IF(H469="HR","NON","A_CONTROLER")))</f>
        <v/>
      </c>
      <c r="J469">
        <f>IF(H469="IC","OUI",IF(H469="HC","NON",IF(H469="HR","NON","A_CONTROLER")))</f>
        <v/>
      </c>
      <c r="AD469">
        <f>IF(A469="","",TEXT(B469,"YYYYMMDD")&amp;"|"&amp;TEXT(D469,"0.00")&amp;"|"&amp;F469&amp;"|"&amp;M469)</f>
        <v/>
      </c>
    </row>
    <row r="470">
      <c r="C470">
        <f>IF(B470="","",TEXT(B470,"YYYY-MM"))</f>
        <v/>
      </c>
      <c r="I470">
        <f>IF(H470="IC","OUI",IF(H470="HC","OUI",IF(H470="HR","NON","A_CONTROLER")))</f>
        <v/>
      </c>
      <c r="J470">
        <f>IF(H470="IC","OUI",IF(H470="HC","NON",IF(H470="HR","NON","A_CONTROLER")))</f>
        <v/>
      </c>
      <c r="AD470">
        <f>IF(A470="","",TEXT(B470,"YYYYMMDD")&amp;"|"&amp;TEXT(D470,"0.00")&amp;"|"&amp;F470&amp;"|"&amp;M470)</f>
        <v/>
      </c>
    </row>
    <row r="471">
      <c r="C471">
        <f>IF(B471="","",TEXT(B471,"YYYY-MM"))</f>
        <v/>
      </c>
      <c r="I471">
        <f>IF(H471="IC","OUI",IF(H471="HC","OUI",IF(H471="HR","NON","A_CONTROLER")))</f>
        <v/>
      </c>
      <c r="J471">
        <f>IF(H471="IC","OUI",IF(H471="HC","NON",IF(H471="HR","NON","A_CONTROLER")))</f>
        <v/>
      </c>
      <c r="AD471">
        <f>IF(A471="","",TEXT(B471,"YYYYMMDD")&amp;"|"&amp;TEXT(D471,"0.00")&amp;"|"&amp;F471&amp;"|"&amp;M471)</f>
        <v/>
      </c>
    </row>
    <row r="472">
      <c r="C472">
        <f>IF(B472="","",TEXT(B472,"YYYY-MM"))</f>
        <v/>
      </c>
      <c r="I472">
        <f>IF(H472="IC","OUI",IF(H472="HC","OUI",IF(H472="HR","NON","A_CONTROLER")))</f>
        <v/>
      </c>
      <c r="J472">
        <f>IF(H472="IC","OUI",IF(H472="HC","NON",IF(H472="HR","NON","A_CONTROLER")))</f>
        <v/>
      </c>
      <c r="AD472">
        <f>IF(A472="","",TEXT(B472,"YYYYMMDD")&amp;"|"&amp;TEXT(D472,"0.00")&amp;"|"&amp;F472&amp;"|"&amp;M472)</f>
        <v/>
      </c>
    </row>
    <row r="473">
      <c r="C473">
        <f>IF(B473="","",TEXT(B473,"YYYY-MM"))</f>
        <v/>
      </c>
      <c r="I473">
        <f>IF(H473="IC","OUI",IF(H473="HC","OUI",IF(H473="HR","NON","A_CONTROLER")))</f>
        <v/>
      </c>
      <c r="J473">
        <f>IF(H473="IC","OUI",IF(H473="HC","NON",IF(H473="HR","NON","A_CONTROLER")))</f>
        <v/>
      </c>
      <c r="AD473">
        <f>IF(A473="","",TEXT(B473,"YYYYMMDD")&amp;"|"&amp;TEXT(D473,"0.00")&amp;"|"&amp;F473&amp;"|"&amp;M473)</f>
        <v/>
      </c>
    </row>
    <row r="474">
      <c r="C474">
        <f>IF(B474="","",TEXT(B474,"YYYY-MM"))</f>
        <v/>
      </c>
      <c r="I474">
        <f>IF(H474="IC","OUI",IF(H474="HC","OUI",IF(H474="HR","NON","A_CONTROLER")))</f>
        <v/>
      </c>
      <c r="J474">
        <f>IF(H474="IC","OUI",IF(H474="HC","NON",IF(H474="HR","NON","A_CONTROLER")))</f>
        <v/>
      </c>
      <c r="AD474">
        <f>IF(A474="","",TEXT(B474,"YYYYMMDD")&amp;"|"&amp;TEXT(D474,"0.00")&amp;"|"&amp;F474&amp;"|"&amp;M474)</f>
        <v/>
      </c>
    </row>
    <row r="475">
      <c r="C475">
        <f>IF(B475="","",TEXT(B475,"YYYY-MM"))</f>
        <v/>
      </c>
      <c r="I475">
        <f>IF(H475="IC","OUI",IF(H475="HC","OUI",IF(H475="HR","NON","A_CONTROLER")))</f>
        <v/>
      </c>
      <c r="J475">
        <f>IF(H475="IC","OUI",IF(H475="HC","NON",IF(H475="HR","NON","A_CONTROLER")))</f>
        <v/>
      </c>
      <c r="AD475">
        <f>IF(A475="","",TEXT(B475,"YYYYMMDD")&amp;"|"&amp;TEXT(D475,"0.00")&amp;"|"&amp;F475&amp;"|"&amp;M475)</f>
        <v/>
      </c>
    </row>
    <row r="476">
      <c r="C476">
        <f>IF(B476="","",TEXT(B476,"YYYY-MM"))</f>
        <v/>
      </c>
      <c r="I476">
        <f>IF(H476="IC","OUI",IF(H476="HC","OUI",IF(H476="HR","NON","A_CONTROLER")))</f>
        <v/>
      </c>
      <c r="J476">
        <f>IF(H476="IC","OUI",IF(H476="HC","NON",IF(H476="HR","NON","A_CONTROLER")))</f>
        <v/>
      </c>
      <c r="AD476">
        <f>IF(A476="","",TEXT(B476,"YYYYMMDD")&amp;"|"&amp;TEXT(D476,"0.00")&amp;"|"&amp;F476&amp;"|"&amp;M476)</f>
        <v/>
      </c>
    </row>
    <row r="477">
      <c r="C477">
        <f>IF(B477="","",TEXT(B477,"YYYY-MM"))</f>
        <v/>
      </c>
      <c r="I477">
        <f>IF(H477="IC","OUI",IF(H477="HC","OUI",IF(H477="HR","NON","A_CONTROLER")))</f>
        <v/>
      </c>
      <c r="J477">
        <f>IF(H477="IC","OUI",IF(H477="HC","NON",IF(H477="HR","NON","A_CONTROLER")))</f>
        <v/>
      </c>
      <c r="AD477">
        <f>IF(A477="","",TEXT(B477,"YYYYMMDD")&amp;"|"&amp;TEXT(D477,"0.00")&amp;"|"&amp;F477&amp;"|"&amp;M477)</f>
        <v/>
      </c>
    </row>
    <row r="478">
      <c r="C478">
        <f>IF(B478="","",TEXT(B478,"YYYY-MM"))</f>
        <v/>
      </c>
      <c r="I478">
        <f>IF(H478="IC","OUI",IF(H478="HC","OUI",IF(H478="HR","NON","A_CONTROLER")))</f>
        <v/>
      </c>
      <c r="J478">
        <f>IF(H478="IC","OUI",IF(H478="HC","NON",IF(H478="HR","NON","A_CONTROLER")))</f>
        <v/>
      </c>
      <c r="AD478">
        <f>IF(A478="","",TEXT(B478,"YYYYMMDD")&amp;"|"&amp;TEXT(D478,"0.00")&amp;"|"&amp;F478&amp;"|"&amp;M478)</f>
        <v/>
      </c>
    </row>
    <row r="479">
      <c r="C479">
        <f>IF(B479="","",TEXT(B479,"YYYY-MM"))</f>
        <v/>
      </c>
      <c r="I479">
        <f>IF(H479="IC","OUI",IF(H479="HC","OUI",IF(H479="HR","NON","A_CONTROLER")))</f>
        <v/>
      </c>
      <c r="J479">
        <f>IF(H479="IC","OUI",IF(H479="HC","NON",IF(H479="HR","NON","A_CONTROLER")))</f>
        <v/>
      </c>
      <c r="AD479">
        <f>IF(A479="","",TEXT(B479,"YYYYMMDD")&amp;"|"&amp;TEXT(D479,"0.00")&amp;"|"&amp;F479&amp;"|"&amp;M479)</f>
        <v/>
      </c>
    </row>
    <row r="480">
      <c r="C480">
        <f>IF(B480="","",TEXT(B480,"YYYY-MM"))</f>
        <v/>
      </c>
      <c r="I480">
        <f>IF(H480="IC","OUI",IF(H480="HC","OUI",IF(H480="HR","NON","A_CONTROLER")))</f>
        <v/>
      </c>
      <c r="J480">
        <f>IF(H480="IC","OUI",IF(H480="HC","NON",IF(H480="HR","NON","A_CONTROLER")))</f>
        <v/>
      </c>
      <c r="AD480">
        <f>IF(A480="","",TEXT(B480,"YYYYMMDD")&amp;"|"&amp;TEXT(D480,"0.00")&amp;"|"&amp;F480&amp;"|"&amp;M480)</f>
        <v/>
      </c>
    </row>
    <row r="481">
      <c r="C481">
        <f>IF(B481="","",TEXT(B481,"YYYY-MM"))</f>
        <v/>
      </c>
      <c r="I481">
        <f>IF(H481="IC","OUI",IF(H481="HC","OUI",IF(H481="HR","NON","A_CONTROLER")))</f>
        <v/>
      </c>
      <c r="J481">
        <f>IF(H481="IC","OUI",IF(H481="HC","NON",IF(H481="HR","NON","A_CONTROLER")))</f>
        <v/>
      </c>
      <c r="AD481">
        <f>IF(A481="","",TEXT(B481,"YYYYMMDD")&amp;"|"&amp;TEXT(D481,"0.00")&amp;"|"&amp;F481&amp;"|"&amp;M481)</f>
        <v/>
      </c>
    </row>
    <row r="482">
      <c r="C482">
        <f>IF(B482="","",TEXT(B482,"YYYY-MM"))</f>
        <v/>
      </c>
      <c r="I482">
        <f>IF(H482="IC","OUI",IF(H482="HC","OUI",IF(H482="HR","NON","A_CONTROLER")))</f>
        <v/>
      </c>
      <c r="J482">
        <f>IF(H482="IC","OUI",IF(H482="HC","NON",IF(H482="HR","NON","A_CONTROLER")))</f>
        <v/>
      </c>
      <c r="AD482">
        <f>IF(A482="","",TEXT(B482,"YYYYMMDD")&amp;"|"&amp;TEXT(D482,"0.00")&amp;"|"&amp;F482&amp;"|"&amp;M482)</f>
        <v/>
      </c>
    </row>
    <row r="483">
      <c r="C483">
        <f>IF(B483="","",TEXT(B483,"YYYY-MM"))</f>
        <v/>
      </c>
      <c r="I483">
        <f>IF(H483="IC","OUI",IF(H483="HC","OUI",IF(H483="HR","NON","A_CONTROLER")))</f>
        <v/>
      </c>
      <c r="J483">
        <f>IF(H483="IC","OUI",IF(H483="HC","NON",IF(H483="HR","NON","A_CONTROLER")))</f>
        <v/>
      </c>
      <c r="AD483">
        <f>IF(A483="","",TEXT(B483,"YYYYMMDD")&amp;"|"&amp;TEXT(D483,"0.00")&amp;"|"&amp;F483&amp;"|"&amp;M483)</f>
        <v/>
      </c>
    </row>
    <row r="484">
      <c r="C484">
        <f>IF(B484="","",TEXT(B484,"YYYY-MM"))</f>
        <v/>
      </c>
      <c r="I484">
        <f>IF(H484="IC","OUI",IF(H484="HC","OUI",IF(H484="HR","NON","A_CONTROLER")))</f>
        <v/>
      </c>
      <c r="J484">
        <f>IF(H484="IC","OUI",IF(H484="HC","NON",IF(H484="HR","NON","A_CONTROLER")))</f>
        <v/>
      </c>
      <c r="AD484">
        <f>IF(A484="","",TEXT(B484,"YYYYMMDD")&amp;"|"&amp;TEXT(D484,"0.00")&amp;"|"&amp;F484&amp;"|"&amp;M484)</f>
        <v/>
      </c>
    </row>
    <row r="485">
      <c r="C485">
        <f>IF(B485="","",TEXT(B485,"YYYY-MM"))</f>
        <v/>
      </c>
      <c r="I485">
        <f>IF(H485="IC","OUI",IF(H485="HC","OUI",IF(H485="HR","NON","A_CONTROLER")))</f>
        <v/>
      </c>
      <c r="J485">
        <f>IF(H485="IC","OUI",IF(H485="HC","NON",IF(H485="HR","NON","A_CONTROLER")))</f>
        <v/>
      </c>
      <c r="AD485">
        <f>IF(A485="","",TEXT(B485,"YYYYMMDD")&amp;"|"&amp;TEXT(D485,"0.00")&amp;"|"&amp;F485&amp;"|"&amp;M485)</f>
        <v/>
      </c>
    </row>
    <row r="486">
      <c r="C486">
        <f>IF(B486="","",TEXT(B486,"YYYY-MM"))</f>
        <v/>
      </c>
      <c r="I486">
        <f>IF(H486="IC","OUI",IF(H486="HC","OUI",IF(H486="HR","NON","A_CONTROLER")))</f>
        <v/>
      </c>
      <c r="J486">
        <f>IF(H486="IC","OUI",IF(H486="HC","NON",IF(H486="HR","NON","A_CONTROLER")))</f>
        <v/>
      </c>
      <c r="AD486">
        <f>IF(A486="","",TEXT(B486,"YYYYMMDD")&amp;"|"&amp;TEXT(D486,"0.00")&amp;"|"&amp;F486&amp;"|"&amp;M486)</f>
        <v/>
      </c>
    </row>
    <row r="487">
      <c r="C487">
        <f>IF(B487="","",TEXT(B487,"YYYY-MM"))</f>
        <v/>
      </c>
      <c r="I487">
        <f>IF(H487="IC","OUI",IF(H487="HC","OUI",IF(H487="HR","NON","A_CONTROLER")))</f>
        <v/>
      </c>
      <c r="J487">
        <f>IF(H487="IC","OUI",IF(H487="HC","NON",IF(H487="HR","NON","A_CONTROLER")))</f>
        <v/>
      </c>
      <c r="AD487">
        <f>IF(A487="","",TEXT(B487,"YYYYMMDD")&amp;"|"&amp;TEXT(D487,"0.00")&amp;"|"&amp;F487&amp;"|"&amp;M487)</f>
        <v/>
      </c>
    </row>
    <row r="488">
      <c r="C488">
        <f>IF(B488="","",TEXT(B488,"YYYY-MM"))</f>
        <v/>
      </c>
      <c r="I488">
        <f>IF(H488="IC","OUI",IF(H488="HC","OUI",IF(H488="HR","NON","A_CONTROLER")))</f>
        <v/>
      </c>
      <c r="J488">
        <f>IF(H488="IC","OUI",IF(H488="HC","NON",IF(H488="HR","NON","A_CONTROLER")))</f>
        <v/>
      </c>
      <c r="AD488">
        <f>IF(A488="","",TEXT(B488,"YYYYMMDD")&amp;"|"&amp;TEXT(D488,"0.00")&amp;"|"&amp;F488&amp;"|"&amp;M488)</f>
        <v/>
      </c>
    </row>
    <row r="489">
      <c r="C489">
        <f>IF(B489="","",TEXT(B489,"YYYY-MM"))</f>
        <v/>
      </c>
      <c r="I489">
        <f>IF(H489="IC","OUI",IF(H489="HC","OUI",IF(H489="HR","NON","A_CONTROLER")))</f>
        <v/>
      </c>
      <c r="J489">
        <f>IF(H489="IC","OUI",IF(H489="HC","NON",IF(H489="HR","NON","A_CONTROLER")))</f>
        <v/>
      </c>
      <c r="AD489">
        <f>IF(A489="","",TEXT(B489,"YYYYMMDD")&amp;"|"&amp;TEXT(D489,"0.00")&amp;"|"&amp;F489&amp;"|"&amp;M489)</f>
        <v/>
      </c>
    </row>
    <row r="490">
      <c r="C490">
        <f>IF(B490="","",TEXT(B490,"YYYY-MM"))</f>
        <v/>
      </c>
      <c r="I490">
        <f>IF(H490="IC","OUI",IF(H490="HC","OUI",IF(H490="HR","NON","A_CONTROLER")))</f>
        <v/>
      </c>
      <c r="J490">
        <f>IF(H490="IC","OUI",IF(H490="HC","NON",IF(H490="HR","NON","A_CONTROLER")))</f>
        <v/>
      </c>
      <c r="AD490">
        <f>IF(A490="","",TEXT(B490,"YYYYMMDD")&amp;"|"&amp;TEXT(D490,"0.00")&amp;"|"&amp;F490&amp;"|"&amp;M490)</f>
        <v/>
      </c>
    </row>
    <row r="491">
      <c r="C491">
        <f>IF(B491="","",TEXT(B491,"YYYY-MM"))</f>
        <v/>
      </c>
      <c r="I491">
        <f>IF(H491="IC","OUI",IF(H491="HC","OUI",IF(H491="HR","NON","A_CONTROLER")))</f>
        <v/>
      </c>
      <c r="J491">
        <f>IF(H491="IC","OUI",IF(H491="HC","NON",IF(H491="HR","NON","A_CONTROLER")))</f>
        <v/>
      </c>
      <c r="AD491">
        <f>IF(A491="","",TEXT(B491,"YYYYMMDD")&amp;"|"&amp;TEXT(D491,"0.00")&amp;"|"&amp;F491&amp;"|"&amp;M491)</f>
        <v/>
      </c>
    </row>
    <row r="492">
      <c r="C492">
        <f>IF(B492="","",TEXT(B492,"YYYY-MM"))</f>
        <v/>
      </c>
      <c r="I492">
        <f>IF(H492="IC","OUI",IF(H492="HC","OUI",IF(H492="HR","NON","A_CONTROLER")))</f>
        <v/>
      </c>
      <c r="J492">
        <f>IF(H492="IC","OUI",IF(H492="HC","NON",IF(H492="HR","NON","A_CONTROLER")))</f>
        <v/>
      </c>
      <c r="AD492">
        <f>IF(A492="","",TEXT(B492,"YYYYMMDD")&amp;"|"&amp;TEXT(D492,"0.00")&amp;"|"&amp;F492&amp;"|"&amp;M492)</f>
        <v/>
      </c>
    </row>
    <row r="493">
      <c r="C493">
        <f>IF(B493="","",TEXT(B493,"YYYY-MM"))</f>
        <v/>
      </c>
      <c r="I493">
        <f>IF(H493="IC","OUI",IF(H493="HC","OUI",IF(H493="HR","NON","A_CONTROLER")))</f>
        <v/>
      </c>
      <c r="J493">
        <f>IF(H493="IC","OUI",IF(H493="HC","NON",IF(H493="HR","NON","A_CONTROLER")))</f>
        <v/>
      </c>
      <c r="AD493">
        <f>IF(A493="","",TEXT(B493,"YYYYMMDD")&amp;"|"&amp;TEXT(D493,"0.00")&amp;"|"&amp;F493&amp;"|"&amp;M493)</f>
        <v/>
      </c>
    </row>
    <row r="494">
      <c r="C494">
        <f>IF(B494="","",TEXT(B494,"YYYY-MM"))</f>
        <v/>
      </c>
      <c r="I494">
        <f>IF(H494="IC","OUI",IF(H494="HC","OUI",IF(H494="HR","NON","A_CONTROLER")))</f>
        <v/>
      </c>
      <c r="J494">
        <f>IF(H494="IC","OUI",IF(H494="HC","NON",IF(H494="HR","NON","A_CONTROLER")))</f>
        <v/>
      </c>
      <c r="AD494">
        <f>IF(A494="","",TEXT(B494,"YYYYMMDD")&amp;"|"&amp;TEXT(D494,"0.00")&amp;"|"&amp;F494&amp;"|"&amp;M494)</f>
        <v/>
      </c>
    </row>
    <row r="495">
      <c r="C495">
        <f>IF(B495="","",TEXT(B495,"YYYY-MM"))</f>
        <v/>
      </c>
      <c r="I495">
        <f>IF(H495="IC","OUI",IF(H495="HC","OUI",IF(H495="HR","NON","A_CONTROLER")))</f>
        <v/>
      </c>
      <c r="J495">
        <f>IF(H495="IC","OUI",IF(H495="HC","NON",IF(H495="HR","NON","A_CONTROLER")))</f>
        <v/>
      </c>
      <c r="AD495">
        <f>IF(A495="","",TEXT(B495,"YYYYMMDD")&amp;"|"&amp;TEXT(D495,"0.00")&amp;"|"&amp;F495&amp;"|"&amp;M495)</f>
        <v/>
      </c>
    </row>
    <row r="496">
      <c r="C496">
        <f>IF(B496="","",TEXT(B496,"YYYY-MM"))</f>
        <v/>
      </c>
      <c r="I496">
        <f>IF(H496="IC","OUI",IF(H496="HC","OUI",IF(H496="HR","NON","A_CONTROLER")))</f>
        <v/>
      </c>
      <c r="J496">
        <f>IF(H496="IC","OUI",IF(H496="HC","NON",IF(H496="HR","NON","A_CONTROLER")))</f>
        <v/>
      </c>
      <c r="AD496">
        <f>IF(A496="","",TEXT(B496,"YYYYMMDD")&amp;"|"&amp;TEXT(D496,"0.00")&amp;"|"&amp;F496&amp;"|"&amp;M496)</f>
        <v/>
      </c>
    </row>
    <row r="497">
      <c r="C497">
        <f>IF(B497="","",TEXT(B497,"YYYY-MM"))</f>
        <v/>
      </c>
      <c r="I497">
        <f>IF(H497="IC","OUI",IF(H497="HC","OUI",IF(H497="HR","NON","A_CONTROLER")))</f>
        <v/>
      </c>
      <c r="J497">
        <f>IF(H497="IC","OUI",IF(H497="HC","NON",IF(H497="HR","NON","A_CONTROLER")))</f>
        <v/>
      </c>
      <c r="AD497">
        <f>IF(A497="","",TEXT(B497,"YYYYMMDD")&amp;"|"&amp;TEXT(D497,"0.00")&amp;"|"&amp;F497&amp;"|"&amp;M497)</f>
        <v/>
      </c>
    </row>
    <row r="498">
      <c r="C498">
        <f>IF(B498="","",TEXT(B498,"YYYY-MM"))</f>
        <v/>
      </c>
      <c r="I498">
        <f>IF(H498="IC","OUI",IF(H498="HC","OUI",IF(H498="HR","NON","A_CONTROLER")))</f>
        <v/>
      </c>
      <c r="J498">
        <f>IF(H498="IC","OUI",IF(H498="HC","NON",IF(H498="HR","NON","A_CONTROLER")))</f>
        <v/>
      </c>
      <c r="AD498">
        <f>IF(A498="","",TEXT(B498,"YYYYMMDD")&amp;"|"&amp;TEXT(D498,"0.00")&amp;"|"&amp;F498&amp;"|"&amp;M498)</f>
        <v/>
      </c>
    </row>
    <row r="499">
      <c r="C499">
        <f>IF(B499="","",TEXT(B499,"YYYY-MM"))</f>
        <v/>
      </c>
      <c r="I499">
        <f>IF(H499="IC","OUI",IF(H499="HC","OUI",IF(H499="HR","NON","A_CONTROLER")))</f>
        <v/>
      </c>
      <c r="J499">
        <f>IF(H499="IC","OUI",IF(H499="HC","NON",IF(H499="HR","NON","A_CONTROLER")))</f>
        <v/>
      </c>
      <c r="AD499">
        <f>IF(A499="","",TEXT(B499,"YYYYMMDD")&amp;"|"&amp;TEXT(D499,"0.00")&amp;"|"&amp;F499&amp;"|"&amp;M499)</f>
        <v/>
      </c>
    </row>
    <row r="500">
      <c r="C500">
        <f>IF(B500="","",TEXT(B500,"YYYY-MM"))</f>
        <v/>
      </c>
      <c r="I500">
        <f>IF(H500="IC","OUI",IF(H500="HC","OUI",IF(H500="HR","NON","A_CONTROLER")))</f>
        <v/>
      </c>
      <c r="J500">
        <f>IF(H500="IC","OUI",IF(H500="HC","NON",IF(H500="HR","NON","A_CONTROLER")))</f>
        <v/>
      </c>
      <c r="AD500">
        <f>IF(A500="","",TEXT(B500,"YYYYMMDD")&amp;"|"&amp;TEXT(D500,"0.00")&amp;"|"&amp;F500&amp;"|"&amp;M500)</f>
        <v/>
      </c>
    </row>
    <row r="501">
      <c r="C501">
        <f>IF(B501="","",TEXT(B501,"YYYY-MM"))</f>
        <v/>
      </c>
      <c r="I501">
        <f>IF(H501="IC","OUI",IF(H501="HC","OUI",IF(H501="HR","NON","A_CONTROLER")))</f>
        <v/>
      </c>
      <c r="J501">
        <f>IF(H501="IC","OUI",IF(H501="HC","NON",IF(H501="HR","NON","A_CONTROLER")))</f>
        <v/>
      </c>
      <c r="AD501">
        <f>IF(A501="","",TEXT(B501,"YYYYMMDD")&amp;"|"&amp;TEXT(D501,"0.00")&amp;"|"&amp;F501&amp;"|"&amp;M501)</f>
        <v/>
      </c>
    </row>
  </sheetData>
  <conditionalFormatting sqref="A2:AE1001">
    <cfRule type="expression" priority="1" dxfId="0">
      <formula>$Y2="BLOQUANT"</formula>
    </cfRule>
    <cfRule type="expression" priority="2" dxfId="1">
      <formula>$Y2="A_CONTROLER"</formula>
    </cfRule>
  </conditionalFormatting>
  <dataValidations count="20">
    <dataValidation sqref="E2:E1001" showDropDown="0" showInputMessage="0" showErrorMessage="1" allowBlank="1" errorTitle="Valeur invalide" error="Valeur hors liste. Utiliser la liste deroulante." type="list">
      <formula1>lst_Sens_Flux</formula1>
    </dataValidation>
    <dataValidation sqref="F2:F1001" showDropDown="0" showInputMessage="0" showErrorMessage="1" allowBlank="1" errorTitle="Valeur invalide" error="Valeur hors liste. Utiliser la liste deroulante." type="list">
      <formula1>lst_Categories</formula1>
    </dataValidation>
    <dataValidation sqref="G2:G1001" showDropDown="0" showInputMessage="0" showErrorMessage="1" allowBlank="1" errorTitle="Valeur invalide" error="Valeur hors liste. Utiliser la liste deroulante." type="list">
      <formula1>lst_TypesFlux_Lot3</formula1>
    </dataValidation>
    <dataValidation sqref="H2:H1001" showDropDown="0" showInputMessage="0" showErrorMessage="1" allowBlank="1" errorTitle="Valeur invalide" error="Valeur hors liste. Utiliser la liste deroulante." type="list">
      <formula1>lst_Codes_Impact</formula1>
    </dataValidation>
    <dataValidation sqref="K2:K1001" showDropDown="0" showInputMessage="0" showErrorMessage="1" allowBlank="1" errorTitle="Valeur invalide" error="Valeur hors liste. Utiliser la liste deroulante." type="list">
      <formula1>lst_Prise_Compta</formula1>
    </dataValidation>
    <dataValidation sqref="L2:L1001" showDropDown="0" showInputMessage="0" showErrorMessage="1" allowBlank="1" errorTitle="Valeur invalide" error="Valeur hors liste. Utiliser la liste deroulante." type="list">
      <formula1>lst_Associes</formula1>
    </dataValidation>
    <dataValidation sqref="M2:M1001" showDropDown="0" showInputMessage="0" showErrorMessage="1" allowBlank="1" errorTitle="Valeur invalide" error="Valeur hors liste. Utiliser la liste deroulante." type="list">
      <formula1>lst_ModesPaiement</formula1>
    </dataValidation>
    <dataValidation sqref="N2:N1001" showDropDown="0" showInputMessage="0" showErrorMessage="1" allowBlank="1" errorTitle="Valeur invalide" error="Valeur hors liste. Utiliser la liste deroulante." type="list">
      <formula1>lst_Cartes</formula1>
    </dataValidation>
    <dataValidation sqref="O2:O1001" showDropDown="0" showInputMessage="0" showErrorMessage="1" allowBlank="1" errorTitle="Valeur invalide" error="Valeur hors liste. Utiliser la liste deroulante." type="list">
      <formula1>lst_Affectation</formula1>
    </dataValidation>
    <dataValidation sqref="P2:P1001" showDropDown="0" showInputMessage="0" showErrorMessage="1" allowBlank="1" errorTitle="Valeur invalide" error="Valeur hors liste. Utiliser la liste deroulante." type="list">
      <formula1>lst_Logements</formula1>
    </dataValidation>
    <dataValidation sqref="Q2:Q1001" showDropDown="0" showInputMessage="0" showErrorMessage="1" allowBlank="1" errorTitle="Valeur invalide" error="Valeur hors liste. Utiliser la liste deroulante." type="list">
      <formula1>lst_Proprietaires</formula1>
    </dataValidation>
    <dataValidation sqref="S2:S1001" showDropDown="0" showInputMessage="0" showErrorMessage="1" allowBlank="1" errorTitle="Valeur invalide" error="Valeur hors liste. Utiliser la liste deroulante." type="list">
      <formula1>lst_Refacturable</formula1>
    </dataValidation>
    <dataValidation sqref="T2:T1001" showDropDown="0" showInputMessage="0" showErrorMessage="1" allowBlank="1" errorTitle="Valeur invalide" error="Valeur hors liste. Utiliser la liste deroulante." type="list">
      <formula1>lst_Source_Flux</formula1>
    </dataValidation>
    <dataValidation sqref="U2:U1001" showDropDown="0" showInputMessage="0" showErrorMessage="1" allowBlank="1" errorTitle="Valeur invalide" error="Valeur hors liste. Utiliser la liste deroulante." type="list">
      <formula1>lst_Methode</formula1>
    </dataValidation>
    <dataValidation sqref="X2:X1001" showDropDown="0" showInputMessage="0" showErrorMessage="1" allowBlank="1" errorTitle="Valeur invalide" error="Valeur hors liste. Utiliser la liste deroulante." type="list">
      <formula1>lst_Statuts_Controle</formula1>
    </dataValidation>
    <dataValidation sqref="Y2:Y1001" showDropDown="0" showInputMessage="0" showErrorMessage="1" allowBlank="1" errorTitle="Valeur invalide" error="Valeur hors liste. Utiliser la liste deroulante." type="list">
      <formula1>lst_Niveau_Anomalie</formula1>
    </dataValidation>
    <dataValidation sqref="AA2:AA1001" showDropDown="0" showInputMessage="0" showErrorMessage="1" allowBlank="1" errorTitle="Valeur invalide" error="Valeur hors liste. Utiliser la liste deroulante." type="list">
      <formula1>lst_Statut_Rapprochement</formula1>
    </dataValidation>
    <dataValidation sqref="AB2:AB1001" showDropDown="0" showInputMessage="0" showErrorMessage="1" allowBlank="1" errorTitle="Valeur invalide" error="Valeur hors liste. Utiliser la liste deroulante." type="list">
      <formula1>lst_Justificatif</formula1>
    </dataValidation>
    <dataValidation sqref="AF2:AF501" showDropDown="0" showInputMessage="0" showErrorMessage="0" allowBlank="1" error="Valeurs: OUI / NON / A_CONTROLER" prompt="OUI=affecté ménages, NON=ignoré, A_CONTROLER" type="list">
      <formula1>"OUI,NON,A_CONTROLER"</formula1>
    </dataValidation>
    <dataValidation sqref="AH2:AH1001" showDropDown="0" showInputMessage="0" showErrorMessage="0" allowBlank="1" type="list">
      <formula1>lst_Profils_Impact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5" customWidth="1" min="4" max="4"/>
    <col width="14" customWidth="1" min="5" max="5"/>
    <col width="19" customWidth="1" min="6" max="6"/>
    <col width="12" customWidth="1" min="7" max="7"/>
    <col width="17" customWidth="1" min="8" max="8"/>
    <col width="20" customWidth="1" min="9" max="9"/>
    <col width="19" customWidth="1" min="10" max="10"/>
    <col width="22" customWidth="1" min="11" max="11"/>
    <col width="21" customWidth="1" min="12" max="12"/>
    <col width="24" customWidth="1" min="13" max="13"/>
    <col width="28" customWidth="1" min="14" max="14"/>
    <col width="26" customWidth="1" min="15" max="15"/>
    <col width="18" customWidth="1" min="16" max="16"/>
    <col width="18" customWidth="1" min="17" max="17"/>
    <col width="18" customWidth="1" min="18" max="18"/>
  </cols>
  <sheetData>
    <row r="1">
      <c r="A1" s="11" t="inlineStr">
        <is>
          <t>lst_Categories</t>
        </is>
      </c>
      <c r="B1" s="11" t="inlineStr">
        <is>
          <t>lst_TypesFlux_Lot3</t>
        </is>
      </c>
      <c r="C1" s="11" t="inlineStr">
        <is>
          <t>lst_Codes_Impact</t>
        </is>
      </c>
      <c r="D1" s="11" t="inlineStr">
        <is>
          <t>lst_Sens_Flux</t>
        </is>
      </c>
      <c r="E1" s="11" t="inlineStr">
        <is>
          <t>lst_Associes</t>
        </is>
      </c>
      <c r="F1" s="11" t="inlineStr">
        <is>
          <t>lst_ModesPaiement</t>
        </is>
      </c>
      <c r="G1" s="11" t="inlineStr">
        <is>
          <t>lst_Cartes</t>
        </is>
      </c>
      <c r="H1" s="11" t="inlineStr">
        <is>
          <t>lst_Affectation</t>
        </is>
      </c>
      <c r="I1" s="11" t="inlineStr">
        <is>
          <t>lst_Logements</t>
        </is>
      </c>
      <c r="J1" s="11" t="inlineStr">
        <is>
          <t>lst_Proprietaires</t>
        </is>
      </c>
      <c r="K1" s="11" t="inlineStr">
        <is>
          <t>lst_Statuts_Controle</t>
        </is>
      </c>
      <c r="L1" s="11" t="inlineStr">
        <is>
          <t>lst_Niveau_Anomalie</t>
        </is>
      </c>
      <c r="M1" s="11" t="inlineStr">
        <is>
          <t>lst_Source_Flux</t>
        </is>
      </c>
      <c r="N1" s="11" t="inlineStr">
        <is>
          <t>lst_Methode</t>
        </is>
      </c>
      <c r="O1" s="11" t="inlineStr">
        <is>
          <t>lst_Statut_Rapprochement</t>
        </is>
      </c>
      <c r="P1" s="11" t="inlineStr">
        <is>
          <t>lst_Prise_Compta</t>
        </is>
      </c>
      <c r="Q1" s="11" t="inlineStr">
        <is>
          <t>lst_Refacturable</t>
        </is>
      </c>
      <c r="R1" s="11" t="inlineStr">
        <is>
          <t>lst_Justificatif</t>
        </is>
      </c>
      <c r="S1" t="inlineStr">
        <is>
          <t>lst_Profils_Impact</t>
        </is>
      </c>
    </row>
    <row r="2">
      <c r="A2" t="inlineStr">
        <is>
          <t>CHG_001</t>
        </is>
      </c>
      <c r="B2" t="inlineStr">
        <is>
          <t>TYPE_FLUX_002</t>
        </is>
      </c>
      <c r="C2" t="inlineStr">
        <is>
          <t>IC</t>
        </is>
      </c>
      <c r="D2" t="inlineStr">
        <is>
          <t>DEPENSE</t>
        </is>
      </c>
      <c r="E2" t="inlineStr">
        <is>
          <t>PERS_EWAN</t>
        </is>
      </c>
      <c r="F2" t="inlineStr">
        <is>
          <t>PAY_001</t>
        </is>
      </c>
      <c r="G2" t="inlineStr">
        <is>
          <t>CARTE_001</t>
        </is>
      </c>
      <c r="H2" t="inlineStr">
        <is>
          <t>LOGEMENT</t>
        </is>
      </c>
      <c r="I2" t="inlineStr">
        <is>
          <t>LOG_0001</t>
        </is>
      </c>
      <c r="J2" t="inlineStr">
        <is>
          <t>PROP_0001</t>
        </is>
      </c>
      <c r="K2" t="inlineStr">
        <is>
          <t>VALIDE</t>
        </is>
      </c>
      <c r="L2" t="inlineStr">
        <is>
          <t>INFO</t>
        </is>
      </c>
      <c r="M2" t="inlineStr">
        <is>
          <t>SAISIE_MANUELLE</t>
        </is>
      </c>
      <c r="N2" t="inlineStr">
        <is>
          <t>DIRECT</t>
        </is>
      </c>
      <c r="O2" t="inlineStr">
        <is>
          <t>NON_RAPPROCHE</t>
        </is>
      </c>
      <c r="P2" t="inlineStr">
        <is>
          <t>OUI</t>
        </is>
      </c>
      <c r="Q2" t="inlineStr">
        <is>
          <t>OUI</t>
        </is>
      </c>
      <c r="R2" t="inlineStr">
        <is>
          <t>OUI</t>
        </is>
      </c>
      <c r="S2" t="inlineStr">
        <is>
          <t>GLOBAL</t>
        </is>
      </c>
    </row>
    <row r="3">
      <c r="A3" t="inlineStr">
        <is>
          <t>CHG_002</t>
        </is>
      </c>
      <c r="B3" t="inlineStr">
        <is>
          <t>TYPE_FLUX_004</t>
        </is>
      </c>
      <c r="C3" t="inlineStr">
        <is>
          <t>HC</t>
        </is>
      </c>
      <c r="D3" t="inlineStr">
        <is>
          <t>RECUPERATION</t>
        </is>
      </c>
      <c r="E3" t="inlineStr">
        <is>
          <t>PERS_WAFA</t>
        </is>
      </c>
      <c r="F3" t="inlineStr">
        <is>
          <t>PAY_002</t>
        </is>
      </c>
      <c r="G3" t="inlineStr">
        <is>
          <t>CARTE_002</t>
        </is>
      </c>
      <c r="H3" t="inlineStr">
        <is>
          <t>PROPRIETAIRE</t>
        </is>
      </c>
      <c r="I3" t="inlineStr">
        <is>
          <t>LOG_0002</t>
        </is>
      </c>
      <c r="J3" t="inlineStr">
        <is>
          <t>PROP_0002</t>
        </is>
      </c>
      <c r="K3" t="inlineStr">
        <is>
          <t>A_CONTROLER</t>
        </is>
      </c>
      <c r="L3" t="inlineStr">
        <is>
          <t>A_CONTROLER</t>
        </is>
      </c>
      <c r="M3" t="inlineStr">
        <is>
          <t>FACTURE_PDF</t>
        </is>
      </c>
      <c r="N3" t="inlineStr">
        <is>
          <t>VIA_VUE_MENAGE</t>
        </is>
      </c>
      <c r="O3" t="inlineStr">
        <is>
          <t>RAPPROCHE_BANQUE</t>
        </is>
      </c>
      <c r="P3" t="inlineStr">
        <is>
          <t>NON</t>
        </is>
      </c>
      <c r="Q3" t="inlineStr">
        <is>
          <t>NON</t>
        </is>
      </c>
      <c r="R3" t="inlineStr">
        <is>
          <t>NON</t>
        </is>
      </c>
      <c r="S3" t="inlineStr">
        <is>
          <t>LOGEMENT_DIRECT</t>
        </is>
      </c>
    </row>
    <row r="4">
      <c r="A4" t="inlineStr">
        <is>
          <t>CHG_003</t>
        </is>
      </c>
      <c r="B4" t="inlineStr">
        <is>
          <t>TYPE_FLUX_008</t>
        </is>
      </c>
      <c r="C4" t="inlineStr">
        <is>
          <t>HR</t>
        </is>
      </c>
      <c r="D4" t="inlineStr">
        <is>
          <t>REMBOURSEMENT</t>
        </is>
      </c>
      <c r="F4" t="inlineStr">
        <is>
          <t>PAY_003</t>
        </is>
      </c>
      <c r="H4" t="inlineStr">
        <is>
          <t>GLOBAL</t>
        </is>
      </c>
      <c r="I4" t="inlineStr">
        <is>
          <t>LOG_0004</t>
        </is>
      </c>
      <c r="J4" t="inlineStr">
        <is>
          <t>PROP_0003</t>
        </is>
      </c>
      <c r="K4" t="inlineStr">
        <is>
          <t>EXCLU_RESULTAT</t>
        </is>
      </c>
      <c r="L4" t="inlineStr">
        <is>
          <t>BLOQUANT</t>
        </is>
      </c>
      <c r="M4" t="inlineStr">
        <is>
          <t>RAPPROCHEMENT_BANCAIRE</t>
        </is>
      </c>
      <c r="N4" t="inlineStr">
        <is>
          <t>REFACTURATION_PROPRIETAIRE</t>
        </is>
      </c>
      <c r="O4" t="inlineStr">
        <is>
          <t>SANS_RAPPROCHEMENT</t>
        </is>
      </c>
      <c r="R4" t="inlineStr">
        <is>
          <t>LIEN</t>
        </is>
      </c>
      <c r="S4" t="inlineStr">
        <is>
          <t>MENAGE_INTERVENANT</t>
        </is>
      </c>
    </row>
    <row r="5">
      <c r="A5" t="inlineStr">
        <is>
          <t>CHG_004</t>
        </is>
      </c>
      <c r="B5" t="inlineStr">
        <is>
          <t>TYPE_FLUX_009</t>
        </is>
      </c>
      <c r="D5" t="inlineStr">
        <is>
          <t>REFACTURATION</t>
        </is>
      </c>
      <c r="F5" t="inlineStr">
        <is>
          <t>PAY_004</t>
        </is>
      </c>
      <c r="H5" t="inlineStr">
        <is>
          <t>NON_AFFECTABLE</t>
        </is>
      </c>
      <c r="I5" t="inlineStr">
        <is>
          <t>LOG_0005</t>
        </is>
      </c>
      <c r="J5" t="inlineStr">
        <is>
          <t>PROP_0004</t>
        </is>
      </c>
      <c r="K5" t="inlineStr">
        <is>
          <t>A_VENTILER</t>
        </is>
      </c>
      <c r="M5" t="inlineStr">
        <is>
          <t>RESERVATION_HH</t>
        </is>
      </c>
      <c r="N5" t="inlineStr">
        <is>
          <t>NEUTRALISATION</t>
        </is>
      </c>
      <c r="O5" t="inlineStr">
        <is>
          <t>ECART_A_ANALYSER</t>
        </is>
      </c>
      <c r="S5" t="inlineStr">
        <is>
          <t>MENAGE_LOGEMENTS</t>
        </is>
      </c>
    </row>
    <row r="6">
      <c r="A6" t="inlineStr">
        <is>
          <t>CHG_005</t>
        </is>
      </c>
      <c r="B6" t="inlineStr">
        <is>
          <t>TYPE_FLUX_010</t>
        </is>
      </c>
      <c r="D6" t="inlineStr">
        <is>
          <t>NEUTRE</t>
        </is>
      </c>
      <c r="F6" t="inlineStr">
        <is>
          <t>PAY_005</t>
        </is>
      </c>
      <c r="I6" t="inlineStr">
        <is>
          <t>LOG_0006</t>
        </is>
      </c>
      <c r="J6" t="inlineStr">
        <is>
          <t>PROP_0005</t>
        </is>
      </c>
      <c r="M6" t="inlineStr">
        <is>
          <t>AIRCOVER</t>
        </is>
      </c>
      <c r="N6" t="inlineStr">
        <is>
          <t>A_CONFIRMER</t>
        </is>
      </c>
      <c r="S6" t="inlineStr">
        <is>
          <t>PARCOURS_DEDIE</t>
        </is>
      </c>
    </row>
    <row r="7">
      <c r="A7" t="inlineStr">
        <is>
          <t>CHG_006</t>
        </is>
      </c>
      <c r="B7" t="inlineStr">
        <is>
          <t>TYPE_FLUX_011</t>
        </is>
      </c>
      <c r="I7" t="inlineStr">
        <is>
          <t>LOG_0007</t>
        </is>
      </c>
      <c r="J7" t="inlineStr">
        <is>
          <t>PROP_0006</t>
        </is>
      </c>
    </row>
    <row r="8">
      <c r="A8" t="inlineStr">
        <is>
          <t>CHG_007</t>
        </is>
      </c>
      <c r="B8" t="inlineStr">
        <is>
          <t>TYPE_FLUX_012</t>
        </is>
      </c>
      <c r="I8" t="inlineStr">
        <is>
          <t>LOG_0008</t>
        </is>
      </c>
      <c r="J8" t="inlineStr">
        <is>
          <t>PROP_0007</t>
        </is>
      </c>
    </row>
    <row r="9">
      <c r="A9" t="inlineStr">
        <is>
          <t>CHG_008</t>
        </is>
      </c>
      <c r="B9" t="inlineStr">
        <is>
          <t>TYPE_FLUX_016</t>
        </is>
      </c>
      <c r="I9" t="inlineStr">
        <is>
          <t>LOG_0009</t>
        </is>
      </c>
      <c r="J9" t="inlineStr">
        <is>
          <t>PROP_0008</t>
        </is>
      </c>
    </row>
    <row r="10">
      <c r="A10" t="inlineStr">
        <is>
          <t>CHG_009</t>
        </is>
      </c>
      <c r="B10" t="inlineStr">
        <is>
          <t>TYPE_FLUX_020</t>
        </is>
      </c>
      <c r="I10" t="inlineStr">
        <is>
          <t>LOG_0010</t>
        </is>
      </c>
      <c r="J10" t="inlineStr">
        <is>
          <t>PROP_0009</t>
        </is>
      </c>
    </row>
    <row r="11">
      <c r="A11" t="inlineStr">
        <is>
          <t>CHG_010</t>
        </is>
      </c>
      <c r="I11" t="inlineStr">
        <is>
          <t>LOG_0011</t>
        </is>
      </c>
      <c r="J11" t="inlineStr">
        <is>
          <t>PROP_0010</t>
        </is>
      </c>
    </row>
    <row r="12">
      <c r="A12" t="inlineStr">
        <is>
          <t>CHG_011</t>
        </is>
      </c>
      <c r="I12" t="inlineStr">
        <is>
          <t>LOG_0012</t>
        </is>
      </c>
      <c r="J12" t="inlineStr">
        <is>
          <t>PROP_0011</t>
        </is>
      </c>
    </row>
    <row r="13">
      <c r="A13" t="inlineStr">
        <is>
          <t>CHG_012</t>
        </is>
      </c>
      <c r="I13" t="inlineStr">
        <is>
          <t>LOG_0013</t>
        </is>
      </c>
      <c r="J13" t="inlineStr">
        <is>
          <t>PROP_0012</t>
        </is>
      </c>
    </row>
    <row r="14">
      <c r="A14" t="inlineStr">
        <is>
          <t>CHG_013</t>
        </is>
      </c>
      <c r="I14" t="inlineStr">
        <is>
          <t>LOG_0014</t>
        </is>
      </c>
    </row>
    <row r="15">
      <c r="A15" t="inlineStr">
        <is>
          <t>CHG_014</t>
        </is>
      </c>
      <c r="I15" t="inlineStr">
        <is>
          <t>LOG_0015</t>
        </is>
      </c>
    </row>
    <row r="16">
      <c r="A16" t="inlineStr">
        <is>
          <t>CHG_015</t>
        </is>
      </c>
      <c r="I16" t="inlineStr">
        <is>
          <t>LOG_0016</t>
        </is>
      </c>
    </row>
    <row r="17">
      <c r="A17" t="inlineStr">
        <is>
          <t>CHG_016</t>
        </is>
      </c>
      <c r="I17" t="inlineStr">
        <is>
          <t>LOG_0017</t>
        </is>
      </c>
    </row>
    <row r="18">
      <c r="A18" t="inlineStr">
        <is>
          <t>CHG_017</t>
        </is>
      </c>
      <c r="I18" t="inlineStr">
        <is>
          <t>APPARTEMENT_DIVERS</t>
        </is>
      </c>
    </row>
    <row r="19">
      <c r="A19" t="inlineStr">
        <is>
          <t>CHG_018</t>
        </is>
      </c>
      <c r="I19" t="inlineStr">
        <is>
          <t>LOGEMENT_DIVERS</t>
        </is>
      </c>
    </row>
    <row r="20">
      <c r="A20" t="inlineStr">
        <is>
          <t>CHG_019</t>
        </is>
      </c>
    </row>
    <row r="21">
      <c r="A21" t="inlineStr">
        <is>
          <t>CHG_020</t>
        </is>
      </c>
    </row>
    <row r="22">
      <c r="A22" t="inlineStr">
        <is>
          <t>CHG_021</t>
        </is>
      </c>
    </row>
    <row r="23">
      <c r="A23" t="inlineStr">
        <is>
          <t>CHG_022</t>
        </is>
      </c>
    </row>
    <row r="24">
      <c r="A24" t="inlineStr">
        <is>
          <t>CHG_023</t>
        </is>
      </c>
    </row>
    <row r="25">
      <c r="A25" t="inlineStr">
        <is>
          <t>CHG_024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65" customWidth="1" min="3" max="3"/>
    <col width="20" customWidth="1" min="4" max="4"/>
    <col width="50" customWidth="1" min="5" max="5"/>
  </cols>
  <sheetData>
    <row r="1">
      <c r="A1" s="11" t="inlineStr">
        <is>
          <t>Code</t>
        </is>
      </c>
      <c r="B1" s="11" t="inlineStr">
        <is>
          <t>Libelle</t>
        </is>
      </c>
      <c r="C1" s="11" t="inlineStr">
        <is>
          <t>Valeur</t>
        </is>
      </c>
      <c r="D1" s="11" t="inlineStr">
        <is>
          <t>Seuil</t>
        </is>
      </c>
      <c r="E1" s="11" t="inlineStr">
        <is>
          <t>Note</t>
        </is>
      </c>
    </row>
    <row r="2">
      <c r="A2" t="inlineStr">
        <is>
          <t>CTR-L3-01</t>
        </is>
      </c>
      <c r="B2" t="inlineStr">
        <is>
          <t>Lignes saisies (charge_id renseigne)</t>
        </is>
      </c>
      <c r="C2">
        <f>MAX(0,COUNTA(SAISIE!A:A)-1)</f>
        <v/>
      </c>
      <c r="D2" t="inlineStr">
        <is>
          <t>INFO</t>
        </is>
      </c>
    </row>
    <row r="3">
      <c r="A3" t="inlineStr">
        <is>
          <t>CTR-L3-02</t>
        </is>
      </c>
      <c r="B3" t="inlineStr">
        <is>
          <t>Lignes VALIDE (statut_controle)</t>
        </is>
      </c>
      <c r="C3">
        <f>COUNTIF(SAISIE!X:X,"VALIDE")</f>
        <v/>
      </c>
      <c r="D3" t="inlineStr">
        <is>
          <t>INFO</t>
        </is>
      </c>
    </row>
    <row r="4">
      <c r="A4" t="inlineStr">
        <is>
          <t>CTR-L3-03</t>
        </is>
      </c>
      <c r="B4" t="inlineStr">
        <is>
          <t>Lignes A_CONTROLER (statut_controle)</t>
        </is>
      </c>
      <c r="C4">
        <f>COUNTIF(SAISIE!X:X,"A_CONTROLER")</f>
        <v/>
      </c>
      <c r="D4" t="inlineStr">
        <is>
          <t>ATTENTION si &gt; 0</t>
        </is>
      </c>
    </row>
    <row r="5">
      <c r="A5" t="inlineStr">
        <is>
          <t>CTR-L3-04</t>
        </is>
      </c>
      <c r="B5" t="inlineStr">
        <is>
          <t>Lignes EXCLU_RESULTAT</t>
        </is>
      </c>
      <c r="C5">
        <f>COUNTIF(SAISIE!X:X,"EXCLU_RESULTAT")</f>
        <v/>
      </c>
      <c r="D5" t="inlineStr">
        <is>
          <t>INFO</t>
        </is>
      </c>
    </row>
    <row r="6">
      <c r="A6" t="inlineStr">
        <is>
          <t>CTR-L3-05</t>
        </is>
      </c>
      <c r="B6" t="inlineStr">
        <is>
          <t>Lignes A_VENTILER</t>
        </is>
      </c>
      <c r="C6">
        <f>COUNTIF(SAISIE!X:X,"A_VENTILER")</f>
        <v/>
      </c>
      <c r="D6" t="inlineStr">
        <is>
          <t>ATTENTION si &gt; 0</t>
        </is>
      </c>
    </row>
    <row r="7">
      <c r="A7" t="inlineStr">
        <is>
          <t>CTR-L3-06</t>
        </is>
      </c>
      <c r="B7" t="inlineStr">
        <is>
          <t>Lignes BLOQUANT (niveau_anomalie)</t>
        </is>
      </c>
      <c r="C7">
        <f>COUNTIF(SAISIE!Y:Y,"BLOQUANT")</f>
        <v/>
      </c>
      <c r="D7" t="inlineStr">
        <is>
          <t>BLOQUANT si &gt; 0</t>
        </is>
      </c>
      <c r="E7" t="inlineStr">
        <is>
          <t>Doit etre 0 avant livraison vers MASTER</t>
        </is>
      </c>
    </row>
    <row r="8">
      <c r="A8" t="inlineStr">
        <is>
          <t>CTR-L3-07</t>
        </is>
      </c>
      <c r="B8" t="inlineStr">
        <is>
          <t>charge_id dupliques</t>
        </is>
      </c>
      <c r="C8">
        <f>SUMPRODUCT((COUNTIF(SAISIE!A2:A1001,SAISIE!A2:A1001)-1)*(SAISIE!A2:A1001&lt;&gt;""))</f>
        <v/>
      </c>
      <c r="D8" t="inlineStr">
        <is>
          <t>BLOQUANT si &gt; 0</t>
        </is>
      </c>
      <c r="E8" t="inlineStr">
        <is>
          <t>PK unique obligatoire</t>
        </is>
      </c>
    </row>
    <row r="9">
      <c r="A9" t="inlineStr">
        <is>
          <t>CTR-L3-08</t>
        </is>
      </c>
      <c r="B9" t="inlineStr">
        <is>
          <t>Montant total IC</t>
        </is>
      </c>
      <c r="C9">
        <f>SUMIF(SAISIE!H:H,"IC",SAISIE!D:D)</f>
        <v/>
      </c>
      <c r="D9" t="inlineStr">
        <is>
          <t>INFO</t>
        </is>
      </c>
    </row>
    <row r="10">
      <c r="A10" t="inlineStr">
        <is>
          <t>CTR-L3-09</t>
        </is>
      </c>
      <c r="B10" t="inlineStr">
        <is>
          <t>Montant total HC</t>
        </is>
      </c>
      <c r="C10">
        <f>SUMIF(SAISIE!H:H,"HC",SAISIE!D:D)</f>
        <v/>
      </c>
      <c r="D10" t="inlineStr">
        <is>
          <t>INFO</t>
        </is>
      </c>
    </row>
    <row r="11">
      <c r="A11" t="inlineStr">
        <is>
          <t>CTR-L3-10</t>
        </is>
      </c>
      <c r="B11" t="inlineStr">
        <is>
          <t>date_charge vide (charge_id renseigne)</t>
        </is>
      </c>
      <c r="C11">
        <f>COUNTIFS(SAISIE!A2:A1001,"&lt;&gt;",SAISIE!B2:B1001,"")</f>
        <v/>
      </c>
      <c r="D11" t="inlineStr">
        <is>
          <t>BLOQUANT si &gt; 0</t>
        </is>
      </c>
      <c r="E11" t="inlineStr">
        <is>
          <t>date_charge obligatoire si charge_id renseigne</t>
        </is>
      </c>
    </row>
    <row r="12">
      <c r="A12" t="inlineStr">
        <is>
          <t>CTR-L3-11</t>
        </is>
      </c>
      <c r="B12" t="inlineStr">
        <is>
          <t>CHG_021 sans reservation_id (D041)</t>
        </is>
      </c>
      <c r="C12">
        <f>COUNTIFS(SAISIE!F2:F1001,"CHG_021",SAISIE!R2:R1001,"")</f>
        <v/>
      </c>
      <c r="D12" t="inlineStr">
        <is>
          <t>BLOQUANT si &gt; 0</t>
        </is>
      </c>
      <c r="E12" t="inlineStr">
        <is>
          <t>reservation_id obligatoire pour incidents voyageurs</t>
        </is>
      </c>
    </row>
    <row r="13">
      <c r="A13" t="inlineStr">
        <is>
          <t>CTR-L3-12</t>
        </is>
      </c>
      <c r="B13" t="inlineStr">
        <is>
          <t>code_impact vide (charge_id renseigne)</t>
        </is>
      </c>
      <c r="C13">
        <f>COUNTIFS(SAISIE!A2:A1001,"&lt;&gt;",SAISIE!H2:H1001,"")</f>
        <v/>
      </c>
      <c r="D13" t="inlineStr">
        <is>
          <t>BLOQUANT si &gt; 0</t>
        </is>
      </c>
    </row>
    <row r="14">
      <c r="A14" t="inlineStr">
        <is>
          <t>CTR-L3-13</t>
        </is>
      </c>
      <c r="B14" t="inlineStr">
        <is>
          <t>statut_controle vide (charge_id renseigne)</t>
        </is>
      </c>
      <c r="C14">
        <f>COUNTIFS(SAISIE!A2:A1001,"&lt;&gt;",SAISIE!X2:X1001,"")</f>
        <v/>
      </c>
      <c r="D14" t="inlineStr">
        <is>
          <t>ATTENTION si &gt; 0</t>
        </is>
      </c>
      <c r="E14" t="inlineStr">
        <is>
          <t>Doit etre renseigne avant integration MASTER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2" t="inlineStr">
        <is>
          <t>SAISIE_Charges_Flux.xlsx — Guide de saisie (Lot 3)</t>
        </is>
      </c>
    </row>
    <row r="2">
      <c r="A2" s="13" t="inlineStr"/>
    </row>
    <row r="3">
      <c r="A3" s="13" t="inlineStr">
        <is>
          <t>SOURCE : D026 — Source unique des achats, charges, consommables, linge, materiel.</t>
        </is>
      </c>
    </row>
    <row r="4">
      <c r="A4" s="13" t="inlineStr">
        <is>
          <t>EXCLUT : IK et virements associes (Lot 7). Acomptes proprietaires (Lot 5).</t>
        </is>
      </c>
    </row>
    <row r="5">
      <c r="A5" s="13" t="inlineStr"/>
    </row>
    <row r="6">
      <c r="A6" s="12" t="inlineStr">
        <is>
          <t>REGLES OBLIGATOIRES</t>
        </is>
      </c>
    </row>
    <row r="7">
      <c r="A7" s="13" t="inlineStr">
        <is>
          <t>1. charge_id : PK unique. Nomenclature : CHG-AAAA-MM-IMPACT-ASSOC-NNN</t>
        </is>
      </c>
    </row>
    <row r="8">
      <c r="A8" s="13" t="inlineStr">
        <is>
          <t xml:space="preserve">   Exemple : CHG-2026-04-HC-WAFA-CB-001</t>
        </is>
      </c>
    </row>
    <row r="9">
      <c r="A9" s="13" t="inlineStr">
        <is>
          <t>2. montant : TOUJOURS positif (TTC). Le sens est porte par la colonne sens_flux.</t>
        </is>
      </c>
    </row>
    <row r="10">
      <c r="A10" s="13" t="inlineStr">
        <is>
          <t>3. code_impact determine les deux colonnes calculees (non surchargeables) :</t>
        </is>
      </c>
    </row>
    <row r="11">
      <c r="A11" s="13" t="inlineStr">
        <is>
          <t xml:space="preserve">   IC  →  impact_resultat_reel = OUI  /  impact_resultat_comptable = OUI</t>
        </is>
      </c>
    </row>
    <row r="12">
      <c r="A12" s="13" t="inlineStr">
        <is>
          <t xml:space="preserve">   HC  →  impact_resultat_reel = OUI  /  impact_resultat_comptable = NON</t>
        </is>
      </c>
    </row>
    <row r="13">
      <c r="A13" s="13" t="inlineStr">
        <is>
          <t xml:space="preserve">   HR  →  impact_resultat_reel = NON  /  impact_resultat_comptable = NON</t>
        </is>
      </c>
    </row>
    <row r="14">
      <c r="A14" s="13" t="inlineStr">
        <is>
          <t>4. statut_controle : passer a VALIDE avant integration dans MASTER_FACT_MAN_Charges.</t>
        </is>
      </c>
    </row>
    <row r="15">
      <c r="A15" s="13" t="inlineStr">
        <is>
          <t>5. CHG_021 (incident voyageur) : reservation_id OBLIGATOIRE (D041).</t>
        </is>
      </c>
    </row>
    <row r="16">
      <c r="A16" s="13" t="inlineStr">
        <is>
          <t>6. CHG_022 (AirCover refacture) : alimente charges_exceptionnelles_refacturees (D042).</t>
        </is>
      </c>
    </row>
    <row r="17">
      <c r="A17" s="13" t="inlineStr">
        <is>
          <t>7. Aucun montant fixe code en dur — forfaits dans REF_Charges_Recurrentes (D045).</t>
        </is>
      </c>
    </row>
    <row r="18">
      <c r="A18" s="13" t="inlineStr">
        <is>
          <t>8. date_saisie : saisir manuellement la date de creation de la ligne (formule TODAY()</t>
        </is>
      </c>
    </row>
    <row r="19">
      <c r="A19" s="13" t="inlineStr">
        <is>
          <t xml:space="preserve">   recalcule — utiliser Ctrl+; pour inserer la date du jour de facon non volatile).</t>
        </is>
      </c>
    </row>
    <row r="20">
      <c r="A20" s="13" t="inlineStr"/>
    </row>
    <row r="21">
      <c r="A21" s="12" t="inlineStr">
        <is>
          <t>ONGLETS</t>
        </is>
      </c>
    </row>
    <row r="22">
      <c r="A22" s="13" t="inlineStr">
        <is>
          <t>- SAISIE            : 31 colonnes, listes deroulantes, MFC (rouge=BLOQUANT, orange=A_CONTROLER)</t>
        </is>
      </c>
    </row>
    <row r="23">
      <c r="A23" s="13" t="inlineStr">
        <is>
          <t>- REF_LOCALE        : 18 listes extraites de REF_Setup.xlsm (ne pas modifier manuellement)</t>
        </is>
      </c>
    </row>
    <row r="24">
      <c r="A24" s="13" t="inlineStr">
        <is>
          <t>- CONTROLES_SAISIE  : 13 controles automatiques — verifier avant chaque livraison</t>
        </is>
      </c>
    </row>
    <row r="25">
      <c r="A25" s="13" t="inlineStr">
        <is>
          <t>- README            : ce fichier</t>
        </is>
      </c>
    </row>
    <row r="26">
      <c r="A26" s="13" t="inlineStr"/>
    </row>
    <row r="27">
      <c r="A27" s="12" t="inlineStr">
        <is>
          <t>VUE_ACHATS_MENAGE_VALIDES (filtree dans MASTER_FACT_MAN_Charges)</t>
        </is>
      </c>
    </row>
    <row r="28">
      <c r="A28" s="13" t="inlineStr">
        <is>
          <t>Condition : filtre_vue_menage = OUI ET statut_controle = VALIDE</t>
        </is>
      </c>
    </row>
    <row r="29">
      <c r="A29" s="13" t="inlineStr">
        <is>
          <t>Categories eligibles : CHG_003 (Blanchisserie), CHG_004 (Produits logement),</t>
        </is>
      </c>
    </row>
    <row r="30">
      <c r="A30" s="13" t="inlineStr">
        <is>
          <t xml:space="preserve">                       CHG_018 (Petit equipement), CHG_023 (Forfait local cave)</t>
        </is>
      </c>
    </row>
    <row r="31">
      <c r="A31" s="13" t="inlineStr"/>
    </row>
    <row r="32">
      <c r="A32" s="12" t="inlineStr">
        <is>
          <t>ANTI-DOUBLE-COMPTAGE (D027 / D038)</t>
        </is>
      </c>
    </row>
    <row r="33">
      <c r="A33" s="13" t="inlineStr">
        <is>
          <t>Les achats saisies ici NE doivent PAS etre re-saisies dans M04.</t>
        </is>
      </c>
    </row>
    <row r="34">
      <c r="A34" s="13" t="inlineStr">
        <is>
          <t>M04 = main-d oeuvre uniquement. Achats, consommables, linge : SAISIE_Charges_Flux UNIQUEMENT.</t>
        </is>
      </c>
    </row>
    <row r="35">
      <c r="A35" s="13" t="inlineStr"/>
    </row>
    <row r="36">
      <c r="A36" s="12" t="inlineStr">
        <is>
          <t>CONTROLES A FAIRE AVANT LIVRAISON (JOURNAL_CONTROLES D029)</t>
        </is>
      </c>
    </row>
    <row r="37">
      <c r="A37" s="13" t="inlineStr">
        <is>
          <t>CTR-L3-06 = 0  (aucun BLOQUANT)</t>
        </is>
      </c>
    </row>
    <row r="38">
      <c r="A38" s="13" t="inlineStr">
        <is>
          <t>CTR-L3-07 = 0  (aucun charge_id duplique)</t>
        </is>
      </c>
    </row>
    <row r="39">
      <c r="A39" s="13" t="inlineStr">
        <is>
          <t>CTR-L3-10 = 0  (aucune date_charge vide)</t>
        </is>
      </c>
    </row>
    <row r="40">
      <c r="A40" s="13" t="inlineStr">
        <is>
          <t>CTR-L3-11 = 0  (aucun CHG_021 sans reservation_id)</t>
        </is>
      </c>
    </row>
    <row r="41">
      <c r="A41" s="13" t="inlineStr">
        <is>
          <t>CTR-L3-12 = 0  (aucun code_impact vide)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2026-06-08T17:25:40Z</dcterms:created>
  <dcterms:modified xmlns:dcterms="http://purl.org/dc/terms/" xmlns:xsi="http://www.w3.org/2001/XMLSchema-instance" xsi:type="dcterms:W3CDTF">2026-07-07T10:53:41Z</dcterms:modified>
</cp:coreProperties>
</file>
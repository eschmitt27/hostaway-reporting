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01e349018fd7f9e/Documents/Conciergerie/Pilotage_Conciergerie/05_APPLICATION/data/dapp05c_formules/20260702T143503Z/"/>
    </mc:Choice>
  </mc:AlternateContent>
  <xr:revisionPtr revIDLastSave="6" documentId="11_B35598DFB6F223331CAAAB384A4F86E44FC14337" xr6:coauthVersionLast="47" xr6:coauthVersionMax="47" xr10:uidLastSave="{7E1E93C6-BB28-4CB2-A664-E29BA1907EDB}"/>
  <bookViews>
    <workbookView xWindow="-120" yWindow="-120" windowWidth="29040" windowHeight="15720" xr2:uid="{00000000-000D-0000-FFFF-FFFF00000000}"/>
  </bookViews>
  <sheets>
    <sheet name="SAISIE" sheetId="1" r:id="rId1"/>
    <sheet name="REF_LOCALE" sheetId="2" r:id="rId2"/>
    <sheet name="CONTROLES_SAISIE" sheetId="3" r:id="rId3"/>
    <sheet name="README" sheetId="4" r:id="rId4"/>
  </sheets>
  <definedNames>
    <definedName name="lst_Associes">REF_LOCALE!$D$2:$D$3</definedName>
    <definedName name="lst_Canaux">REF_LOCALE!$A$2:$A$6</definedName>
    <definedName name="lst_Codes_Impact">REF_LOCALE!$H$2:$H$4</definedName>
    <definedName name="lst_Comptabilisation">REF_LOCALE!$I$2:$I$3</definedName>
    <definedName name="lst_Logements">REF_LOCALE!$C$2:$C$19</definedName>
    <definedName name="lst_ModesPaiement">REF_LOCALE!$E$2:$E$6</definedName>
    <definedName name="lst_Niveau_Anomalie">REF_LOCALE!$K$2:$K$4</definedName>
    <definedName name="lst_Proprietaires">REF_LOCALE!$B$2:$B$13</definedName>
    <definedName name="lst_PropTauxLookup">REF_LOCALE!$M$2:$N$13</definedName>
    <definedName name="lst_Source_Financiere">REF_LOCALE!$F$2:$F$6</definedName>
    <definedName name="lst_Statuts_Controle">REF_LOCALE!$J$2:$J$5</definedName>
    <definedName name="lst_TauxCommissionSource">REF_LOCALE!$G$2:$G$5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2" i="3"/>
  <c r="C11" i="3"/>
  <c r="C10" i="3"/>
  <c r="C9" i="3"/>
  <c r="C8" i="3"/>
  <c r="C7" i="3"/>
  <c r="C6" i="3"/>
  <c r="C5" i="3"/>
  <c r="C4" i="3"/>
  <c r="C3" i="3"/>
  <c r="C2" i="3"/>
  <c r="Z501" i="1"/>
  <c r="Y501" i="1"/>
  <c r="V501" i="1"/>
  <c r="O501" i="1"/>
  <c r="N501" i="1"/>
  <c r="Q501" i="1" s="1"/>
  <c r="K501" i="1"/>
  <c r="C501" i="1"/>
  <c r="B501" i="1"/>
  <c r="Z500" i="1"/>
  <c r="Y500" i="1"/>
  <c r="V500" i="1"/>
  <c r="O500" i="1"/>
  <c r="N500" i="1"/>
  <c r="Q500" i="1" s="1"/>
  <c r="K500" i="1"/>
  <c r="C500" i="1"/>
  <c r="B500" i="1"/>
  <c r="Z499" i="1"/>
  <c r="Y499" i="1"/>
  <c r="V499" i="1"/>
  <c r="O499" i="1"/>
  <c r="N499" i="1"/>
  <c r="Q499" i="1" s="1"/>
  <c r="K499" i="1"/>
  <c r="C499" i="1"/>
  <c r="B499" i="1"/>
  <c r="Z498" i="1"/>
  <c r="Y498" i="1"/>
  <c r="V498" i="1"/>
  <c r="O498" i="1"/>
  <c r="N498" i="1"/>
  <c r="Q498" i="1" s="1"/>
  <c r="K498" i="1"/>
  <c r="C498" i="1"/>
  <c r="B498" i="1"/>
  <c r="Z497" i="1"/>
  <c r="Y497" i="1"/>
  <c r="V497" i="1"/>
  <c r="O497" i="1"/>
  <c r="N497" i="1"/>
  <c r="Q497" i="1" s="1"/>
  <c r="K497" i="1"/>
  <c r="C497" i="1"/>
  <c r="B497" i="1"/>
  <c r="Z496" i="1"/>
  <c r="Y496" i="1"/>
  <c r="V496" i="1"/>
  <c r="Q496" i="1"/>
  <c r="O496" i="1"/>
  <c r="N496" i="1"/>
  <c r="K496" i="1"/>
  <c r="C496" i="1"/>
  <c r="B496" i="1"/>
  <c r="Z495" i="1"/>
  <c r="Y495" i="1"/>
  <c r="V495" i="1"/>
  <c r="O495" i="1"/>
  <c r="N495" i="1"/>
  <c r="Q495" i="1" s="1"/>
  <c r="K495" i="1"/>
  <c r="C495" i="1"/>
  <c r="B495" i="1"/>
  <c r="Z494" i="1"/>
  <c r="Y494" i="1"/>
  <c r="V494" i="1"/>
  <c r="O494" i="1"/>
  <c r="N494" i="1"/>
  <c r="Q494" i="1" s="1"/>
  <c r="K494" i="1"/>
  <c r="C494" i="1"/>
  <c r="B494" i="1"/>
  <c r="Z493" i="1"/>
  <c r="Y493" i="1"/>
  <c r="V493" i="1"/>
  <c r="O493" i="1"/>
  <c r="N493" i="1"/>
  <c r="Q493" i="1" s="1"/>
  <c r="K493" i="1"/>
  <c r="C493" i="1"/>
  <c r="B493" i="1"/>
  <c r="Z492" i="1"/>
  <c r="Y492" i="1"/>
  <c r="V492" i="1"/>
  <c r="O492" i="1"/>
  <c r="N492" i="1"/>
  <c r="Q492" i="1" s="1"/>
  <c r="K492" i="1"/>
  <c r="C492" i="1"/>
  <c r="B492" i="1"/>
  <c r="Z491" i="1"/>
  <c r="Y491" i="1"/>
  <c r="V491" i="1"/>
  <c r="O491" i="1"/>
  <c r="N491" i="1"/>
  <c r="Q491" i="1" s="1"/>
  <c r="K491" i="1"/>
  <c r="C491" i="1"/>
  <c r="B491" i="1"/>
  <c r="Z490" i="1"/>
  <c r="Y490" i="1"/>
  <c r="V490" i="1"/>
  <c r="O490" i="1"/>
  <c r="N490" i="1"/>
  <c r="Q490" i="1" s="1"/>
  <c r="K490" i="1"/>
  <c r="C490" i="1"/>
  <c r="B490" i="1"/>
  <c r="Z489" i="1"/>
  <c r="Y489" i="1"/>
  <c r="V489" i="1"/>
  <c r="O489" i="1"/>
  <c r="N489" i="1"/>
  <c r="Q489" i="1" s="1"/>
  <c r="K489" i="1"/>
  <c r="C489" i="1"/>
  <c r="B489" i="1"/>
  <c r="Z488" i="1"/>
  <c r="Y488" i="1"/>
  <c r="V488" i="1"/>
  <c r="O488" i="1"/>
  <c r="N488" i="1"/>
  <c r="Q488" i="1" s="1"/>
  <c r="K488" i="1"/>
  <c r="C488" i="1"/>
  <c r="B488" i="1"/>
  <c r="Z487" i="1"/>
  <c r="Y487" i="1"/>
  <c r="V487" i="1"/>
  <c r="O487" i="1"/>
  <c r="N487" i="1"/>
  <c r="Q487" i="1" s="1"/>
  <c r="K487" i="1"/>
  <c r="C487" i="1"/>
  <c r="B487" i="1"/>
  <c r="Z486" i="1"/>
  <c r="Y486" i="1"/>
  <c r="V486" i="1"/>
  <c r="O486" i="1"/>
  <c r="N486" i="1"/>
  <c r="Q486" i="1" s="1"/>
  <c r="K486" i="1"/>
  <c r="C486" i="1"/>
  <c r="B486" i="1"/>
  <c r="Z485" i="1"/>
  <c r="Y485" i="1"/>
  <c r="V485" i="1"/>
  <c r="O485" i="1"/>
  <c r="N485" i="1"/>
  <c r="Q485" i="1" s="1"/>
  <c r="K485" i="1"/>
  <c r="C485" i="1"/>
  <c r="B485" i="1"/>
  <c r="Z484" i="1"/>
  <c r="Y484" i="1"/>
  <c r="V484" i="1"/>
  <c r="O484" i="1"/>
  <c r="N484" i="1"/>
  <c r="Q484" i="1" s="1"/>
  <c r="K484" i="1"/>
  <c r="C484" i="1"/>
  <c r="B484" i="1"/>
  <c r="Z483" i="1"/>
  <c r="Y483" i="1"/>
  <c r="V483" i="1"/>
  <c r="O483" i="1"/>
  <c r="N483" i="1"/>
  <c r="Q483" i="1" s="1"/>
  <c r="K483" i="1"/>
  <c r="C483" i="1"/>
  <c r="B483" i="1"/>
  <c r="Z482" i="1"/>
  <c r="Y482" i="1"/>
  <c r="V482" i="1"/>
  <c r="O482" i="1"/>
  <c r="N482" i="1"/>
  <c r="Q482" i="1" s="1"/>
  <c r="K482" i="1"/>
  <c r="C482" i="1"/>
  <c r="B482" i="1"/>
  <c r="Z481" i="1"/>
  <c r="Y481" i="1"/>
  <c r="V481" i="1"/>
  <c r="O481" i="1"/>
  <c r="N481" i="1"/>
  <c r="Q481" i="1" s="1"/>
  <c r="K481" i="1"/>
  <c r="C481" i="1"/>
  <c r="B481" i="1"/>
  <c r="Z480" i="1"/>
  <c r="Y480" i="1"/>
  <c r="V480" i="1"/>
  <c r="O480" i="1"/>
  <c r="N480" i="1"/>
  <c r="Q480" i="1" s="1"/>
  <c r="K480" i="1"/>
  <c r="C480" i="1"/>
  <c r="B480" i="1"/>
  <c r="Z479" i="1"/>
  <c r="Y479" i="1"/>
  <c r="V479" i="1"/>
  <c r="O479" i="1"/>
  <c r="N479" i="1"/>
  <c r="Q479" i="1" s="1"/>
  <c r="K479" i="1"/>
  <c r="C479" i="1"/>
  <c r="B479" i="1"/>
  <c r="Z478" i="1"/>
  <c r="Y478" i="1"/>
  <c r="V478" i="1"/>
  <c r="O478" i="1"/>
  <c r="N478" i="1"/>
  <c r="Q478" i="1" s="1"/>
  <c r="K478" i="1"/>
  <c r="C478" i="1"/>
  <c r="B478" i="1"/>
  <c r="Z477" i="1"/>
  <c r="Y477" i="1"/>
  <c r="V477" i="1"/>
  <c r="O477" i="1"/>
  <c r="N477" i="1"/>
  <c r="Q477" i="1" s="1"/>
  <c r="K477" i="1"/>
  <c r="C477" i="1"/>
  <c r="B477" i="1"/>
  <c r="Z476" i="1"/>
  <c r="Y476" i="1"/>
  <c r="V476" i="1"/>
  <c r="O476" i="1"/>
  <c r="N476" i="1"/>
  <c r="Q476" i="1" s="1"/>
  <c r="K476" i="1"/>
  <c r="C476" i="1"/>
  <c r="B476" i="1"/>
  <c r="Z475" i="1"/>
  <c r="Y475" i="1"/>
  <c r="V475" i="1"/>
  <c r="O475" i="1"/>
  <c r="N475" i="1"/>
  <c r="Q475" i="1" s="1"/>
  <c r="K475" i="1"/>
  <c r="C475" i="1"/>
  <c r="B475" i="1"/>
  <c r="Z474" i="1"/>
  <c r="Y474" i="1"/>
  <c r="V474" i="1"/>
  <c r="O474" i="1"/>
  <c r="N474" i="1"/>
  <c r="Q474" i="1" s="1"/>
  <c r="K474" i="1"/>
  <c r="C474" i="1"/>
  <c r="B474" i="1"/>
  <c r="Z473" i="1"/>
  <c r="Y473" i="1"/>
  <c r="V473" i="1"/>
  <c r="O473" i="1"/>
  <c r="N473" i="1"/>
  <c r="Q473" i="1" s="1"/>
  <c r="K473" i="1"/>
  <c r="C473" i="1"/>
  <c r="B473" i="1"/>
  <c r="Z472" i="1"/>
  <c r="Y472" i="1"/>
  <c r="V472" i="1"/>
  <c r="O472" i="1"/>
  <c r="N472" i="1"/>
  <c r="Q472" i="1" s="1"/>
  <c r="K472" i="1"/>
  <c r="C472" i="1"/>
  <c r="B472" i="1"/>
  <c r="Z471" i="1"/>
  <c r="Y471" i="1"/>
  <c r="V471" i="1"/>
  <c r="O471" i="1"/>
  <c r="N471" i="1"/>
  <c r="Q471" i="1" s="1"/>
  <c r="K471" i="1"/>
  <c r="C471" i="1"/>
  <c r="B471" i="1"/>
  <c r="Z470" i="1"/>
  <c r="Y470" i="1"/>
  <c r="V470" i="1"/>
  <c r="O470" i="1"/>
  <c r="N470" i="1"/>
  <c r="Q470" i="1" s="1"/>
  <c r="K470" i="1"/>
  <c r="C470" i="1"/>
  <c r="B470" i="1"/>
  <c r="Z469" i="1"/>
  <c r="Y469" i="1"/>
  <c r="V469" i="1"/>
  <c r="O469" i="1"/>
  <c r="N469" i="1"/>
  <c r="Q469" i="1" s="1"/>
  <c r="K469" i="1"/>
  <c r="C469" i="1"/>
  <c r="B469" i="1"/>
  <c r="Z468" i="1"/>
  <c r="Y468" i="1"/>
  <c r="V468" i="1"/>
  <c r="O468" i="1"/>
  <c r="N468" i="1"/>
  <c r="Q468" i="1" s="1"/>
  <c r="K468" i="1"/>
  <c r="C468" i="1"/>
  <c r="B468" i="1"/>
  <c r="Z467" i="1"/>
  <c r="Y467" i="1"/>
  <c r="V467" i="1"/>
  <c r="O467" i="1"/>
  <c r="N467" i="1"/>
  <c r="Q467" i="1" s="1"/>
  <c r="K467" i="1"/>
  <c r="C467" i="1"/>
  <c r="B467" i="1"/>
  <c r="Z466" i="1"/>
  <c r="Y466" i="1"/>
  <c r="V466" i="1"/>
  <c r="O466" i="1"/>
  <c r="N466" i="1"/>
  <c r="Q466" i="1" s="1"/>
  <c r="K466" i="1"/>
  <c r="C466" i="1"/>
  <c r="B466" i="1"/>
  <c r="Z465" i="1"/>
  <c r="Y465" i="1"/>
  <c r="V465" i="1"/>
  <c r="O465" i="1"/>
  <c r="N465" i="1"/>
  <c r="Q465" i="1" s="1"/>
  <c r="K465" i="1"/>
  <c r="C465" i="1"/>
  <c r="B465" i="1"/>
  <c r="Z464" i="1"/>
  <c r="Y464" i="1"/>
  <c r="V464" i="1"/>
  <c r="O464" i="1"/>
  <c r="N464" i="1"/>
  <c r="Q464" i="1" s="1"/>
  <c r="K464" i="1"/>
  <c r="C464" i="1"/>
  <c r="B464" i="1"/>
  <c r="Z463" i="1"/>
  <c r="Y463" i="1"/>
  <c r="V463" i="1"/>
  <c r="O463" i="1"/>
  <c r="N463" i="1"/>
  <c r="Q463" i="1" s="1"/>
  <c r="K463" i="1"/>
  <c r="C463" i="1"/>
  <c r="B463" i="1"/>
  <c r="Z462" i="1"/>
  <c r="Y462" i="1"/>
  <c r="V462" i="1"/>
  <c r="O462" i="1"/>
  <c r="N462" i="1"/>
  <c r="Q462" i="1" s="1"/>
  <c r="K462" i="1"/>
  <c r="C462" i="1"/>
  <c r="B462" i="1"/>
  <c r="Z461" i="1"/>
  <c r="Y461" i="1"/>
  <c r="V461" i="1"/>
  <c r="O461" i="1"/>
  <c r="N461" i="1"/>
  <c r="Q461" i="1" s="1"/>
  <c r="K461" i="1"/>
  <c r="C461" i="1"/>
  <c r="B461" i="1"/>
  <c r="Z460" i="1"/>
  <c r="Y460" i="1"/>
  <c r="V460" i="1"/>
  <c r="O460" i="1"/>
  <c r="N460" i="1"/>
  <c r="Q460" i="1" s="1"/>
  <c r="K460" i="1"/>
  <c r="C460" i="1"/>
  <c r="B460" i="1"/>
  <c r="Z459" i="1"/>
  <c r="Y459" i="1"/>
  <c r="V459" i="1"/>
  <c r="O459" i="1"/>
  <c r="N459" i="1"/>
  <c r="Q459" i="1" s="1"/>
  <c r="K459" i="1"/>
  <c r="C459" i="1"/>
  <c r="B459" i="1"/>
  <c r="Z458" i="1"/>
  <c r="Y458" i="1"/>
  <c r="V458" i="1"/>
  <c r="O458" i="1"/>
  <c r="N458" i="1"/>
  <c r="Q458" i="1" s="1"/>
  <c r="K458" i="1"/>
  <c r="C458" i="1"/>
  <c r="B458" i="1"/>
  <c r="Z457" i="1"/>
  <c r="Y457" i="1"/>
  <c r="V457" i="1"/>
  <c r="O457" i="1"/>
  <c r="N457" i="1"/>
  <c r="Q457" i="1" s="1"/>
  <c r="K457" i="1"/>
  <c r="C457" i="1"/>
  <c r="B457" i="1"/>
  <c r="Z456" i="1"/>
  <c r="Y456" i="1"/>
  <c r="V456" i="1"/>
  <c r="O456" i="1"/>
  <c r="N456" i="1"/>
  <c r="Q456" i="1" s="1"/>
  <c r="K456" i="1"/>
  <c r="C456" i="1"/>
  <c r="B456" i="1"/>
  <c r="Z455" i="1"/>
  <c r="Y455" i="1"/>
  <c r="V455" i="1"/>
  <c r="O455" i="1"/>
  <c r="N455" i="1"/>
  <c r="Q455" i="1" s="1"/>
  <c r="K455" i="1"/>
  <c r="C455" i="1"/>
  <c r="B455" i="1"/>
  <c r="Z454" i="1"/>
  <c r="Y454" i="1"/>
  <c r="V454" i="1"/>
  <c r="O454" i="1"/>
  <c r="N454" i="1"/>
  <c r="Q454" i="1" s="1"/>
  <c r="K454" i="1"/>
  <c r="C454" i="1"/>
  <c r="B454" i="1"/>
  <c r="Z453" i="1"/>
  <c r="Y453" i="1"/>
  <c r="V453" i="1"/>
  <c r="O453" i="1"/>
  <c r="N453" i="1"/>
  <c r="Q453" i="1" s="1"/>
  <c r="K453" i="1"/>
  <c r="C453" i="1"/>
  <c r="B453" i="1"/>
  <c r="Z452" i="1"/>
  <c r="Y452" i="1"/>
  <c r="V452" i="1"/>
  <c r="O452" i="1"/>
  <c r="N452" i="1"/>
  <c r="Q452" i="1" s="1"/>
  <c r="K452" i="1"/>
  <c r="C452" i="1"/>
  <c r="B452" i="1"/>
  <c r="Z451" i="1"/>
  <c r="Y451" i="1"/>
  <c r="V451" i="1"/>
  <c r="O451" i="1"/>
  <c r="N451" i="1"/>
  <c r="Q451" i="1" s="1"/>
  <c r="K451" i="1"/>
  <c r="C451" i="1"/>
  <c r="B451" i="1"/>
  <c r="Z450" i="1"/>
  <c r="Y450" i="1"/>
  <c r="V450" i="1"/>
  <c r="O450" i="1"/>
  <c r="N450" i="1"/>
  <c r="Q450" i="1" s="1"/>
  <c r="K450" i="1"/>
  <c r="C450" i="1"/>
  <c r="B450" i="1"/>
  <c r="Z449" i="1"/>
  <c r="Y449" i="1"/>
  <c r="V449" i="1"/>
  <c r="O449" i="1"/>
  <c r="N449" i="1"/>
  <c r="Q449" i="1" s="1"/>
  <c r="K449" i="1"/>
  <c r="C449" i="1"/>
  <c r="B449" i="1"/>
  <c r="Z448" i="1"/>
  <c r="Y448" i="1"/>
  <c r="V448" i="1"/>
  <c r="O448" i="1"/>
  <c r="N448" i="1"/>
  <c r="Q448" i="1" s="1"/>
  <c r="K448" i="1"/>
  <c r="C448" i="1"/>
  <c r="B448" i="1"/>
  <c r="Z447" i="1"/>
  <c r="Y447" i="1"/>
  <c r="V447" i="1"/>
  <c r="O447" i="1"/>
  <c r="N447" i="1"/>
  <c r="Q447" i="1" s="1"/>
  <c r="K447" i="1"/>
  <c r="C447" i="1"/>
  <c r="B447" i="1"/>
  <c r="Z446" i="1"/>
  <c r="Y446" i="1"/>
  <c r="V446" i="1"/>
  <c r="O446" i="1"/>
  <c r="N446" i="1"/>
  <c r="Q446" i="1" s="1"/>
  <c r="K446" i="1"/>
  <c r="C446" i="1"/>
  <c r="B446" i="1"/>
  <c r="Z445" i="1"/>
  <c r="Y445" i="1"/>
  <c r="V445" i="1"/>
  <c r="O445" i="1"/>
  <c r="N445" i="1"/>
  <c r="Q445" i="1" s="1"/>
  <c r="K445" i="1"/>
  <c r="C445" i="1"/>
  <c r="B445" i="1"/>
  <c r="Z444" i="1"/>
  <c r="Y444" i="1"/>
  <c r="V444" i="1"/>
  <c r="O444" i="1"/>
  <c r="N444" i="1"/>
  <c r="Q444" i="1" s="1"/>
  <c r="K444" i="1"/>
  <c r="C444" i="1"/>
  <c r="B444" i="1"/>
  <c r="Z443" i="1"/>
  <c r="Y443" i="1"/>
  <c r="V443" i="1"/>
  <c r="O443" i="1"/>
  <c r="N443" i="1"/>
  <c r="Q443" i="1" s="1"/>
  <c r="K443" i="1"/>
  <c r="C443" i="1"/>
  <c r="B443" i="1"/>
  <c r="Z442" i="1"/>
  <c r="Y442" i="1"/>
  <c r="V442" i="1"/>
  <c r="O442" i="1"/>
  <c r="N442" i="1"/>
  <c r="Q442" i="1" s="1"/>
  <c r="K442" i="1"/>
  <c r="C442" i="1"/>
  <c r="B442" i="1"/>
  <c r="Z441" i="1"/>
  <c r="Y441" i="1"/>
  <c r="V441" i="1"/>
  <c r="O441" i="1"/>
  <c r="N441" i="1"/>
  <c r="Q441" i="1" s="1"/>
  <c r="K441" i="1"/>
  <c r="C441" i="1"/>
  <c r="B441" i="1"/>
  <c r="Z440" i="1"/>
  <c r="Y440" i="1"/>
  <c r="V440" i="1"/>
  <c r="O440" i="1"/>
  <c r="N440" i="1"/>
  <c r="Q440" i="1" s="1"/>
  <c r="K440" i="1"/>
  <c r="C440" i="1"/>
  <c r="B440" i="1"/>
  <c r="Z439" i="1"/>
  <c r="Y439" i="1"/>
  <c r="V439" i="1"/>
  <c r="O439" i="1"/>
  <c r="N439" i="1"/>
  <c r="Q439" i="1" s="1"/>
  <c r="K439" i="1"/>
  <c r="C439" i="1"/>
  <c r="B439" i="1"/>
  <c r="Z438" i="1"/>
  <c r="Y438" i="1"/>
  <c r="V438" i="1"/>
  <c r="O438" i="1"/>
  <c r="N438" i="1"/>
  <c r="Q438" i="1" s="1"/>
  <c r="K438" i="1"/>
  <c r="C438" i="1"/>
  <c r="B438" i="1"/>
  <c r="Z437" i="1"/>
  <c r="Y437" i="1"/>
  <c r="V437" i="1"/>
  <c r="O437" i="1"/>
  <c r="N437" i="1"/>
  <c r="Q437" i="1" s="1"/>
  <c r="K437" i="1"/>
  <c r="C437" i="1"/>
  <c r="B437" i="1"/>
  <c r="Z436" i="1"/>
  <c r="Y436" i="1"/>
  <c r="V436" i="1"/>
  <c r="O436" i="1"/>
  <c r="N436" i="1"/>
  <c r="Q436" i="1" s="1"/>
  <c r="K436" i="1"/>
  <c r="C436" i="1"/>
  <c r="B436" i="1"/>
  <c r="Z435" i="1"/>
  <c r="Y435" i="1"/>
  <c r="V435" i="1"/>
  <c r="O435" i="1"/>
  <c r="N435" i="1"/>
  <c r="Q435" i="1" s="1"/>
  <c r="K435" i="1"/>
  <c r="C435" i="1"/>
  <c r="B435" i="1"/>
  <c r="Z434" i="1"/>
  <c r="Y434" i="1"/>
  <c r="V434" i="1"/>
  <c r="O434" i="1"/>
  <c r="N434" i="1"/>
  <c r="Q434" i="1" s="1"/>
  <c r="K434" i="1"/>
  <c r="C434" i="1"/>
  <c r="B434" i="1"/>
  <c r="Z433" i="1"/>
  <c r="Y433" i="1"/>
  <c r="V433" i="1"/>
  <c r="O433" i="1"/>
  <c r="N433" i="1"/>
  <c r="Q433" i="1" s="1"/>
  <c r="K433" i="1"/>
  <c r="C433" i="1"/>
  <c r="B433" i="1"/>
  <c r="Z432" i="1"/>
  <c r="Y432" i="1"/>
  <c r="V432" i="1"/>
  <c r="O432" i="1"/>
  <c r="N432" i="1"/>
  <c r="Q432" i="1" s="1"/>
  <c r="K432" i="1"/>
  <c r="C432" i="1"/>
  <c r="B432" i="1"/>
  <c r="Z431" i="1"/>
  <c r="Y431" i="1"/>
  <c r="V431" i="1"/>
  <c r="O431" i="1"/>
  <c r="N431" i="1"/>
  <c r="Q431" i="1" s="1"/>
  <c r="K431" i="1"/>
  <c r="C431" i="1"/>
  <c r="B431" i="1"/>
  <c r="Z430" i="1"/>
  <c r="Y430" i="1"/>
  <c r="V430" i="1"/>
  <c r="O430" i="1"/>
  <c r="N430" i="1"/>
  <c r="Q430" i="1" s="1"/>
  <c r="K430" i="1"/>
  <c r="C430" i="1"/>
  <c r="B430" i="1"/>
  <c r="Z429" i="1"/>
  <c r="Y429" i="1"/>
  <c r="V429" i="1"/>
  <c r="O429" i="1"/>
  <c r="N429" i="1"/>
  <c r="Q429" i="1" s="1"/>
  <c r="K429" i="1"/>
  <c r="C429" i="1"/>
  <c r="B429" i="1"/>
  <c r="Z428" i="1"/>
  <c r="Y428" i="1"/>
  <c r="V428" i="1"/>
  <c r="O428" i="1"/>
  <c r="N428" i="1"/>
  <c r="Q428" i="1" s="1"/>
  <c r="K428" i="1"/>
  <c r="C428" i="1"/>
  <c r="B428" i="1"/>
  <c r="Z427" i="1"/>
  <c r="Y427" i="1"/>
  <c r="V427" i="1"/>
  <c r="O427" i="1"/>
  <c r="N427" i="1"/>
  <c r="Q427" i="1" s="1"/>
  <c r="K427" i="1"/>
  <c r="C427" i="1"/>
  <c r="B427" i="1"/>
  <c r="Z426" i="1"/>
  <c r="Y426" i="1"/>
  <c r="V426" i="1"/>
  <c r="O426" i="1"/>
  <c r="N426" i="1"/>
  <c r="Q426" i="1" s="1"/>
  <c r="K426" i="1"/>
  <c r="C426" i="1"/>
  <c r="B426" i="1"/>
  <c r="Z425" i="1"/>
  <c r="Y425" i="1"/>
  <c r="V425" i="1"/>
  <c r="O425" i="1"/>
  <c r="N425" i="1"/>
  <c r="Q425" i="1" s="1"/>
  <c r="K425" i="1"/>
  <c r="C425" i="1"/>
  <c r="B425" i="1"/>
  <c r="Z424" i="1"/>
  <c r="Y424" i="1"/>
  <c r="V424" i="1"/>
  <c r="O424" i="1"/>
  <c r="N424" i="1"/>
  <c r="Q424" i="1" s="1"/>
  <c r="K424" i="1"/>
  <c r="C424" i="1"/>
  <c r="B424" i="1"/>
  <c r="Z423" i="1"/>
  <c r="Y423" i="1"/>
  <c r="V423" i="1"/>
  <c r="O423" i="1"/>
  <c r="N423" i="1"/>
  <c r="Q423" i="1" s="1"/>
  <c r="K423" i="1"/>
  <c r="C423" i="1"/>
  <c r="B423" i="1"/>
  <c r="Z422" i="1"/>
  <c r="Y422" i="1"/>
  <c r="V422" i="1"/>
  <c r="O422" i="1"/>
  <c r="N422" i="1"/>
  <c r="Q422" i="1" s="1"/>
  <c r="K422" i="1"/>
  <c r="C422" i="1"/>
  <c r="B422" i="1"/>
  <c r="Z421" i="1"/>
  <c r="Y421" i="1"/>
  <c r="V421" i="1"/>
  <c r="O421" i="1"/>
  <c r="N421" i="1"/>
  <c r="Q421" i="1" s="1"/>
  <c r="K421" i="1"/>
  <c r="C421" i="1"/>
  <c r="B421" i="1"/>
  <c r="Z420" i="1"/>
  <c r="Y420" i="1"/>
  <c r="V420" i="1"/>
  <c r="O420" i="1"/>
  <c r="N420" i="1"/>
  <c r="Q420" i="1" s="1"/>
  <c r="K420" i="1"/>
  <c r="C420" i="1"/>
  <c r="B420" i="1"/>
  <c r="Z419" i="1"/>
  <c r="Y419" i="1"/>
  <c r="V419" i="1"/>
  <c r="O419" i="1"/>
  <c r="N419" i="1"/>
  <c r="Q419" i="1" s="1"/>
  <c r="K419" i="1"/>
  <c r="C419" i="1"/>
  <c r="B419" i="1"/>
  <c r="Z418" i="1"/>
  <c r="Y418" i="1"/>
  <c r="V418" i="1"/>
  <c r="O418" i="1"/>
  <c r="N418" i="1"/>
  <c r="Q418" i="1" s="1"/>
  <c r="K418" i="1"/>
  <c r="C418" i="1"/>
  <c r="B418" i="1"/>
  <c r="Z417" i="1"/>
  <c r="Y417" i="1"/>
  <c r="V417" i="1"/>
  <c r="O417" i="1"/>
  <c r="N417" i="1"/>
  <c r="Q417" i="1" s="1"/>
  <c r="K417" i="1"/>
  <c r="C417" i="1"/>
  <c r="B417" i="1"/>
  <c r="Z416" i="1"/>
  <c r="Y416" i="1"/>
  <c r="V416" i="1"/>
  <c r="O416" i="1"/>
  <c r="N416" i="1"/>
  <c r="Q416" i="1" s="1"/>
  <c r="K416" i="1"/>
  <c r="C416" i="1"/>
  <c r="B416" i="1"/>
  <c r="Z415" i="1"/>
  <c r="Y415" i="1"/>
  <c r="V415" i="1"/>
  <c r="O415" i="1"/>
  <c r="N415" i="1"/>
  <c r="Q415" i="1" s="1"/>
  <c r="K415" i="1"/>
  <c r="C415" i="1"/>
  <c r="B415" i="1"/>
  <c r="Z414" i="1"/>
  <c r="Y414" i="1"/>
  <c r="V414" i="1"/>
  <c r="O414" i="1"/>
  <c r="N414" i="1"/>
  <c r="Q414" i="1" s="1"/>
  <c r="K414" i="1"/>
  <c r="C414" i="1"/>
  <c r="B414" i="1"/>
  <c r="Z413" i="1"/>
  <c r="Y413" i="1"/>
  <c r="V413" i="1"/>
  <c r="O413" i="1"/>
  <c r="N413" i="1"/>
  <c r="Q413" i="1" s="1"/>
  <c r="K413" i="1"/>
  <c r="C413" i="1"/>
  <c r="B413" i="1"/>
  <c r="Z412" i="1"/>
  <c r="Y412" i="1"/>
  <c r="V412" i="1"/>
  <c r="O412" i="1"/>
  <c r="N412" i="1"/>
  <c r="Q412" i="1" s="1"/>
  <c r="K412" i="1"/>
  <c r="C412" i="1"/>
  <c r="B412" i="1"/>
  <c r="Z411" i="1"/>
  <c r="Y411" i="1"/>
  <c r="V411" i="1"/>
  <c r="O411" i="1"/>
  <c r="N411" i="1"/>
  <c r="Q411" i="1" s="1"/>
  <c r="K411" i="1"/>
  <c r="C411" i="1"/>
  <c r="B411" i="1"/>
  <c r="Z410" i="1"/>
  <c r="Y410" i="1"/>
  <c r="V410" i="1"/>
  <c r="O410" i="1"/>
  <c r="N410" i="1"/>
  <c r="Q410" i="1" s="1"/>
  <c r="K410" i="1"/>
  <c r="C410" i="1"/>
  <c r="B410" i="1"/>
  <c r="Z409" i="1"/>
  <c r="Y409" i="1"/>
  <c r="V409" i="1"/>
  <c r="O409" i="1"/>
  <c r="N409" i="1"/>
  <c r="Q409" i="1" s="1"/>
  <c r="K409" i="1"/>
  <c r="C409" i="1"/>
  <c r="B409" i="1"/>
  <c r="Z408" i="1"/>
  <c r="Y408" i="1"/>
  <c r="V408" i="1"/>
  <c r="O408" i="1"/>
  <c r="N408" i="1"/>
  <c r="Q408" i="1" s="1"/>
  <c r="K408" i="1"/>
  <c r="C408" i="1"/>
  <c r="B408" i="1"/>
  <c r="Z407" i="1"/>
  <c r="Y407" i="1"/>
  <c r="V407" i="1"/>
  <c r="O407" i="1"/>
  <c r="N407" i="1"/>
  <c r="Q407" i="1" s="1"/>
  <c r="K407" i="1"/>
  <c r="C407" i="1"/>
  <c r="B407" i="1"/>
  <c r="Z406" i="1"/>
  <c r="Y406" i="1"/>
  <c r="V406" i="1"/>
  <c r="O406" i="1"/>
  <c r="N406" i="1"/>
  <c r="Q406" i="1" s="1"/>
  <c r="K406" i="1"/>
  <c r="C406" i="1"/>
  <c r="B406" i="1"/>
  <c r="Z405" i="1"/>
  <c r="Y405" i="1"/>
  <c r="V405" i="1"/>
  <c r="O405" i="1"/>
  <c r="N405" i="1"/>
  <c r="Q405" i="1" s="1"/>
  <c r="K405" i="1"/>
  <c r="C405" i="1"/>
  <c r="B405" i="1"/>
  <c r="Z404" i="1"/>
  <c r="Y404" i="1"/>
  <c r="V404" i="1"/>
  <c r="O404" i="1"/>
  <c r="N404" i="1"/>
  <c r="Q404" i="1" s="1"/>
  <c r="K404" i="1"/>
  <c r="C404" i="1"/>
  <c r="B404" i="1"/>
  <c r="Z403" i="1"/>
  <c r="Y403" i="1"/>
  <c r="V403" i="1"/>
  <c r="O403" i="1"/>
  <c r="N403" i="1"/>
  <c r="Q403" i="1" s="1"/>
  <c r="K403" i="1"/>
  <c r="C403" i="1"/>
  <c r="B403" i="1"/>
  <c r="Z402" i="1"/>
  <c r="Y402" i="1"/>
  <c r="V402" i="1"/>
  <c r="O402" i="1"/>
  <c r="N402" i="1"/>
  <c r="Q402" i="1" s="1"/>
  <c r="K402" i="1"/>
  <c r="C402" i="1"/>
  <c r="B402" i="1"/>
  <c r="Z401" i="1"/>
  <c r="Y401" i="1"/>
  <c r="V401" i="1"/>
  <c r="O401" i="1"/>
  <c r="N401" i="1"/>
  <c r="Q401" i="1" s="1"/>
  <c r="K401" i="1"/>
  <c r="C401" i="1"/>
  <c r="B401" i="1"/>
  <c r="Z400" i="1"/>
  <c r="Y400" i="1"/>
  <c r="V400" i="1"/>
  <c r="O400" i="1"/>
  <c r="N400" i="1"/>
  <c r="Q400" i="1" s="1"/>
  <c r="K400" i="1"/>
  <c r="C400" i="1"/>
  <c r="B400" i="1"/>
  <c r="Z399" i="1"/>
  <c r="Y399" i="1"/>
  <c r="V399" i="1"/>
  <c r="O399" i="1"/>
  <c r="N399" i="1"/>
  <c r="Q399" i="1" s="1"/>
  <c r="K399" i="1"/>
  <c r="C399" i="1"/>
  <c r="B399" i="1"/>
  <c r="Z398" i="1"/>
  <c r="Y398" i="1"/>
  <c r="V398" i="1"/>
  <c r="O398" i="1"/>
  <c r="N398" i="1"/>
  <c r="Q398" i="1" s="1"/>
  <c r="K398" i="1"/>
  <c r="C398" i="1"/>
  <c r="B398" i="1"/>
  <c r="Z397" i="1"/>
  <c r="Y397" i="1"/>
  <c r="V397" i="1"/>
  <c r="O397" i="1"/>
  <c r="N397" i="1"/>
  <c r="Q397" i="1" s="1"/>
  <c r="K397" i="1"/>
  <c r="C397" i="1"/>
  <c r="B397" i="1"/>
  <c r="Z396" i="1"/>
  <c r="Y396" i="1"/>
  <c r="V396" i="1"/>
  <c r="O396" i="1"/>
  <c r="N396" i="1"/>
  <c r="Q396" i="1" s="1"/>
  <c r="K396" i="1"/>
  <c r="C396" i="1"/>
  <c r="B396" i="1"/>
  <c r="Z395" i="1"/>
  <c r="Y395" i="1"/>
  <c r="V395" i="1"/>
  <c r="O395" i="1"/>
  <c r="N395" i="1"/>
  <c r="Q395" i="1" s="1"/>
  <c r="K395" i="1"/>
  <c r="C395" i="1"/>
  <c r="B395" i="1"/>
  <c r="Z394" i="1"/>
  <c r="Y394" i="1"/>
  <c r="V394" i="1"/>
  <c r="O394" i="1"/>
  <c r="N394" i="1"/>
  <c r="Q394" i="1" s="1"/>
  <c r="K394" i="1"/>
  <c r="C394" i="1"/>
  <c r="B394" i="1"/>
  <c r="Z393" i="1"/>
  <c r="Y393" i="1"/>
  <c r="V393" i="1"/>
  <c r="O393" i="1"/>
  <c r="N393" i="1"/>
  <c r="Q393" i="1" s="1"/>
  <c r="K393" i="1"/>
  <c r="C393" i="1"/>
  <c r="B393" i="1"/>
  <c r="Z392" i="1"/>
  <c r="Y392" i="1"/>
  <c r="V392" i="1"/>
  <c r="O392" i="1"/>
  <c r="N392" i="1"/>
  <c r="Q392" i="1" s="1"/>
  <c r="K392" i="1"/>
  <c r="C392" i="1"/>
  <c r="B392" i="1"/>
  <c r="Z391" i="1"/>
  <c r="Y391" i="1"/>
  <c r="V391" i="1"/>
  <c r="O391" i="1"/>
  <c r="N391" i="1"/>
  <c r="Q391" i="1" s="1"/>
  <c r="K391" i="1"/>
  <c r="C391" i="1"/>
  <c r="B391" i="1"/>
  <c r="Z390" i="1"/>
  <c r="Y390" i="1"/>
  <c r="V390" i="1"/>
  <c r="O390" i="1"/>
  <c r="N390" i="1"/>
  <c r="Q390" i="1" s="1"/>
  <c r="K390" i="1"/>
  <c r="C390" i="1"/>
  <c r="B390" i="1"/>
  <c r="Z389" i="1"/>
  <c r="Y389" i="1"/>
  <c r="V389" i="1"/>
  <c r="O389" i="1"/>
  <c r="N389" i="1"/>
  <c r="Q389" i="1" s="1"/>
  <c r="K389" i="1"/>
  <c r="C389" i="1"/>
  <c r="B389" i="1"/>
  <c r="Z388" i="1"/>
  <c r="Y388" i="1"/>
  <c r="V388" i="1"/>
  <c r="O388" i="1"/>
  <c r="N388" i="1"/>
  <c r="Q388" i="1" s="1"/>
  <c r="K388" i="1"/>
  <c r="C388" i="1"/>
  <c r="B388" i="1"/>
  <c r="Z387" i="1"/>
  <c r="Y387" i="1"/>
  <c r="V387" i="1"/>
  <c r="O387" i="1"/>
  <c r="N387" i="1"/>
  <c r="Q387" i="1" s="1"/>
  <c r="K387" i="1"/>
  <c r="C387" i="1"/>
  <c r="B387" i="1"/>
  <c r="Z386" i="1"/>
  <c r="Y386" i="1"/>
  <c r="V386" i="1"/>
  <c r="O386" i="1"/>
  <c r="N386" i="1"/>
  <c r="Q386" i="1" s="1"/>
  <c r="K386" i="1"/>
  <c r="C386" i="1"/>
  <c r="B386" i="1"/>
  <c r="Z385" i="1"/>
  <c r="Y385" i="1"/>
  <c r="V385" i="1"/>
  <c r="O385" i="1"/>
  <c r="N385" i="1"/>
  <c r="Q385" i="1" s="1"/>
  <c r="K385" i="1"/>
  <c r="C385" i="1"/>
  <c r="B385" i="1"/>
  <c r="Z384" i="1"/>
  <c r="Y384" i="1"/>
  <c r="V384" i="1"/>
  <c r="O384" i="1"/>
  <c r="N384" i="1"/>
  <c r="Q384" i="1" s="1"/>
  <c r="K384" i="1"/>
  <c r="C384" i="1"/>
  <c r="B384" i="1"/>
  <c r="Z383" i="1"/>
  <c r="Y383" i="1"/>
  <c r="V383" i="1"/>
  <c r="O383" i="1"/>
  <c r="N383" i="1"/>
  <c r="Q383" i="1" s="1"/>
  <c r="K383" i="1"/>
  <c r="C383" i="1"/>
  <c r="B383" i="1"/>
  <c r="Z382" i="1"/>
  <c r="Y382" i="1"/>
  <c r="V382" i="1"/>
  <c r="O382" i="1"/>
  <c r="N382" i="1"/>
  <c r="Q382" i="1" s="1"/>
  <c r="K382" i="1"/>
  <c r="C382" i="1"/>
  <c r="B382" i="1"/>
  <c r="Z381" i="1"/>
  <c r="Y381" i="1"/>
  <c r="V381" i="1"/>
  <c r="O381" i="1"/>
  <c r="N381" i="1"/>
  <c r="Q381" i="1" s="1"/>
  <c r="K381" i="1"/>
  <c r="C381" i="1"/>
  <c r="B381" i="1"/>
  <c r="Z380" i="1"/>
  <c r="Y380" i="1"/>
  <c r="V380" i="1"/>
  <c r="O380" i="1"/>
  <c r="N380" i="1"/>
  <c r="Q380" i="1" s="1"/>
  <c r="K380" i="1"/>
  <c r="C380" i="1"/>
  <c r="B380" i="1"/>
  <c r="Z379" i="1"/>
  <c r="Y379" i="1"/>
  <c r="V379" i="1"/>
  <c r="O379" i="1"/>
  <c r="N379" i="1"/>
  <c r="Q379" i="1" s="1"/>
  <c r="K379" i="1"/>
  <c r="C379" i="1"/>
  <c r="B379" i="1"/>
  <c r="Z378" i="1"/>
  <c r="Y378" i="1"/>
  <c r="V378" i="1"/>
  <c r="O378" i="1"/>
  <c r="N378" i="1"/>
  <c r="Q378" i="1" s="1"/>
  <c r="K378" i="1"/>
  <c r="C378" i="1"/>
  <c r="B378" i="1"/>
  <c r="Z377" i="1"/>
  <c r="Y377" i="1"/>
  <c r="V377" i="1"/>
  <c r="O377" i="1"/>
  <c r="N377" i="1"/>
  <c r="Q377" i="1" s="1"/>
  <c r="K377" i="1"/>
  <c r="C377" i="1"/>
  <c r="B377" i="1"/>
  <c r="Z376" i="1"/>
  <c r="Y376" i="1"/>
  <c r="V376" i="1"/>
  <c r="O376" i="1"/>
  <c r="N376" i="1"/>
  <c r="Q376" i="1" s="1"/>
  <c r="K376" i="1"/>
  <c r="C376" i="1"/>
  <c r="B376" i="1"/>
  <c r="Z375" i="1"/>
  <c r="Y375" i="1"/>
  <c r="V375" i="1"/>
  <c r="O375" i="1"/>
  <c r="N375" i="1"/>
  <c r="Q375" i="1" s="1"/>
  <c r="K375" i="1"/>
  <c r="C375" i="1"/>
  <c r="B375" i="1"/>
  <c r="Z374" i="1"/>
  <c r="Y374" i="1"/>
  <c r="V374" i="1"/>
  <c r="O374" i="1"/>
  <c r="N374" i="1"/>
  <c r="Q374" i="1" s="1"/>
  <c r="K374" i="1"/>
  <c r="C374" i="1"/>
  <c r="B374" i="1"/>
  <c r="Z373" i="1"/>
  <c r="Y373" i="1"/>
  <c r="V373" i="1"/>
  <c r="O373" i="1"/>
  <c r="N373" i="1"/>
  <c r="Q373" i="1" s="1"/>
  <c r="K373" i="1"/>
  <c r="C373" i="1"/>
  <c r="B373" i="1"/>
  <c r="Z372" i="1"/>
  <c r="Y372" i="1"/>
  <c r="V372" i="1"/>
  <c r="O372" i="1"/>
  <c r="N372" i="1"/>
  <c r="Q372" i="1" s="1"/>
  <c r="K372" i="1"/>
  <c r="C372" i="1"/>
  <c r="B372" i="1"/>
  <c r="Z371" i="1"/>
  <c r="Y371" i="1"/>
  <c r="V371" i="1"/>
  <c r="O371" i="1"/>
  <c r="N371" i="1"/>
  <c r="Q371" i="1" s="1"/>
  <c r="K371" i="1"/>
  <c r="C371" i="1"/>
  <c r="B371" i="1"/>
  <c r="Z370" i="1"/>
  <c r="Y370" i="1"/>
  <c r="V370" i="1"/>
  <c r="O370" i="1"/>
  <c r="N370" i="1"/>
  <c r="Q370" i="1" s="1"/>
  <c r="K370" i="1"/>
  <c r="C370" i="1"/>
  <c r="B370" i="1"/>
  <c r="Z369" i="1"/>
  <c r="Y369" i="1"/>
  <c r="V369" i="1"/>
  <c r="O369" i="1"/>
  <c r="N369" i="1"/>
  <c r="Q369" i="1" s="1"/>
  <c r="K369" i="1"/>
  <c r="C369" i="1"/>
  <c r="B369" i="1"/>
  <c r="Z368" i="1"/>
  <c r="Y368" i="1"/>
  <c r="V368" i="1"/>
  <c r="O368" i="1"/>
  <c r="N368" i="1"/>
  <c r="Q368" i="1" s="1"/>
  <c r="K368" i="1"/>
  <c r="C368" i="1"/>
  <c r="B368" i="1"/>
  <c r="Z367" i="1"/>
  <c r="Y367" i="1"/>
  <c r="V367" i="1"/>
  <c r="O367" i="1"/>
  <c r="N367" i="1"/>
  <c r="Q367" i="1" s="1"/>
  <c r="K367" i="1"/>
  <c r="C367" i="1"/>
  <c r="B367" i="1"/>
  <c r="Z366" i="1"/>
  <c r="Y366" i="1"/>
  <c r="V366" i="1"/>
  <c r="O366" i="1"/>
  <c r="N366" i="1"/>
  <c r="Q366" i="1" s="1"/>
  <c r="K366" i="1"/>
  <c r="C366" i="1"/>
  <c r="B366" i="1"/>
  <c r="Z365" i="1"/>
  <c r="Y365" i="1"/>
  <c r="V365" i="1"/>
  <c r="O365" i="1"/>
  <c r="N365" i="1"/>
  <c r="Q365" i="1" s="1"/>
  <c r="K365" i="1"/>
  <c r="C365" i="1"/>
  <c r="B365" i="1"/>
  <c r="Z364" i="1"/>
  <c r="Y364" i="1"/>
  <c r="V364" i="1"/>
  <c r="O364" i="1"/>
  <c r="N364" i="1"/>
  <c r="Q364" i="1" s="1"/>
  <c r="K364" i="1"/>
  <c r="C364" i="1"/>
  <c r="B364" i="1"/>
  <c r="Z363" i="1"/>
  <c r="Y363" i="1"/>
  <c r="V363" i="1"/>
  <c r="O363" i="1"/>
  <c r="N363" i="1"/>
  <c r="Q363" i="1" s="1"/>
  <c r="K363" i="1"/>
  <c r="C363" i="1"/>
  <c r="B363" i="1"/>
  <c r="Z362" i="1"/>
  <c r="Y362" i="1"/>
  <c r="V362" i="1"/>
  <c r="O362" i="1"/>
  <c r="N362" i="1"/>
  <c r="Q362" i="1" s="1"/>
  <c r="K362" i="1"/>
  <c r="C362" i="1"/>
  <c r="B362" i="1"/>
  <c r="Z361" i="1"/>
  <c r="Y361" i="1"/>
  <c r="V361" i="1"/>
  <c r="O361" i="1"/>
  <c r="N361" i="1"/>
  <c r="Q361" i="1" s="1"/>
  <c r="K361" i="1"/>
  <c r="C361" i="1"/>
  <c r="B361" i="1"/>
  <c r="Z360" i="1"/>
  <c r="Y360" i="1"/>
  <c r="V360" i="1"/>
  <c r="O360" i="1"/>
  <c r="N360" i="1"/>
  <c r="Q360" i="1" s="1"/>
  <c r="K360" i="1"/>
  <c r="C360" i="1"/>
  <c r="B360" i="1"/>
  <c r="Z359" i="1"/>
  <c r="Y359" i="1"/>
  <c r="V359" i="1"/>
  <c r="O359" i="1"/>
  <c r="N359" i="1"/>
  <c r="Q359" i="1" s="1"/>
  <c r="K359" i="1"/>
  <c r="C359" i="1"/>
  <c r="B359" i="1"/>
  <c r="Z358" i="1"/>
  <c r="Y358" i="1"/>
  <c r="V358" i="1"/>
  <c r="O358" i="1"/>
  <c r="N358" i="1"/>
  <c r="Q358" i="1" s="1"/>
  <c r="K358" i="1"/>
  <c r="C358" i="1"/>
  <c r="B358" i="1"/>
  <c r="Z357" i="1"/>
  <c r="Y357" i="1"/>
  <c r="V357" i="1"/>
  <c r="O357" i="1"/>
  <c r="N357" i="1"/>
  <c r="Q357" i="1" s="1"/>
  <c r="K357" i="1"/>
  <c r="C357" i="1"/>
  <c r="B357" i="1"/>
  <c r="Z356" i="1"/>
  <c r="Y356" i="1"/>
  <c r="V356" i="1"/>
  <c r="O356" i="1"/>
  <c r="N356" i="1"/>
  <c r="Q356" i="1" s="1"/>
  <c r="K356" i="1"/>
  <c r="C356" i="1"/>
  <c r="B356" i="1"/>
  <c r="Z355" i="1"/>
  <c r="Y355" i="1"/>
  <c r="V355" i="1"/>
  <c r="O355" i="1"/>
  <c r="N355" i="1"/>
  <c r="Q355" i="1" s="1"/>
  <c r="K355" i="1"/>
  <c r="C355" i="1"/>
  <c r="B355" i="1"/>
  <c r="Z354" i="1"/>
  <c r="Y354" i="1"/>
  <c r="V354" i="1"/>
  <c r="O354" i="1"/>
  <c r="N354" i="1"/>
  <c r="Q354" i="1" s="1"/>
  <c r="K354" i="1"/>
  <c r="C354" i="1"/>
  <c r="B354" i="1"/>
  <c r="Z353" i="1"/>
  <c r="Y353" i="1"/>
  <c r="V353" i="1"/>
  <c r="O353" i="1"/>
  <c r="N353" i="1"/>
  <c r="Q353" i="1" s="1"/>
  <c r="K353" i="1"/>
  <c r="C353" i="1"/>
  <c r="B353" i="1"/>
  <c r="Z352" i="1"/>
  <c r="Y352" i="1"/>
  <c r="V352" i="1"/>
  <c r="O352" i="1"/>
  <c r="N352" i="1"/>
  <c r="Q352" i="1" s="1"/>
  <c r="K352" i="1"/>
  <c r="C352" i="1"/>
  <c r="B352" i="1"/>
  <c r="Z351" i="1"/>
  <c r="Y351" i="1"/>
  <c r="V351" i="1"/>
  <c r="O351" i="1"/>
  <c r="N351" i="1"/>
  <c r="Q351" i="1" s="1"/>
  <c r="K351" i="1"/>
  <c r="C351" i="1"/>
  <c r="B351" i="1"/>
  <c r="Z350" i="1"/>
  <c r="Y350" i="1"/>
  <c r="V350" i="1"/>
  <c r="O350" i="1"/>
  <c r="N350" i="1"/>
  <c r="Q350" i="1" s="1"/>
  <c r="K350" i="1"/>
  <c r="C350" i="1"/>
  <c r="B350" i="1"/>
  <c r="Z349" i="1"/>
  <c r="Y349" i="1"/>
  <c r="V349" i="1"/>
  <c r="O349" i="1"/>
  <c r="N349" i="1"/>
  <c r="Q349" i="1" s="1"/>
  <c r="K349" i="1"/>
  <c r="C349" i="1"/>
  <c r="B349" i="1"/>
  <c r="Z348" i="1"/>
  <c r="Y348" i="1"/>
  <c r="V348" i="1"/>
  <c r="O348" i="1"/>
  <c r="N348" i="1"/>
  <c r="Q348" i="1" s="1"/>
  <c r="K348" i="1"/>
  <c r="C348" i="1"/>
  <c r="B348" i="1"/>
  <c r="Z347" i="1"/>
  <c r="Y347" i="1"/>
  <c r="V347" i="1"/>
  <c r="O347" i="1"/>
  <c r="N347" i="1"/>
  <c r="Q347" i="1" s="1"/>
  <c r="K347" i="1"/>
  <c r="C347" i="1"/>
  <c r="B347" i="1"/>
  <c r="Z346" i="1"/>
  <c r="Y346" i="1"/>
  <c r="V346" i="1"/>
  <c r="O346" i="1"/>
  <c r="N346" i="1"/>
  <c r="Q346" i="1" s="1"/>
  <c r="K346" i="1"/>
  <c r="C346" i="1"/>
  <c r="B346" i="1"/>
  <c r="Z345" i="1"/>
  <c r="Y345" i="1"/>
  <c r="V345" i="1"/>
  <c r="O345" i="1"/>
  <c r="N345" i="1"/>
  <c r="Q345" i="1" s="1"/>
  <c r="K345" i="1"/>
  <c r="C345" i="1"/>
  <c r="B345" i="1"/>
  <c r="Z344" i="1"/>
  <c r="Y344" i="1"/>
  <c r="V344" i="1"/>
  <c r="O344" i="1"/>
  <c r="N344" i="1"/>
  <c r="Q344" i="1" s="1"/>
  <c r="K344" i="1"/>
  <c r="C344" i="1"/>
  <c r="B344" i="1"/>
  <c r="Z343" i="1"/>
  <c r="Y343" i="1"/>
  <c r="V343" i="1"/>
  <c r="O343" i="1"/>
  <c r="N343" i="1"/>
  <c r="Q343" i="1" s="1"/>
  <c r="K343" i="1"/>
  <c r="C343" i="1"/>
  <c r="B343" i="1"/>
  <c r="Z342" i="1"/>
  <c r="Y342" i="1"/>
  <c r="V342" i="1"/>
  <c r="O342" i="1"/>
  <c r="N342" i="1"/>
  <c r="Q342" i="1" s="1"/>
  <c r="K342" i="1"/>
  <c r="C342" i="1"/>
  <c r="B342" i="1"/>
  <c r="Z341" i="1"/>
  <c r="Y341" i="1"/>
  <c r="V341" i="1"/>
  <c r="O341" i="1"/>
  <c r="N341" i="1"/>
  <c r="Q341" i="1" s="1"/>
  <c r="K341" i="1"/>
  <c r="C341" i="1"/>
  <c r="B341" i="1"/>
  <c r="Z340" i="1"/>
  <c r="Y340" i="1"/>
  <c r="V340" i="1"/>
  <c r="O340" i="1"/>
  <c r="N340" i="1"/>
  <c r="Q340" i="1" s="1"/>
  <c r="K340" i="1"/>
  <c r="C340" i="1"/>
  <c r="B340" i="1"/>
  <c r="Z339" i="1"/>
  <c r="Y339" i="1"/>
  <c r="V339" i="1"/>
  <c r="O339" i="1"/>
  <c r="N339" i="1"/>
  <c r="Q339" i="1" s="1"/>
  <c r="K339" i="1"/>
  <c r="C339" i="1"/>
  <c r="B339" i="1"/>
  <c r="Z338" i="1"/>
  <c r="Y338" i="1"/>
  <c r="V338" i="1"/>
  <c r="O338" i="1"/>
  <c r="N338" i="1"/>
  <c r="Q338" i="1" s="1"/>
  <c r="K338" i="1"/>
  <c r="C338" i="1"/>
  <c r="B338" i="1"/>
  <c r="Z337" i="1"/>
  <c r="Y337" i="1"/>
  <c r="V337" i="1"/>
  <c r="O337" i="1"/>
  <c r="N337" i="1"/>
  <c r="Q337" i="1" s="1"/>
  <c r="K337" i="1"/>
  <c r="C337" i="1"/>
  <c r="B337" i="1"/>
  <c r="Z336" i="1"/>
  <c r="Y336" i="1"/>
  <c r="V336" i="1"/>
  <c r="O336" i="1"/>
  <c r="N336" i="1"/>
  <c r="Q336" i="1" s="1"/>
  <c r="K336" i="1"/>
  <c r="C336" i="1"/>
  <c r="B336" i="1"/>
  <c r="Z335" i="1"/>
  <c r="Y335" i="1"/>
  <c r="V335" i="1"/>
  <c r="O335" i="1"/>
  <c r="N335" i="1"/>
  <c r="Q335" i="1" s="1"/>
  <c r="K335" i="1"/>
  <c r="C335" i="1"/>
  <c r="B335" i="1"/>
  <c r="Z334" i="1"/>
  <c r="Y334" i="1"/>
  <c r="V334" i="1"/>
  <c r="O334" i="1"/>
  <c r="N334" i="1"/>
  <c r="Q334" i="1" s="1"/>
  <c r="K334" i="1"/>
  <c r="C334" i="1"/>
  <c r="B334" i="1"/>
  <c r="Z333" i="1"/>
  <c r="Y333" i="1"/>
  <c r="V333" i="1"/>
  <c r="O333" i="1"/>
  <c r="N333" i="1"/>
  <c r="Q333" i="1" s="1"/>
  <c r="K333" i="1"/>
  <c r="C333" i="1"/>
  <c r="B333" i="1"/>
  <c r="Z332" i="1"/>
  <c r="Y332" i="1"/>
  <c r="V332" i="1"/>
  <c r="O332" i="1"/>
  <c r="N332" i="1"/>
  <c r="Q332" i="1" s="1"/>
  <c r="K332" i="1"/>
  <c r="C332" i="1"/>
  <c r="B332" i="1"/>
  <c r="Z331" i="1"/>
  <c r="Y331" i="1"/>
  <c r="V331" i="1"/>
  <c r="O331" i="1"/>
  <c r="N331" i="1"/>
  <c r="Q331" i="1" s="1"/>
  <c r="K331" i="1"/>
  <c r="C331" i="1"/>
  <c r="B331" i="1"/>
  <c r="Z330" i="1"/>
  <c r="Y330" i="1"/>
  <c r="V330" i="1"/>
  <c r="O330" i="1"/>
  <c r="N330" i="1"/>
  <c r="Q330" i="1" s="1"/>
  <c r="K330" i="1"/>
  <c r="C330" i="1"/>
  <c r="B330" i="1"/>
  <c r="Z329" i="1"/>
  <c r="Y329" i="1"/>
  <c r="V329" i="1"/>
  <c r="O329" i="1"/>
  <c r="N329" i="1"/>
  <c r="Q329" i="1" s="1"/>
  <c r="K329" i="1"/>
  <c r="C329" i="1"/>
  <c r="B329" i="1"/>
  <c r="Z328" i="1"/>
  <c r="Y328" i="1"/>
  <c r="V328" i="1"/>
  <c r="O328" i="1"/>
  <c r="N328" i="1"/>
  <c r="Q328" i="1" s="1"/>
  <c r="K328" i="1"/>
  <c r="C328" i="1"/>
  <c r="B328" i="1"/>
  <c r="Z327" i="1"/>
  <c r="Y327" i="1"/>
  <c r="V327" i="1"/>
  <c r="O327" i="1"/>
  <c r="N327" i="1"/>
  <c r="Q327" i="1" s="1"/>
  <c r="K327" i="1"/>
  <c r="C327" i="1"/>
  <c r="B327" i="1"/>
  <c r="Z326" i="1"/>
  <c r="Y326" i="1"/>
  <c r="V326" i="1"/>
  <c r="O326" i="1"/>
  <c r="N326" i="1"/>
  <c r="Q326" i="1" s="1"/>
  <c r="K326" i="1"/>
  <c r="C326" i="1"/>
  <c r="B326" i="1"/>
  <c r="Z325" i="1"/>
  <c r="Y325" i="1"/>
  <c r="V325" i="1"/>
  <c r="O325" i="1"/>
  <c r="N325" i="1"/>
  <c r="Q325" i="1" s="1"/>
  <c r="K325" i="1"/>
  <c r="C325" i="1"/>
  <c r="B325" i="1"/>
  <c r="Z324" i="1"/>
  <c r="Y324" i="1"/>
  <c r="V324" i="1"/>
  <c r="O324" i="1"/>
  <c r="N324" i="1"/>
  <c r="Q324" i="1" s="1"/>
  <c r="K324" i="1"/>
  <c r="C324" i="1"/>
  <c r="B324" i="1"/>
  <c r="Z323" i="1"/>
  <c r="Y323" i="1"/>
  <c r="V323" i="1"/>
  <c r="O323" i="1"/>
  <c r="N323" i="1"/>
  <c r="Q323" i="1" s="1"/>
  <c r="K323" i="1"/>
  <c r="C323" i="1"/>
  <c r="B323" i="1"/>
  <c r="Z322" i="1"/>
  <c r="Y322" i="1"/>
  <c r="V322" i="1"/>
  <c r="O322" i="1"/>
  <c r="N322" i="1"/>
  <c r="Q322" i="1" s="1"/>
  <c r="K322" i="1"/>
  <c r="C322" i="1"/>
  <c r="B322" i="1"/>
  <c r="Z321" i="1"/>
  <c r="Y321" i="1"/>
  <c r="V321" i="1"/>
  <c r="O321" i="1"/>
  <c r="N321" i="1"/>
  <c r="Q321" i="1" s="1"/>
  <c r="K321" i="1"/>
  <c r="C321" i="1"/>
  <c r="B321" i="1"/>
  <c r="Z320" i="1"/>
  <c r="Y320" i="1"/>
  <c r="V320" i="1"/>
  <c r="O320" i="1"/>
  <c r="N320" i="1"/>
  <c r="Q320" i="1" s="1"/>
  <c r="K320" i="1"/>
  <c r="C320" i="1"/>
  <c r="B320" i="1"/>
  <c r="Z319" i="1"/>
  <c r="Y319" i="1"/>
  <c r="V319" i="1"/>
  <c r="O319" i="1"/>
  <c r="N319" i="1"/>
  <c r="Q319" i="1" s="1"/>
  <c r="K319" i="1"/>
  <c r="C319" i="1"/>
  <c r="B319" i="1"/>
  <c r="Z318" i="1"/>
  <c r="Y318" i="1"/>
  <c r="V318" i="1"/>
  <c r="O318" i="1"/>
  <c r="N318" i="1"/>
  <c r="Q318" i="1" s="1"/>
  <c r="K318" i="1"/>
  <c r="C318" i="1"/>
  <c r="B318" i="1"/>
  <c r="Z317" i="1"/>
  <c r="Y317" i="1"/>
  <c r="V317" i="1"/>
  <c r="O317" i="1"/>
  <c r="N317" i="1"/>
  <c r="Q317" i="1" s="1"/>
  <c r="K317" i="1"/>
  <c r="C317" i="1"/>
  <c r="B317" i="1"/>
  <c r="Z316" i="1"/>
  <c r="Y316" i="1"/>
  <c r="V316" i="1"/>
  <c r="O316" i="1"/>
  <c r="N316" i="1"/>
  <c r="Q316" i="1" s="1"/>
  <c r="K316" i="1"/>
  <c r="C316" i="1"/>
  <c r="B316" i="1"/>
  <c r="Z315" i="1"/>
  <c r="Y315" i="1"/>
  <c r="V315" i="1"/>
  <c r="O315" i="1"/>
  <c r="N315" i="1"/>
  <c r="Q315" i="1" s="1"/>
  <c r="K315" i="1"/>
  <c r="C315" i="1"/>
  <c r="B315" i="1"/>
  <c r="Z314" i="1"/>
  <c r="Y314" i="1"/>
  <c r="V314" i="1"/>
  <c r="O314" i="1"/>
  <c r="N314" i="1"/>
  <c r="Q314" i="1" s="1"/>
  <c r="K314" i="1"/>
  <c r="C314" i="1"/>
  <c r="B314" i="1"/>
  <c r="Z313" i="1"/>
  <c r="Y313" i="1"/>
  <c r="V313" i="1"/>
  <c r="O313" i="1"/>
  <c r="N313" i="1"/>
  <c r="Q313" i="1" s="1"/>
  <c r="K313" i="1"/>
  <c r="C313" i="1"/>
  <c r="B313" i="1"/>
  <c r="Z312" i="1"/>
  <c r="Y312" i="1"/>
  <c r="V312" i="1"/>
  <c r="O312" i="1"/>
  <c r="N312" i="1"/>
  <c r="Q312" i="1" s="1"/>
  <c r="K312" i="1"/>
  <c r="C312" i="1"/>
  <c r="B312" i="1"/>
  <c r="Z311" i="1"/>
  <c r="Y311" i="1"/>
  <c r="V311" i="1"/>
  <c r="O311" i="1"/>
  <c r="N311" i="1"/>
  <c r="Q311" i="1" s="1"/>
  <c r="K311" i="1"/>
  <c r="C311" i="1"/>
  <c r="B311" i="1"/>
  <c r="Z310" i="1"/>
  <c r="Y310" i="1"/>
  <c r="V310" i="1"/>
  <c r="O310" i="1"/>
  <c r="N310" i="1"/>
  <c r="Q310" i="1" s="1"/>
  <c r="K310" i="1"/>
  <c r="C310" i="1"/>
  <c r="B310" i="1"/>
  <c r="Z309" i="1"/>
  <c r="Y309" i="1"/>
  <c r="V309" i="1"/>
  <c r="O309" i="1"/>
  <c r="N309" i="1"/>
  <c r="Q309" i="1" s="1"/>
  <c r="K309" i="1"/>
  <c r="C309" i="1"/>
  <c r="B309" i="1"/>
  <c r="Z308" i="1"/>
  <c r="Y308" i="1"/>
  <c r="V308" i="1"/>
  <c r="O308" i="1"/>
  <c r="N308" i="1"/>
  <c r="Q308" i="1" s="1"/>
  <c r="K308" i="1"/>
  <c r="C308" i="1"/>
  <c r="B308" i="1"/>
  <c r="Z307" i="1"/>
  <c r="Y307" i="1"/>
  <c r="V307" i="1"/>
  <c r="O307" i="1"/>
  <c r="N307" i="1"/>
  <c r="Q307" i="1" s="1"/>
  <c r="K307" i="1"/>
  <c r="C307" i="1"/>
  <c r="B307" i="1"/>
  <c r="Z306" i="1"/>
  <c r="Y306" i="1"/>
  <c r="V306" i="1"/>
  <c r="O306" i="1"/>
  <c r="N306" i="1"/>
  <c r="Q306" i="1" s="1"/>
  <c r="K306" i="1"/>
  <c r="C306" i="1"/>
  <c r="B306" i="1"/>
  <c r="Z305" i="1"/>
  <c r="Y305" i="1"/>
  <c r="V305" i="1"/>
  <c r="O305" i="1"/>
  <c r="N305" i="1"/>
  <c r="Q305" i="1" s="1"/>
  <c r="K305" i="1"/>
  <c r="C305" i="1"/>
  <c r="B305" i="1"/>
  <c r="Z304" i="1"/>
  <c r="Y304" i="1"/>
  <c r="V304" i="1"/>
  <c r="O304" i="1"/>
  <c r="N304" i="1"/>
  <c r="Q304" i="1" s="1"/>
  <c r="K304" i="1"/>
  <c r="C304" i="1"/>
  <c r="B304" i="1"/>
  <c r="Z303" i="1"/>
  <c r="Y303" i="1"/>
  <c r="V303" i="1"/>
  <c r="O303" i="1"/>
  <c r="N303" i="1"/>
  <c r="Q303" i="1" s="1"/>
  <c r="K303" i="1"/>
  <c r="C303" i="1"/>
  <c r="B303" i="1"/>
  <c r="Z302" i="1"/>
  <c r="Y302" i="1"/>
  <c r="V302" i="1"/>
  <c r="O302" i="1"/>
  <c r="N302" i="1"/>
  <c r="Q302" i="1" s="1"/>
  <c r="K302" i="1"/>
  <c r="C302" i="1"/>
  <c r="B302" i="1"/>
  <c r="Z301" i="1"/>
  <c r="Y301" i="1"/>
  <c r="V301" i="1"/>
  <c r="O301" i="1"/>
  <c r="N301" i="1"/>
  <c r="Q301" i="1" s="1"/>
  <c r="K301" i="1"/>
  <c r="C301" i="1"/>
  <c r="B301" i="1"/>
  <c r="Z300" i="1"/>
  <c r="Y300" i="1"/>
  <c r="V300" i="1"/>
  <c r="O300" i="1"/>
  <c r="N300" i="1"/>
  <c r="Q300" i="1" s="1"/>
  <c r="K300" i="1"/>
  <c r="C300" i="1"/>
  <c r="B300" i="1"/>
  <c r="Z299" i="1"/>
  <c r="Y299" i="1"/>
  <c r="V299" i="1"/>
  <c r="O299" i="1"/>
  <c r="N299" i="1"/>
  <c r="Q299" i="1" s="1"/>
  <c r="K299" i="1"/>
  <c r="C299" i="1"/>
  <c r="B299" i="1"/>
  <c r="Z298" i="1"/>
  <c r="Y298" i="1"/>
  <c r="V298" i="1"/>
  <c r="O298" i="1"/>
  <c r="N298" i="1"/>
  <c r="Q298" i="1" s="1"/>
  <c r="K298" i="1"/>
  <c r="C298" i="1"/>
  <c r="B298" i="1"/>
  <c r="Z297" i="1"/>
  <c r="Y297" i="1"/>
  <c r="V297" i="1"/>
  <c r="O297" i="1"/>
  <c r="N297" i="1"/>
  <c r="Q297" i="1" s="1"/>
  <c r="K297" i="1"/>
  <c r="C297" i="1"/>
  <c r="B297" i="1"/>
  <c r="Z296" i="1"/>
  <c r="Y296" i="1"/>
  <c r="V296" i="1"/>
  <c r="O296" i="1"/>
  <c r="N296" i="1"/>
  <c r="Q296" i="1" s="1"/>
  <c r="K296" i="1"/>
  <c r="C296" i="1"/>
  <c r="B296" i="1"/>
  <c r="Z295" i="1"/>
  <c r="Y295" i="1"/>
  <c r="V295" i="1"/>
  <c r="O295" i="1"/>
  <c r="N295" i="1"/>
  <c r="Q295" i="1" s="1"/>
  <c r="K295" i="1"/>
  <c r="C295" i="1"/>
  <c r="B295" i="1"/>
  <c r="Z294" i="1"/>
  <c r="Y294" i="1"/>
  <c r="V294" i="1"/>
  <c r="O294" i="1"/>
  <c r="N294" i="1"/>
  <c r="Q294" i="1" s="1"/>
  <c r="K294" i="1"/>
  <c r="C294" i="1"/>
  <c r="B294" i="1"/>
  <c r="Z293" i="1"/>
  <c r="Y293" i="1"/>
  <c r="V293" i="1"/>
  <c r="O293" i="1"/>
  <c r="N293" i="1"/>
  <c r="Q293" i="1" s="1"/>
  <c r="K293" i="1"/>
  <c r="C293" i="1"/>
  <c r="B293" i="1"/>
  <c r="Z292" i="1"/>
  <c r="Y292" i="1"/>
  <c r="V292" i="1"/>
  <c r="O292" i="1"/>
  <c r="N292" i="1"/>
  <c r="Q292" i="1" s="1"/>
  <c r="K292" i="1"/>
  <c r="C292" i="1"/>
  <c r="B292" i="1"/>
  <c r="Z291" i="1"/>
  <c r="Y291" i="1"/>
  <c r="V291" i="1"/>
  <c r="O291" i="1"/>
  <c r="N291" i="1"/>
  <c r="Q291" i="1" s="1"/>
  <c r="K291" i="1"/>
  <c r="C291" i="1"/>
  <c r="B291" i="1"/>
  <c r="Z290" i="1"/>
  <c r="Y290" i="1"/>
  <c r="V290" i="1"/>
  <c r="O290" i="1"/>
  <c r="N290" i="1"/>
  <c r="Q290" i="1" s="1"/>
  <c r="K290" i="1"/>
  <c r="C290" i="1"/>
  <c r="B290" i="1"/>
  <c r="Z289" i="1"/>
  <c r="Y289" i="1"/>
  <c r="V289" i="1"/>
  <c r="O289" i="1"/>
  <c r="N289" i="1"/>
  <c r="Q289" i="1" s="1"/>
  <c r="K289" i="1"/>
  <c r="C289" i="1"/>
  <c r="B289" i="1"/>
  <c r="Z288" i="1"/>
  <c r="Y288" i="1"/>
  <c r="V288" i="1"/>
  <c r="O288" i="1"/>
  <c r="N288" i="1"/>
  <c r="Q288" i="1" s="1"/>
  <c r="K288" i="1"/>
  <c r="C288" i="1"/>
  <c r="B288" i="1"/>
  <c r="Z287" i="1"/>
  <c r="Y287" i="1"/>
  <c r="V287" i="1"/>
  <c r="O287" i="1"/>
  <c r="N287" i="1"/>
  <c r="Q287" i="1" s="1"/>
  <c r="K287" i="1"/>
  <c r="C287" i="1"/>
  <c r="B287" i="1"/>
  <c r="Z286" i="1"/>
  <c r="Y286" i="1"/>
  <c r="V286" i="1"/>
  <c r="O286" i="1"/>
  <c r="N286" i="1"/>
  <c r="Q286" i="1" s="1"/>
  <c r="K286" i="1"/>
  <c r="C286" i="1"/>
  <c r="B286" i="1"/>
  <c r="Z285" i="1"/>
  <c r="Y285" i="1"/>
  <c r="V285" i="1"/>
  <c r="O285" i="1"/>
  <c r="N285" i="1"/>
  <c r="Q285" i="1" s="1"/>
  <c r="K285" i="1"/>
  <c r="C285" i="1"/>
  <c r="B285" i="1"/>
  <c r="Z284" i="1"/>
  <c r="Y284" i="1"/>
  <c r="V284" i="1"/>
  <c r="O284" i="1"/>
  <c r="N284" i="1"/>
  <c r="Q284" i="1" s="1"/>
  <c r="K284" i="1"/>
  <c r="C284" i="1"/>
  <c r="B284" i="1"/>
  <c r="Z283" i="1"/>
  <c r="Y283" i="1"/>
  <c r="V283" i="1"/>
  <c r="O283" i="1"/>
  <c r="N283" i="1"/>
  <c r="Q283" i="1" s="1"/>
  <c r="K283" i="1"/>
  <c r="C283" i="1"/>
  <c r="B283" i="1"/>
  <c r="Z282" i="1"/>
  <c r="Y282" i="1"/>
  <c r="V282" i="1"/>
  <c r="O282" i="1"/>
  <c r="N282" i="1"/>
  <c r="Q282" i="1" s="1"/>
  <c r="K282" i="1"/>
  <c r="C282" i="1"/>
  <c r="B282" i="1"/>
  <c r="Z281" i="1"/>
  <c r="Y281" i="1"/>
  <c r="V281" i="1"/>
  <c r="O281" i="1"/>
  <c r="N281" i="1"/>
  <c r="Q281" i="1" s="1"/>
  <c r="K281" i="1"/>
  <c r="C281" i="1"/>
  <c r="B281" i="1"/>
  <c r="Z280" i="1"/>
  <c r="Y280" i="1"/>
  <c r="V280" i="1"/>
  <c r="O280" i="1"/>
  <c r="N280" i="1"/>
  <c r="Q280" i="1" s="1"/>
  <c r="K280" i="1"/>
  <c r="C280" i="1"/>
  <c r="B280" i="1"/>
  <c r="Z279" i="1"/>
  <c r="Y279" i="1"/>
  <c r="V279" i="1"/>
  <c r="O279" i="1"/>
  <c r="N279" i="1"/>
  <c r="Q279" i="1" s="1"/>
  <c r="K279" i="1"/>
  <c r="C279" i="1"/>
  <c r="B279" i="1"/>
  <c r="Z278" i="1"/>
  <c r="Y278" i="1"/>
  <c r="V278" i="1"/>
  <c r="O278" i="1"/>
  <c r="N278" i="1"/>
  <c r="Q278" i="1" s="1"/>
  <c r="K278" i="1"/>
  <c r="C278" i="1"/>
  <c r="B278" i="1"/>
  <c r="Z277" i="1"/>
  <c r="Y277" i="1"/>
  <c r="V277" i="1"/>
  <c r="O277" i="1"/>
  <c r="N277" i="1"/>
  <c r="Q277" i="1" s="1"/>
  <c r="K277" i="1"/>
  <c r="C277" i="1"/>
  <c r="B277" i="1"/>
  <c r="Z276" i="1"/>
  <c r="Y276" i="1"/>
  <c r="V276" i="1"/>
  <c r="O276" i="1"/>
  <c r="N276" i="1"/>
  <c r="Q276" i="1" s="1"/>
  <c r="K276" i="1"/>
  <c r="C276" i="1"/>
  <c r="B276" i="1"/>
  <c r="Z275" i="1"/>
  <c r="Y275" i="1"/>
  <c r="V275" i="1"/>
  <c r="O275" i="1"/>
  <c r="N275" i="1"/>
  <c r="Q275" i="1" s="1"/>
  <c r="K275" i="1"/>
  <c r="C275" i="1"/>
  <c r="B275" i="1"/>
  <c r="Z274" i="1"/>
  <c r="Y274" i="1"/>
  <c r="V274" i="1"/>
  <c r="O274" i="1"/>
  <c r="N274" i="1"/>
  <c r="Q274" i="1" s="1"/>
  <c r="K274" i="1"/>
  <c r="C274" i="1"/>
  <c r="B274" i="1"/>
  <c r="Z273" i="1"/>
  <c r="Y273" i="1"/>
  <c r="V273" i="1"/>
  <c r="O273" i="1"/>
  <c r="N273" i="1"/>
  <c r="Q273" i="1" s="1"/>
  <c r="K273" i="1"/>
  <c r="C273" i="1"/>
  <c r="B273" i="1"/>
  <c r="Z272" i="1"/>
  <c r="Y272" i="1"/>
  <c r="V272" i="1"/>
  <c r="O272" i="1"/>
  <c r="N272" i="1"/>
  <c r="Q272" i="1" s="1"/>
  <c r="K272" i="1"/>
  <c r="C272" i="1"/>
  <c r="B272" i="1"/>
  <c r="Z271" i="1"/>
  <c r="Y271" i="1"/>
  <c r="V271" i="1"/>
  <c r="O271" i="1"/>
  <c r="N271" i="1"/>
  <c r="Q271" i="1" s="1"/>
  <c r="K271" i="1"/>
  <c r="C271" i="1"/>
  <c r="B271" i="1"/>
  <c r="Z270" i="1"/>
  <c r="Y270" i="1"/>
  <c r="V270" i="1"/>
  <c r="O270" i="1"/>
  <c r="N270" i="1"/>
  <c r="Q270" i="1" s="1"/>
  <c r="K270" i="1"/>
  <c r="C270" i="1"/>
  <c r="B270" i="1"/>
  <c r="Z269" i="1"/>
  <c r="Y269" i="1"/>
  <c r="V269" i="1"/>
  <c r="O269" i="1"/>
  <c r="N269" i="1"/>
  <c r="Q269" i="1" s="1"/>
  <c r="K269" i="1"/>
  <c r="C269" i="1"/>
  <c r="B269" i="1"/>
  <c r="Z268" i="1"/>
  <c r="Y268" i="1"/>
  <c r="V268" i="1"/>
  <c r="O268" i="1"/>
  <c r="N268" i="1"/>
  <c r="Q268" i="1" s="1"/>
  <c r="K268" i="1"/>
  <c r="C268" i="1"/>
  <c r="B268" i="1"/>
  <c r="Z267" i="1"/>
  <c r="Y267" i="1"/>
  <c r="V267" i="1"/>
  <c r="O267" i="1"/>
  <c r="N267" i="1"/>
  <c r="Q267" i="1" s="1"/>
  <c r="K267" i="1"/>
  <c r="C267" i="1"/>
  <c r="B267" i="1"/>
  <c r="Z266" i="1"/>
  <c r="Y266" i="1"/>
  <c r="V266" i="1"/>
  <c r="O266" i="1"/>
  <c r="N266" i="1"/>
  <c r="Q266" i="1" s="1"/>
  <c r="K266" i="1"/>
  <c r="C266" i="1"/>
  <c r="B266" i="1"/>
  <c r="Z265" i="1"/>
  <c r="Y265" i="1"/>
  <c r="V265" i="1"/>
  <c r="O265" i="1"/>
  <c r="N265" i="1"/>
  <c r="Q265" i="1" s="1"/>
  <c r="K265" i="1"/>
  <c r="C265" i="1"/>
  <c r="B265" i="1"/>
  <c r="Z264" i="1"/>
  <c r="Y264" i="1"/>
  <c r="V264" i="1"/>
  <c r="O264" i="1"/>
  <c r="N264" i="1"/>
  <c r="Q264" i="1" s="1"/>
  <c r="K264" i="1"/>
  <c r="C264" i="1"/>
  <c r="B264" i="1"/>
  <c r="Z263" i="1"/>
  <c r="Y263" i="1"/>
  <c r="V263" i="1"/>
  <c r="O263" i="1"/>
  <c r="N263" i="1"/>
  <c r="Q263" i="1" s="1"/>
  <c r="K263" i="1"/>
  <c r="C263" i="1"/>
  <c r="B263" i="1"/>
  <c r="Z262" i="1"/>
  <c r="Y262" i="1"/>
  <c r="V262" i="1"/>
  <c r="O262" i="1"/>
  <c r="N262" i="1"/>
  <c r="Q262" i="1" s="1"/>
  <c r="K262" i="1"/>
  <c r="C262" i="1"/>
  <c r="B262" i="1"/>
  <c r="Z261" i="1"/>
  <c r="Y261" i="1"/>
  <c r="V261" i="1"/>
  <c r="O261" i="1"/>
  <c r="N261" i="1"/>
  <c r="Q261" i="1" s="1"/>
  <c r="K261" i="1"/>
  <c r="C261" i="1"/>
  <c r="B261" i="1"/>
  <c r="Z260" i="1"/>
  <c r="Y260" i="1"/>
  <c r="V260" i="1"/>
  <c r="O260" i="1"/>
  <c r="N260" i="1"/>
  <c r="Q260" i="1" s="1"/>
  <c r="K260" i="1"/>
  <c r="C260" i="1"/>
  <c r="B260" i="1"/>
  <c r="Z259" i="1"/>
  <c r="Y259" i="1"/>
  <c r="V259" i="1"/>
  <c r="O259" i="1"/>
  <c r="N259" i="1"/>
  <c r="Q259" i="1" s="1"/>
  <c r="K259" i="1"/>
  <c r="C259" i="1"/>
  <c r="B259" i="1"/>
  <c r="Z258" i="1"/>
  <c r="Y258" i="1"/>
  <c r="V258" i="1"/>
  <c r="O258" i="1"/>
  <c r="N258" i="1"/>
  <c r="Q258" i="1" s="1"/>
  <c r="K258" i="1"/>
  <c r="C258" i="1"/>
  <c r="B258" i="1"/>
  <c r="Z257" i="1"/>
  <c r="Y257" i="1"/>
  <c r="V257" i="1"/>
  <c r="O257" i="1"/>
  <c r="N257" i="1"/>
  <c r="Q257" i="1" s="1"/>
  <c r="K257" i="1"/>
  <c r="C257" i="1"/>
  <c r="B257" i="1"/>
  <c r="Z256" i="1"/>
  <c r="Y256" i="1"/>
  <c r="V256" i="1"/>
  <c r="O256" i="1"/>
  <c r="N256" i="1"/>
  <c r="Q256" i="1" s="1"/>
  <c r="K256" i="1"/>
  <c r="C256" i="1"/>
  <c r="B256" i="1"/>
  <c r="Z255" i="1"/>
  <c r="Y255" i="1"/>
  <c r="V255" i="1"/>
  <c r="O255" i="1"/>
  <c r="N255" i="1"/>
  <c r="Q255" i="1" s="1"/>
  <c r="K255" i="1"/>
  <c r="C255" i="1"/>
  <c r="B255" i="1"/>
  <c r="Z254" i="1"/>
  <c r="Y254" i="1"/>
  <c r="V254" i="1"/>
  <c r="O254" i="1"/>
  <c r="N254" i="1"/>
  <c r="Q254" i="1" s="1"/>
  <c r="K254" i="1"/>
  <c r="C254" i="1"/>
  <c r="B254" i="1"/>
  <c r="Z253" i="1"/>
  <c r="Y253" i="1"/>
  <c r="V253" i="1"/>
  <c r="O253" i="1"/>
  <c r="N253" i="1"/>
  <c r="Q253" i="1" s="1"/>
  <c r="K253" i="1"/>
  <c r="C253" i="1"/>
  <c r="B253" i="1"/>
  <c r="Z252" i="1"/>
  <c r="Y252" i="1"/>
  <c r="V252" i="1"/>
  <c r="O252" i="1"/>
  <c r="N252" i="1"/>
  <c r="Q252" i="1" s="1"/>
  <c r="K252" i="1"/>
  <c r="C252" i="1"/>
  <c r="B252" i="1"/>
  <c r="Z251" i="1"/>
  <c r="Y251" i="1"/>
  <c r="V251" i="1"/>
  <c r="O251" i="1"/>
  <c r="N251" i="1"/>
  <c r="Q251" i="1" s="1"/>
  <c r="K251" i="1"/>
  <c r="C251" i="1"/>
  <c r="B251" i="1"/>
  <c r="Z250" i="1"/>
  <c r="Y250" i="1"/>
  <c r="V250" i="1"/>
  <c r="O250" i="1"/>
  <c r="N250" i="1"/>
  <c r="Q250" i="1" s="1"/>
  <c r="K250" i="1"/>
  <c r="C250" i="1"/>
  <c r="B250" i="1"/>
  <c r="Z249" i="1"/>
  <c r="Y249" i="1"/>
  <c r="V249" i="1"/>
  <c r="O249" i="1"/>
  <c r="N249" i="1"/>
  <c r="Q249" i="1" s="1"/>
  <c r="K249" i="1"/>
  <c r="C249" i="1"/>
  <c r="B249" i="1"/>
  <c r="Z248" i="1"/>
  <c r="Y248" i="1"/>
  <c r="V248" i="1"/>
  <c r="O248" i="1"/>
  <c r="N248" i="1"/>
  <c r="Q248" i="1" s="1"/>
  <c r="K248" i="1"/>
  <c r="C248" i="1"/>
  <c r="B248" i="1"/>
  <c r="Z247" i="1"/>
  <c r="Y247" i="1"/>
  <c r="V247" i="1"/>
  <c r="O247" i="1"/>
  <c r="N247" i="1"/>
  <c r="Q247" i="1" s="1"/>
  <c r="K247" i="1"/>
  <c r="C247" i="1"/>
  <c r="B247" i="1"/>
  <c r="Z246" i="1"/>
  <c r="Y246" i="1"/>
  <c r="V246" i="1"/>
  <c r="O246" i="1"/>
  <c r="N246" i="1"/>
  <c r="Q246" i="1" s="1"/>
  <c r="K246" i="1"/>
  <c r="C246" i="1"/>
  <c r="B246" i="1"/>
  <c r="Z245" i="1"/>
  <c r="Y245" i="1"/>
  <c r="V245" i="1"/>
  <c r="O245" i="1"/>
  <c r="N245" i="1"/>
  <c r="Q245" i="1" s="1"/>
  <c r="K245" i="1"/>
  <c r="C245" i="1"/>
  <c r="B245" i="1"/>
  <c r="Z244" i="1"/>
  <c r="Y244" i="1"/>
  <c r="V244" i="1"/>
  <c r="O244" i="1"/>
  <c r="N244" i="1"/>
  <c r="Q244" i="1" s="1"/>
  <c r="K244" i="1"/>
  <c r="C244" i="1"/>
  <c r="B244" i="1"/>
  <c r="Z243" i="1"/>
  <c r="Y243" i="1"/>
  <c r="V243" i="1"/>
  <c r="O243" i="1"/>
  <c r="N243" i="1"/>
  <c r="Q243" i="1" s="1"/>
  <c r="K243" i="1"/>
  <c r="C243" i="1"/>
  <c r="B243" i="1"/>
  <c r="Z242" i="1"/>
  <c r="Y242" i="1"/>
  <c r="V242" i="1"/>
  <c r="O242" i="1"/>
  <c r="N242" i="1"/>
  <c r="Q242" i="1" s="1"/>
  <c r="K242" i="1"/>
  <c r="C242" i="1"/>
  <c r="B242" i="1"/>
  <c r="Z241" i="1"/>
  <c r="Y241" i="1"/>
  <c r="V241" i="1"/>
  <c r="O241" i="1"/>
  <c r="N241" i="1"/>
  <c r="Q241" i="1" s="1"/>
  <c r="K241" i="1"/>
  <c r="C241" i="1"/>
  <c r="B241" i="1"/>
  <c r="Z240" i="1"/>
  <c r="Y240" i="1"/>
  <c r="V240" i="1"/>
  <c r="O240" i="1"/>
  <c r="N240" i="1"/>
  <c r="Q240" i="1" s="1"/>
  <c r="K240" i="1"/>
  <c r="C240" i="1"/>
  <c r="B240" i="1"/>
  <c r="Z239" i="1"/>
  <c r="Y239" i="1"/>
  <c r="V239" i="1"/>
  <c r="O239" i="1"/>
  <c r="N239" i="1"/>
  <c r="Q239" i="1" s="1"/>
  <c r="K239" i="1"/>
  <c r="C239" i="1"/>
  <c r="B239" i="1"/>
  <c r="Z238" i="1"/>
  <c r="Y238" i="1"/>
  <c r="V238" i="1"/>
  <c r="O238" i="1"/>
  <c r="N238" i="1"/>
  <c r="Q238" i="1" s="1"/>
  <c r="K238" i="1"/>
  <c r="C238" i="1"/>
  <c r="B238" i="1"/>
  <c r="Z237" i="1"/>
  <c r="Y237" i="1"/>
  <c r="V237" i="1"/>
  <c r="O237" i="1"/>
  <c r="N237" i="1"/>
  <c r="Q237" i="1" s="1"/>
  <c r="K237" i="1"/>
  <c r="C237" i="1"/>
  <c r="B237" i="1"/>
  <c r="Z236" i="1"/>
  <c r="Y236" i="1"/>
  <c r="V236" i="1"/>
  <c r="O236" i="1"/>
  <c r="N236" i="1"/>
  <c r="Q236" i="1" s="1"/>
  <c r="K236" i="1"/>
  <c r="C236" i="1"/>
  <c r="B236" i="1"/>
  <c r="Z235" i="1"/>
  <c r="Y235" i="1"/>
  <c r="V235" i="1"/>
  <c r="O235" i="1"/>
  <c r="N235" i="1"/>
  <c r="Q235" i="1" s="1"/>
  <c r="K235" i="1"/>
  <c r="C235" i="1"/>
  <c r="B235" i="1"/>
  <c r="Z234" i="1"/>
  <c r="Y234" i="1"/>
  <c r="V234" i="1"/>
  <c r="O234" i="1"/>
  <c r="N234" i="1"/>
  <c r="Q234" i="1" s="1"/>
  <c r="K234" i="1"/>
  <c r="C234" i="1"/>
  <c r="B234" i="1"/>
  <c r="Z233" i="1"/>
  <c r="Y233" i="1"/>
  <c r="V233" i="1"/>
  <c r="O233" i="1"/>
  <c r="N233" i="1"/>
  <c r="Q233" i="1" s="1"/>
  <c r="K233" i="1"/>
  <c r="C233" i="1"/>
  <c r="B233" i="1"/>
  <c r="Z232" i="1"/>
  <c r="Y232" i="1"/>
  <c r="V232" i="1"/>
  <c r="O232" i="1"/>
  <c r="N232" i="1"/>
  <c r="Q232" i="1" s="1"/>
  <c r="K232" i="1"/>
  <c r="C232" i="1"/>
  <c r="B232" i="1"/>
  <c r="Z231" i="1"/>
  <c r="Y231" i="1"/>
  <c r="V231" i="1"/>
  <c r="O231" i="1"/>
  <c r="N231" i="1"/>
  <c r="Q231" i="1" s="1"/>
  <c r="K231" i="1"/>
  <c r="C231" i="1"/>
  <c r="B231" i="1"/>
  <c r="Z230" i="1"/>
  <c r="Y230" i="1"/>
  <c r="V230" i="1"/>
  <c r="O230" i="1"/>
  <c r="N230" i="1"/>
  <c r="Q230" i="1" s="1"/>
  <c r="K230" i="1"/>
  <c r="C230" i="1"/>
  <c r="B230" i="1"/>
  <c r="Z229" i="1"/>
  <c r="Y229" i="1"/>
  <c r="V229" i="1"/>
  <c r="O229" i="1"/>
  <c r="N229" i="1"/>
  <c r="Q229" i="1" s="1"/>
  <c r="K229" i="1"/>
  <c r="C229" i="1"/>
  <c r="B229" i="1"/>
  <c r="Z228" i="1"/>
  <c r="Y228" i="1"/>
  <c r="V228" i="1"/>
  <c r="O228" i="1"/>
  <c r="N228" i="1"/>
  <c r="Q228" i="1" s="1"/>
  <c r="K228" i="1"/>
  <c r="C228" i="1"/>
  <c r="B228" i="1"/>
  <c r="Z227" i="1"/>
  <c r="Y227" i="1"/>
  <c r="V227" i="1"/>
  <c r="O227" i="1"/>
  <c r="N227" i="1"/>
  <c r="Q227" i="1" s="1"/>
  <c r="K227" i="1"/>
  <c r="C227" i="1"/>
  <c r="B227" i="1"/>
  <c r="Z226" i="1"/>
  <c r="Y226" i="1"/>
  <c r="V226" i="1"/>
  <c r="O226" i="1"/>
  <c r="N226" i="1"/>
  <c r="Q226" i="1" s="1"/>
  <c r="K226" i="1"/>
  <c r="C226" i="1"/>
  <c r="B226" i="1"/>
  <c r="Z225" i="1"/>
  <c r="Y225" i="1"/>
  <c r="V225" i="1"/>
  <c r="O225" i="1"/>
  <c r="N225" i="1"/>
  <c r="Q225" i="1" s="1"/>
  <c r="K225" i="1"/>
  <c r="C225" i="1"/>
  <c r="B225" i="1"/>
  <c r="Z224" i="1"/>
  <c r="Y224" i="1"/>
  <c r="V224" i="1"/>
  <c r="O224" i="1"/>
  <c r="N224" i="1"/>
  <c r="Q224" i="1" s="1"/>
  <c r="K224" i="1"/>
  <c r="C224" i="1"/>
  <c r="B224" i="1"/>
  <c r="Z223" i="1"/>
  <c r="Y223" i="1"/>
  <c r="V223" i="1"/>
  <c r="O223" i="1"/>
  <c r="N223" i="1"/>
  <c r="Q223" i="1" s="1"/>
  <c r="K223" i="1"/>
  <c r="C223" i="1"/>
  <c r="B223" i="1"/>
  <c r="Z222" i="1"/>
  <c r="Y222" i="1"/>
  <c r="V222" i="1"/>
  <c r="O222" i="1"/>
  <c r="N222" i="1"/>
  <c r="Q222" i="1" s="1"/>
  <c r="K222" i="1"/>
  <c r="C222" i="1"/>
  <c r="B222" i="1"/>
  <c r="Z221" i="1"/>
  <c r="Y221" i="1"/>
  <c r="V221" i="1"/>
  <c r="O221" i="1"/>
  <c r="N221" i="1"/>
  <c r="Q221" i="1" s="1"/>
  <c r="K221" i="1"/>
  <c r="C221" i="1"/>
  <c r="B221" i="1"/>
  <c r="Z220" i="1"/>
  <c r="Y220" i="1"/>
  <c r="V220" i="1"/>
  <c r="O220" i="1"/>
  <c r="N220" i="1"/>
  <c r="Q220" i="1" s="1"/>
  <c r="K220" i="1"/>
  <c r="C220" i="1"/>
  <c r="B220" i="1"/>
  <c r="Z219" i="1"/>
  <c r="Y219" i="1"/>
  <c r="V219" i="1"/>
  <c r="O219" i="1"/>
  <c r="N219" i="1"/>
  <c r="Q219" i="1" s="1"/>
  <c r="K219" i="1"/>
  <c r="C219" i="1"/>
  <c r="B219" i="1"/>
  <c r="Z218" i="1"/>
  <c r="Y218" i="1"/>
  <c r="V218" i="1"/>
  <c r="O218" i="1"/>
  <c r="N218" i="1"/>
  <c r="Q218" i="1" s="1"/>
  <c r="K218" i="1"/>
  <c r="C218" i="1"/>
  <c r="B218" i="1"/>
  <c r="Z217" i="1"/>
  <c r="Y217" i="1"/>
  <c r="V217" i="1"/>
  <c r="O217" i="1"/>
  <c r="N217" i="1"/>
  <c r="Q217" i="1" s="1"/>
  <c r="K217" i="1"/>
  <c r="C217" i="1"/>
  <c r="B217" i="1"/>
  <c r="Z216" i="1"/>
  <c r="Y216" i="1"/>
  <c r="V216" i="1"/>
  <c r="O216" i="1"/>
  <c r="N216" i="1"/>
  <c r="Q216" i="1" s="1"/>
  <c r="K216" i="1"/>
  <c r="C216" i="1"/>
  <c r="B216" i="1"/>
  <c r="Z215" i="1"/>
  <c r="Y215" i="1"/>
  <c r="V215" i="1"/>
  <c r="O215" i="1"/>
  <c r="N215" i="1"/>
  <c r="Q215" i="1" s="1"/>
  <c r="K215" i="1"/>
  <c r="C215" i="1"/>
  <c r="B215" i="1"/>
  <c r="Z214" i="1"/>
  <c r="Y214" i="1"/>
  <c r="V214" i="1"/>
  <c r="O214" i="1"/>
  <c r="N214" i="1"/>
  <c r="Q214" i="1" s="1"/>
  <c r="K214" i="1"/>
  <c r="C214" i="1"/>
  <c r="B214" i="1"/>
  <c r="Z213" i="1"/>
  <c r="Y213" i="1"/>
  <c r="V213" i="1"/>
  <c r="O213" i="1"/>
  <c r="N213" i="1"/>
  <c r="Q213" i="1" s="1"/>
  <c r="K213" i="1"/>
  <c r="C213" i="1"/>
  <c r="B213" i="1"/>
  <c r="Z212" i="1"/>
  <c r="Y212" i="1"/>
  <c r="V212" i="1"/>
  <c r="O212" i="1"/>
  <c r="N212" i="1"/>
  <c r="Q212" i="1" s="1"/>
  <c r="K212" i="1"/>
  <c r="C212" i="1"/>
  <c r="B212" i="1"/>
  <c r="Z211" i="1"/>
  <c r="Y211" i="1"/>
  <c r="V211" i="1"/>
  <c r="O211" i="1"/>
  <c r="N211" i="1"/>
  <c r="Q211" i="1" s="1"/>
  <c r="K211" i="1"/>
  <c r="C211" i="1"/>
  <c r="B211" i="1"/>
  <c r="Z210" i="1"/>
  <c r="Y210" i="1"/>
  <c r="V210" i="1"/>
  <c r="O210" i="1"/>
  <c r="N210" i="1"/>
  <c r="Q210" i="1" s="1"/>
  <c r="K210" i="1"/>
  <c r="C210" i="1"/>
  <c r="B210" i="1"/>
  <c r="Z209" i="1"/>
  <c r="Y209" i="1"/>
  <c r="V209" i="1"/>
  <c r="O209" i="1"/>
  <c r="N209" i="1"/>
  <c r="Q209" i="1" s="1"/>
  <c r="K209" i="1"/>
  <c r="C209" i="1"/>
  <c r="B209" i="1"/>
  <c r="Z208" i="1"/>
  <c r="Y208" i="1"/>
  <c r="V208" i="1"/>
  <c r="O208" i="1"/>
  <c r="N208" i="1"/>
  <c r="Q208" i="1" s="1"/>
  <c r="K208" i="1"/>
  <c r="C208" i="1"/>
  <c r="B208" i="1"/>
  <c r="Z207" i="1"/>
  <c r="Y207" i="1"/>
  <c r="V207" i="1"/>
  <c r="O207" i="1"/>
  <c r="N207" i="1"/>
  <c r="Q207" i="1" s="1"/>
  <c r="K207" i="1"/>
  <c r="C207" i="1"/>
  <c r="B207" i="1"/>
  <c r="Z206" i="1"/>
  <c r="Y206" i="1"/>
  <c r="V206" i="1"/>
  <c r="O206" i="1"/>
  <c r="N206" i="1"/>
  <c r="Q206" i="1" s="1"/>
  <c r="K206" i="1"/>
  <c r="C206" i="1"/>
  <c r="B206" i="1"/>
  <c r="Z205" i="1"/>
  <c r="Y205" i="1"/>
  <c r="V205" i="1"/>
  <c r="O205" i="1"/>
  <c r="N205" i="1"/>
  <c r="Q205" i="1" s="1"/>
  <c r="K205" i="1"/>
  <c r="C205" i="1"/>
  <c r="B205" i="1"/>
  <c r="Z204" i="1"/>
  <c r="Y204" i="1"/>
  <c r="V204" i="1"/>
  <c r="O204" i="1"/>
  <c r="N204" i="1"/>
  <c r="Q204" i="1" s="1"/>
  <c r="K204" i="1"/>
  <c r="C204" i="1"/>
  <c r="B204" i="1"/>
  <c r="Z203" i="1"/>
  <c r="Y203" i="1"/>
  <c r="V203" i="1"/>
  <c r="O203" i="1"/>
  <c r="N203" i="1"/>
  <c r="Q203" i="1" s="1"/>
  <c r="K203" i="1"/>
  <c r="C203" i="1"/>
  <c r="B203" i="1"/>
  <c r="Z202" i="1"/>
  <c r="Y202" i="1"/>
  <c r="V202" i="1"/>
  <c r="O202" i="1"/>
  <c r="N202" i="1"/>
  <c r="Q202" i="1" s="1"/>
  <c r="K202" i="1"/>
  <c r="C202" i="1"/>
  <c r="B202" i="1"/>
  <c r="Z201" i="1"/>
  <c r="Y201" i="1"/>
  <c r="V201" i="1"/>
  <c r="O201" i="1"/>
  <c r="N201" i="1"/>
  <c r="Q201" i="1" s="1"/>
  <c r="K201" i="1"/>
  <c r="C201" i="1"/>
  <c r="B201" i="1"/>
  <c r="Z200" i="1"/>
  <c r="Y200" i="1"/>
  <c r="V200" i="1"/>
  <c r="O200" i="1"/>
  <c r="N200" i="1"/>
  <c r="Q200" i="1" s="1"/>
  <c r="K200" i="1"/>
  <c r="C200" i="1"/>
  <c r="B200" i="1"/>
  <c r="Z199" i="1"/>
  <c r="Y199" i="1"/>
  <c r="V199" i="1"/>
  <c r="O199" i="1"/>
  <c r="N199" i="1"/>
  <c r="Q199" i="1" s="1"/>
  <c r="K199" i="1"/>
  <c r="C199" i="1"/>
  <c r="B199" i="1"/>
  <c r="Z198" i="1"/>
  <c r="Y198" i="1"/>
  <c r="V198" i="1"/>
  <c r="O198" i="1"/>
  <c r="N198" i="1"/>
  <c r="Q198" i="1" s="1"/>
  <c r="K198" i="1"/>
  <c r="C198" i="1"/>
  <c r="B198" i="1"/>
  <c r="Z197" i="1"/>
  <c r="Y197" i="1"/>
  <c r="V197" i="1"/>
  <c r="O197" i="1"/>
  <c r="N197" i="1"/>
  <c r="Q197" i="1" s="1"/>
  <c r="K197" i="1"/>
  <c r="C197" i="1"/>
  <c r="B197" i="1"/>
  <c r="Z196" i="1"/>
  <c r="Y196" i="1"/>
  <c r="V196" i="1"/>
  <c r="O196" i="1"/>
  <c r="N196" i="1"/>
  <c r="Q196" i="1" s="1"/>
  <c r="K196" i="1"/>
  <c r="C196" i="1"/>
  <c r="B196" i="1"/>
  <c r="Z195" i="1"/>
  <c r="Y195" i="1"/>
  <c r="V195" i="1"/>
  <c r="O195" i="1"/>
  <c r="N195" i="1"/>
  <c r="Q195" i="1" s="1"/>
  <c r="K195" i="1"/>
  <c r="C195" i="1"/>
  <c r="B195" i="1"/>
  <c r="Z194" i="1"/>
  <c r="Y194" i="1"/>
  <c r="V194" i="1"/>
  <c r="O194" i="1"/>
  <c r="N194" i="1"/>
  <c r="Q194" i="1" s="1"/>
  <c r="K194" i="1"/>
  <c r="C194" i="1"/>
  <c r="B194" i="1"/>
  <c r="Z193" i="1"/>
  <c r="Y193" i="1"/>
  <c r="V193" i="1"/>
  <c r="O193" i="1"/>
  <c r="N193" i="1"/>
  <c r="Q193" i="1" s="1"/>
  <c r="K193" i="1"/>
  <c r="C193" i="1"/>
  <c r="B193" i="1"/>
  <c r="Z192" i="1"/>
  <c r="Y192" i="1"/>
  <c r="V192" i="1"/>
  <c r="O192" i="1"/>
  <c r="N192" i="1"/>
  <c r="Q192" i="1" s="1"/>
  <c r="K192" i="1"/>
  <c r="C192" i="1"/>
  <c r="B192" i="1"/>
  <c r="Z191" i="1"/>
  <c r="Y191" i="1"/>
  <c r="V191" i="1"/>
  <c r="O191" i="1"/>
  <c r="N191" i="1"/>
  <c r="Q191" i="1" s="1"/>
  <c r="K191" i="1"/>
  <c r="C191" i="1"/>
  <c r="B191" i="1"/>
  <c r="Z190" i="1"/>
  <c r="Y190" i="1"/>
  <c r="V190" i="1"/>
  <c r="O190" i="1"/>
  <c r="N190" i="1"/>
  <c r="Q190" i="1" s="1"/>
  <c r="K190" i="1"/>
  <c r="C190" i="1"/>
  <c r="B190" i="1"/>
  <c r="Z189" i="1"/>
  <c r="Y189" i="1"/>
  <c r="V189" i="1"/>
  <c r="O189" i="1"/>
  <c r="N189" i="1"/>
  <c r="Q189" i="1" s="1"/>
  <c r="K189" i="1"/>
  <c r="C189" i="1"/>
  <c r="B189" i="1"/>
  <c r="Z188" i="1"/>
  <c r="Y188" i="1"/>
  <c r="V188" i="1"/>
  <c r="O188" i="1"/>
  <c r="N188" i="1"/>
  <c r="Q188" i="1" s="1"/>
  <c r="K188" i="1"/>
  <c r="C188" i="1"/>
  <c r="B188" i="1"/>
  <c r="Z187" i="1"/>
  <c r="Y187" i="1"/>
  <c r="V187" i="1"/>
  <c r="O187" i="1"/>
  <c r="N187" i="1"/>
  <c r="Q187" i="1" s="1"/>
  <c r="K187" i="1"/>
  <c r="C187" i="1"/>
  <c r="B187" i="1"/>
  <c r="Z186" i="1"/>
  <c r="Y186" i="1"/>
  <c r="V186" i="1"/>
  <c r="O186" i="1"/>
  <c r="N186" i="1"/>
  <c r="Q186" i="1" s="1"/>
  <c r="K186" i="1"/>
  <c r="C186" i="1"/>
  <c r="B186" i="1"/>
  <c r="Z185" i="1"/>
  <c r="Y185" i="1"/>
  <c r="V185" i="1"/>
  <c r="O185" i="1"/>
  <c r="N185" i="1"/>
  <c r="Q185" i="1" s="1"/>
  <c r="K185" i="1"/>
  <c r="C185" i="1"/>
  <c r="B185" i="1"/>
  <c r="Z184" i="1"/>
  <c r="Y184" i="1"/>
  <c r="V184" i="1"/>
  <c r="O184" i="1"/>
  <c r="N184" i="1"/>
  <c r="Q184" i="1" s="1"/>
  <c r="K184" i="1"/>
  <c r="C184" i="1"/>
  <c r="B184" i="1"/>
  <c r="Z183" i="1"/>
  <c r="Y183" i="1"/>
  <c r="V183" i="1"/>
  <c r="O183" i="1"/>
  <c r="N183" i="1"/>
  <c r="Q183" i="1" s="1"/>
  <c r="K183" i="1"/>
  <c r="C183" i="1"/>
  <c r="B183" i="1"/>
  <c r="Z182" i="1"/>
  <c r="Y182" i="1"/>
  <c r="V182" i="1"/>
  <c r="O182" i="1"/>
  <c r="N182" i="1"/>
  <c r="Q182" i="1" s="1"/>
  <c r="K182" i="1"/>
  <c r="C182" i="1"/>
  <c r="B182" i="1"/>
  <c r="Z181" i="1"/>
  <c r="Y181" i="1"/>
  <c r="V181" i="1"/>
  <c r="O181" i="1"/>
  <c r="N181" i="1"/>
  <c r="Q181" i="1" s="1"/>
  <c r="K181" i="1"/>
  <c r="C181" i="1"/>
  <c r="B181" i="1"/>
  <c r="Z180" i="1"/>
  <c r="Y180" i="1"/>
  <c r="V180" i="1"/>
  <c r="O180" i="1"/>
  <c r="N180" i="1"/>
  <c r="Q180" i="1" s="1"/>
  <c r="K180" i="1"/>
  <c r="C180" i="1"/>
  <c r="B180" i="1"/>
  <c r="Z179" i="1"/>
  <c r="Y179" i="1"/>
  <c r="V179" i="1"/>
  <c r="O179" i="1"/>
  <c r="N179" i="1"/>
  <c r="Q179" i="1" s="1"/>
  <c r="K179" i="1"/>
  <c r="C179" i="1"/>
  <c r="B179" i="1"/>
  <c r="Z178" i="1"/>
  <c r="Y178" i="1"/>
  <c r="V178" i="1"/>
  <c r="O178" i="1"/>
  <c r="N178" i="1"/>
  <c r="Q178" i="1" s="1"/>
  <c r="K178" i="1"/>
  <c r="C178" i="1"/>
  <c r="B178" i="1"/>
  <c r="Z177" i="1"/>
  <c r="Y177" i="1"/>
  <c r="V177" i="1"/>
  <c r="O177" i="1"/>
  <c r="N177" i="1"/>
  <c r="Q177" i="1" s="1"/>
  <c r="K177" i="1"/>
  <c r="C177" i="1"/>
  <c r="B177" i="1"/>
  <c r="Z176" i="1"/>
  <c r="Y176" i="1"/>
  <c r="V176" i="1"/>
  <c r="O176" i="1"/>
  <c r="N176" i="1"/>
  <c r="Q176" i="1" s="1"/>
  <c r="K176" i="1"/>
  <c r="C176" i="1"/>
  <c r="B176" i="1"/>
  <c r="Z175" i="1"/>
  <c r="Y175" i="1"/>
  <c r="V175" i="1"/>
  <c r="O175" i="1"/>
  <c r="N175" i="1"/>
  <c r="Q175" i="1" s="1"/>
  <c r="K175" i="1"/>
  <c r="C175" i="1"/>
  <c r="B175" i="1"/>
  <c r="Z174" i="1"/>
  <c r="Y174" i="1"/>
  <c r="V174" i="1"/>
  <c r="O174" i="1"/>
  <c r="N174" i="1"/>
  <c r="Q174" i="1" s="1"/>
  <c r="K174" i="1"/>
  <c r="C174" i="1"/>
  <c r="B174" i="1"/>
  <c r="Z173" i="1"/>
  <c r="Y173" i="1"/>
  <c r="V173" i="1"/>
  <c r="O173" i="1"/>
  <c r="N173" i="1"/>
  <c r="Q173" i="1" s="1"/>
  <c r="K173" i="1"/>
  <c r="C173" i="1"/>
  <c r="B173" i="1"/>
  <c r="Z172" i="1"/>
  <c r="Y172" i="1"/>
  <c r="V172" i="1"/>
  <c r="O172" i="1"/>
  <c r="N172" i="1"/>
  <c r="Q172" i="1" s="1"/>
  <c r="K172" i="1"/>
  <c r="C172" i="1"/>
  <c r="B172" i="1"/>
  <c r="Z171" i="1"/>
  <c r="Y171" i="1"/>
  <c r="V171" i="1"/>
  <c r="O171" i="1"/>
  <c r="N171" i="1"/>
  <c r="Q171" i="1" s="1"/>
  <c r="K171" i="1"/>
  <c r="C171" i="1"/>
  <c r="B171" i="1"/>
  <c r="Z170" i="1"/>
  <c r="Y170" i="1"/>
  <c r="V170" i="1"/>
  <c r="O170" i="1"/>
  <c r="N170" i="1"/>
  <c r="Q170" i="1" s="1"/>
  <c r="K170" i="1"/>
  <c r="C170" i="1"/>
  <c r="B170" i="1"/>
  <c r="Z169" i="1"/>
  <c r="Y169" i="1"/>
  <c r="V169" i="1"/>
  <c r="O169" i="1"/>
  <c r="N169" i="1"/>
  <c r="Q169" i="1" s="1"/>
  <c r="K169" i="1"/>
  <c r="C169" i="1"/>
  <c r="B169" i="1"/>
  <c r="Z168" i="1"/>
  <c r="Y168" i="1"/>
  <c r="V168" i="1"/>
  <c r="O168" i="1"/>
  <c r="N168" i="1"/>
  <c r="Q168" i="1" s="1"/>
  <c r="K168" i="1"/>
  <c r="C168" i="1"/>
  <c r="B168" i="1"/>
  <c r="Z167" i="1"/>
  <c r="Y167" i="1"/>
  <c r="V167" i="1"/>
  <c r="O167" i="1"/>
  <c r="N167" i="1"/>
  <c r="Q167" i="1" s="1"/>
  <c r="K167" i="1"/>
  <c r="C167" i="1"/>
  <c r="B167" i="1"/>
  <c r="Z166" i="1"/>
  <c r="Y166" i="1"/>
  <c r="V166" i="1"/>
  <c r="O166" i="1"/>
  <c r="N166" i="1"/>
  <c r="Q166" i="1" s="1"/>
  <c r="K166" i="1"/>
  <c r="C166" i="1"/>
  <c r="B166" i="1"/>
  <c r="Z165" i="1"/>
  <c r="Y165" i="1"/>
  <c r="V165" i="1"/>
  <c r="O165" i="1"/>
  <c r="N165" i="1"/>
  <c r="Q165" i="1" s="1"/>
  <c r="K165" i="1"/>
  <c r="C165" i="1"/>
  <c r="B165" i="1"/>
  <c r="Z164" i="1"/>
  <c r="Y164" i="1"/>
  <c r="V164" i="1"/>
  <c r="O164" i="1"/>
  <c r="N164" i="1"/>
  <c r="Q164" i="1" s="1"/>
  <c r="K164" i="1"/>
  <c r="C164" i="1"/>
  <c r="B164" i="1"/>
  <c r="Z163" i="1"/>
  <c r="Y163" i="1"/>
  <c r="V163" i="1"/>
  <c r="O163" i="1"/>
  <c r="N163" i="1"/>
  <c r="Q163" i="1" s="1"/>
  <c r="K163" i="1"/>
  <c r="C163" i="1"/>
  <c r="B163" i="1"/>
  <c r="Z162" i="1"/>
  <c r="Y162" i="1"/>
  <c r="V162" i="1"/>
  <c r="O162" i="1"/>
  <c r="N162" i="1"/>
  <c r="Q162" i="1" s="1"/>
  <c r="K162" i="1"/>
  <c r="C162" i="1"/>
  <c r="B162" i="1"/>
  <c r="Z161" i="1"/>
  <c r="Y161" i="1"/>
  <c r="V161" i="1"/>
  <c r="O161" i="1"/>
  <c r="N161" i="1"/>
  <c r="Q161" i="1" s="1"/>
  <c r="K161" i="1"/>
  <c r="C161" i="1"/>
  <c r="B161" i="1"/>
  <c r="Z160" i="1"/>
  <c r="Y160" i="1"/>
  <c r="V160" i="1"/>
  <c r="O160" i="1"/>
  <c r="N160" i="1"/>
  <c r="Q160" i="1" s="1"/>
  <c r="K160" i="1"/>
  <c r="C160" i="1"/>
  <c r="B160" i="1"/>
  <c r="Z159" i="1"/>
  <c r="Y159" i="1"/>
  <c r="V159" i="1"/>
  <c r="O159" i="1"/>
  <c r="N159" i="1"/>
  <c r="Q159" i="1" s="1"/>
  <c r="K159" i="1"/>
  <c r="C159" i="1"/>
  <c r="B159" i="1"/>
  <c r="Z158" i="1"/>
  <c r="Y158" i="1"/>
  <c r="V158" i="1"/>
  <c r="O158" i="1"/>
  <c r="N158" i="1"/>
  <c r="Q158" i="1" s="1"/>
  <c r="K158" i="1"/>
  <c r="C158" i="1"/>
  <c r="B158" i="1"/>
  <c r="Z157" i="1"/>
  <c r="Y157" i="1"/>
  <c r="V157" i="1"/>
  <c r="O157" i="1"/>
  <c r="N157" i="1"/>
  <c r="Q157" i="1" s="1"/>
  <c r="K157" i="1"/>
  <c r="C157" i="1"/>
  <c r="B157" i="1"/>
  <c r="Z156" i="1"/>
  <c r="Y156" i="1"/>
  <c r="V156" i="1"/>
  <c r="O156" i="1"/>
  <c r="N156" i="1"/>
  <c r="Q156" i="1" s="1"/>
  <c r="K156" i="1"/>
  <c r="C156" i="1"/>
  <c r="B156" i="1"/>
  <c r="Z155" i="1"/>
  <c r="Y155" i="1"/>
  <c r="V155" i="1"/>
  <c r="O155" i="1"/>
  <c r="N155" i="1"/>
  <c r="Q155" i="1" s="1"/>
  <c r="K155" i="1"/>
  <c r="C155" i="1"/>
  <c r="B155" i="1"/>
  <c r="Z154" i="1"/>
  <c r="Y154" i="1"/>
  <c r="V154" i="1"/>
  <c r="O154" i="1"/>
  <c r="N154" i="1"/>
  <c r="Q154" i="1" s="1"/>
  <c r="K154" i="1"/>
  <c r="C154" i="1"/>
  <c r="B154" i="1"/>
  <c r="Z153" i="1"/>
  <c r="Y153" i="1"/>
  <c r="V153" i="1"/>
  <c r="O153" i="1"/>
  <c r="N153" i="1"/>
  <c r="Q153" i="1" s="1"/>
  <c r="K153" i="1"/>
  <c r="C153" i="1"/>
  <c r="B153" i="1"/>
  <c r="Z152" i="1"/>
  <c r="Y152" i="1"/>
  <c r="V152" i="1"/>
  <c r="O152" i="1"/>
  <c r="N152" i="1"/>
  <c r="Q152" i="1" s="1"/>
  <c r="K152" i="1"/>
  <c r="C152" i="1"/>
  <c r="B152" i="1"/>
  <c r="Z151" i="1"/>
  <c r="Y151" i="1"/>
  <c r="V151" i="1"/>
  <c r="O151" i="1"/>
  <c r="N151" i="1"/>
  <c r="Q151" i="1" s="1"/>
  <c r="K151" i="1"/>
  <c r="C151" i="1"/>
  <c r="B151" i="1"/>
  <c r="Z150" i="1"/>
  <c r="Y150" i="1"/>
  <c r="V150" i="1"/>
  <c r="O150" i="1"/>
  <c r="N150" i="1"/>
  <c r="Q150" i="1" s="1"/>
  <c r="K150" i="1"/>
  <c r="C150" i="1"/>
  <c r="B150" i="1"/>
  <c r="Z149" i="1"/>
  <c r="Y149" i="1"/>
  <c r="V149" i="1"/>
  <c r="O149" i="1"/>
  <c r="N149" i="1"/>
  <c r="Q149" i="1" s="1"/>
  <c r="K149" i="1"/>
  <c r="C149" i="1"/>
  <c r="B149" i="1"/>
  <c r="Z148" i="1"/>
  <c r="Y148" i="1"/>
  <c r="V148" i="1"/>
  <c r="O148" i="1"/>
  <c r="N148" i="1"/>
  <c r="Q148" i="1" s="1"/>
  <c r="K148" i="1"/>
  <c r="C148" i="1"/>
  <c r="B148" i="1"/>
  <c r="Z147" i="1"/>
  <c r="Y147" i="1"/>
  <c r="V147" i="1"/>
  <c r="O147" i="1"/>
  <c r="N147" i="1"/>
  <c r="Q147" i="1" s="1"/>
  <c r="K147" i="1"/>
  <c r="C147" i="1"/>
  <c r="B147" i="1"/>
  <c r="Z146" i="1"/>
  <c r="Y146" i="1"/>
  <c r="V146" i="1"/>
  <c r="O146" i="1"/>
  <c r="N146" i="1"/>
  <c r="Q146" i="1" s="1"/>
  <c r="K146" i="1"/>
  <c r="C146" i="1"/>
  <c r="B146" i="1"/>
  <c r="Z145" i="1"/>
  <c r="Y145" i="1"/>
  <c r="V145" i="1"/>
  <c r="O145" i="1"/>
  <c r="N145" i="1"/>
  <c r="Q145" i="1" s="1"/>
  <c r="K145" i="1"/>
  <c r="C145" i="1"/>
  <c r="B145" i="1"/>
  <c r="Z144" i="1"/>
  <c r="Y144" i="1"/>
  <c r="V144" i="1"/>
  <c r="O144" i="1"/>
  <c r="N144" i="1"/>
  <c r="Q144" i="1" s="1"/>
  <c r="K144" i="1"/>
  <c r="C144" i="1"/>
  <c r="B144" i="1"/>
  <c r="Z143" i="1"/>
  <c r="Y143" i="1"/>
  <c r="V143" i="1"/>
  <c r="O143" i="1"/>
  <c r="N143" i="1"/>
  <c r="Q143" i="1" s="1"/>
  <c r="K143" i="1"/>
  <c r="C143" i="1"/>
  <c r="B143" i="1"/>
  <c r="Z142" i="1"/>
  <c r="Y142" i="1"/>
  <c r="V142" i="1"/>
  <c r="O142" i="1"/>
  <c r="N142" i="1"/>
  <c r="Q142" i="1" s="1"/>
  <c r="K142" i="1"/>
  <c r="C142" i="1"/>
  <c r="B142" i="1"/>
  <c r="Z141" i="1"/>
  <c r="Y141" i="1"/>
  <c r="V141" i="1"/>
  <c r="O141" i="1"/>
  <c r="N141" i="1"/>
  <c r="Q141" i="1" s="1"/>
  <c r="K141" i="1"/>
  <c r="C141" i="1"/>
  <c r="B141" i="1"/>
  <c r="Z140" i="1"/>
  <c r="Y140" i="1"/>
  <c r="V140" i="1"/>
  <c r="O140" i="1"/>
  <c r="N140" i="1"/>
  <c r="Q140" i="1" s="1"/>
  <c r="K140" i="1"/>
  <c r="C140" i="1"/>
  <c r="B140" i="1"/>
  <c r="Z139" i="1"/>
  <c r="Y139" i="1"/>
  <c r="V139" i="1"/>
  <c r="O139" i="1"/>
  <c r="N139" i="1"/>
  <c r="Q139" i="1" s="1"/>
  <c r="K139" i="1"/>
  <c r="C139" i="1"/>
  <c r="B139" i="1"/>
  <c r="Z138" i="1"/>
  <c r="Y138" i="1"/>
  <c r="V138" i="1"/>
  <c r="O138" i="1"/>
  <c r="N138" i="1"/>
  <c r="Q138" i="1" s="1"/>
  <c r="K138" i="1"/>
  <c r="C138" i="1"/>
  <c r="B138" i="1"/>
  <c r="Z137" i="1"/>
  <c r="Y137" i="1"/>
  <c r="V137" i="1"/>
  <c r="O137" i="1"/>
  <c r="N137" i="1"/>
  <c r="Q137" i="1" s="1"/>
  <c r="K137" i="1"/>
  <c r="C137" i="1"/>
  <c r="B137" i="1"/>
  <c r="Z136" i="1"/>
  <c r="Y136" i="1"/>
  <c r="V136" i="1"/>
  <c r="O136" i="1"/>
  <c r="N136" i="1"/>
  <c r="Q136" i="1" s="1"/>
  <c r="K136" i="1"/>
  <c r="C136" i="1"/>
  <c r="B136" i="1"/>
  <c r="Z135" i="1"/>
  <c r="Y135" i="1"/>
  <c r="V135" i="1"/>
  <c r="O135" i="1"/>
  <c r="N135" i="1"/>
  <c r="Q135" i="1" s="1"/>
  <c r="K135" i="1"/>
  <c r="C135" i="1"/>
  <c r="B135" i="1"/>
  <c r="Z134" i="1"/>
  <c r="Y134" i="1"/>
  <c r="V134" i="1"/>
  <c r="O134" i="1"/>
  <c r="N134" i="1"/>
  <c r="Q134" i="1" s="1"/>
  <c r="K134" i="1"/>
  <c r="C134" i="1"/>
  <c r="B134" i="1"/>
  <c r="Z133" i="1"/>
  <c r="Y133" i="1"/>
  <c r="V133" i="1"/>
  <c r="O133" i="1"/>
  <c r="N133" i="1"/>
  <c r="Q133" i="1" s="1"/>
  <c r="K133" i="1"/>
  <c r="C133" i="1"/>
  <c r="B133" i="1"/>
  <c r="Z132" i="1"/>
  <c r="Y132" i="1"/>
  <c r="V132" i="1"/>
  <c r="O132" i="1"/>
  <c r="N132" i="1"/>
  <c r="Q132" i="1" s="1"/>
  <c r="K132" i="1"/>
  <c r="C132" i="1"/>
  <c r="B132" i="1"/>
  <c r="Z131" i="1"/>
  <c r="Y131" i="1"/>
  <c r="V131" i="1"/>
  <c r="O131" i="1"/>
  <c r="N131" i="1"/>
  <c r="Q131" i="1" s="1"/>
  <c r="K131" i="1"/>
  <c r="C131" i="1"/>
  <c r="B131" i="1"/>
  <c r="Z130" i="1"/>
  <c r="Y130" i="1"/>
  <c r="V130" i="1"/>
  <c r="O130" i="1"/>
  <c r="N130" i="1"/>
  <c r="Q130" i="1" s="1"/>
  <c r="K130" i="1"/>
  <c r="C130" i="1"/>
  <c r="B130" i="1"/>
  <c r="Z129" i="1"/>
  <c r="Y129" i="1"/>
  <c r="V129" i="1"/>
  <c r="O129" i="1"/>
  <c r="N129" i="1"/>
  <c r="Q129" i="1" s="1"/>
  <c r="K129" i="1"/>
  <c r="C129" i="1"/>
  <c r="B129" i="1"/>
  <c r="Z128" i="1"/>
  <c r="Y128" i="1"/>
  <c r="V128" i="1"/>
  <c r="O128" i="1"/>
  <c r="N128" i="1"/>
  <c r="Q128" i="1" s="1"/>
  <c r="K128" i="1"/>
  <c r="C128" i="1"/>
  <c r="B128" i="1"/>
  <c r="Z127" i="1"/>
  <c r="Y127" i="1"/>
  <c r="V127" i="1"/>
  <c r="O127" i="1"/>
  <c r="N127" i="1"/>
  <c r="Q127" i="1" s="1"/>
  <c r="K127" i="1"/>
  <c r="C127" i="1"/>
  <c r="B127" i="1"/>
  <c r="Z126" i="1"/>
  <c r="Y126" i="1"/>
  <c r="V126" i="1"/>
  <c r="O126" i="1"/>
  <c r="N126" i="1"/>
  <c r="Q126" i="1" s="1"/>
  <c r="K126" i="1"/>
  <c r="C126" i="1"/>
  <c r="B126" i="1"/>
  <c r="Z125" i="1"/>
  <c r="Y125" i="1"/>
  <c r="V125" i="1"/>
  <c r="O125" i="1"/>
  <c r="N125" i="1"/>
  <c r="Q125" i="1" s="1"/>
  <c r="K125" i="1"/>
  <c r="C125" i="1"/>
  <c r="B125" i="1"/>
  <c r="Z124" i="1"/>
  <c r="Y124" i="1"/>
  <c r="V124" i="1"/>
  <c r="O124" i="1"/>
  <c r="N124" i="1"/>
  <c r="Q124" i="1" s="1"/>
  <c r="K124" i="1"/>
  <c r="C124" i="1"/>
  <c r="B124" i="1"/>
  <c r="Z123" i="1"/>
  <c r="Y123" i="1"/>
  <c r="V123" i="1"/>
  <c r="O123" i="1"/>
  <c r="N123" i="1"/>
  <c r="Q123" i="1" s="1"/>
  <c r="K123" i="1"/>
  <c r="C123" i="1"/>
  <c r="B123" i="1"/>
  <c r="Z122" i="1"/>
  <c r="Y122" i="1"/>
  <c r="V122" i="1"/>
  <c r="O122" i="1"/>
  <c r="N122" i="1"/>
  <c r="Q122" i="1" s="1"/>
  <c r="K122" i="1"/>
  <c r="C122" i="1"/>
  <c r="B122" i="1"/>
  <c r="Z121" i="1"/>
  <c r="Y121" i="1"/>
  <c r="V121" i="1"/>
  <c r="O121" i="1"/>
  <c r="N121" i="1"/>
  <c r="Q121" i="1" s="1"/>
  <c r="K121" i="1"/>
  <c r="C121" i="1"/>
  <c r="B121" i="1"/>
  <c r="Z120" i="1"/>
  <c r="Y120" i="1"/>
  <c r="V120" i="1"/>
  <c r="O120" i="1"/>
  <c r="N120" i="1"/>
  <c r="Q120" i="1" s="1"/>
  <c r="K120" i="1"/>
  <c r="C120" i="1"/>
  <c r="B120" i="1"/>
  <c r="Z119" i="1"/>
  <c r="Y119" i="1"/>
  <c r="V119" i="1"/>
  <c r="O119" i="1"/>
  <c r="N119" i="1"/>
  <c r="Q119" i="1" s="1"/>
  <c r="K119" i="1"/>
  <c r="C119" i="1"/>
  <c r="B119" i="1"/>
  <c r="Z118" i="1"/>
  <c r="Y118" i="1"/>
  <c r="V118" i="1"/>
  <c r="O118" i="1"/>
  <c r="N118" i="1"/>
  <c r="Q118" i="1" s="1"/>
  <c r="K118" i="1"/>
  <c r="C118" i="1"/>
  <c r="B118" i="1"/>
  <c r="Z117" i="1"/>
  <c r="Y117" i="1"/>
  <c r="V117" i="1"/>
  <c r="O117" i="1"/>
  <c r="N117" i="1"/>
  <c r="Q117" i="1" s="1"/>
  <c r="K117" i="1"/>
  <c r="C117" i="1"/>
  <c r="B117" i="1"/>
  <c r="Z116" i="1"/>
  <c r="Y116" i="1"/>
  <c r="V116" i="1"/>
  <c r="O116" i="1"/>
  <c r="N116" i="1"/>
  <c r="Q116" i="1" s="1"/>
  <c r="K116" i="1"/>
  <c r="C116" i="1"/>
  <c r="B116" i="1"/>
  <c r="Z115" i="1"/>
  <c r="Y115" i="1"/>
  <c r="V115" i="1"/>
  <c r="O115" i="1"/>
  <c r="N115" i="1"/>
  <c r="Q115" i="1" s="1"/>
  <c r="K115" i="1"/>
  <c r="C115" i="1"/>
  <c r="B115" i="1"/>
  <c r="Z114" i="1"/>
  <c r="Y114" i="1"/>
  <c r="V114" i="1"/>
  <c r="O114" i="1"/>
  <c r="N114" i="1"/>
  <c r="Q114" i="1" s="1"/>
  <c r="K114" i="1"/>
  <c r="C114" i="1"/>
  <c r="B114" i="1"/>
  <c r="Z113" i="1"/>
  <c r="Y113" i="1"/>
  <c r="V113" i="1"/>
  <c r="O113" i="1"/>
  <c r="N113" i="1"/>
  <c r="Q113" i="1" s="1"/>
  <c r="K113" i="1"/>
  <c r="C113" i="1"/>
  <c r="B113" i="1"/>
  <c r="Z112" i="1"/>
  <c r="Y112" i="1"/>
  <c r="V112" i="1"/>
  <c r="O112" i="1"/>
  <c r="N112" i="1"/>
  <c r="Q112" i="1" s="1"/>
  <c r="K112" i="1"/>
  <c r="C112" i="1"/>
  <c r="B112" i="1"/>
  <c r="Z111" i="1"/>
  <c r="Y111" i="1"/>
  <c r="V111" i="1"/>
  <c r="O111" i="1"/>
  <c r="N111" i="1"/>
  <c r="Q111" i="1" s="1"/>
  <c r="K111" i="1"/>
  <c r="C111" i="1"/>
  <c r="B111" i="1"/>
  <c r="Z110" i="1"/>
  <c r="Y110" i="1"/>
  <c r="V110" i="1"/>
  <c r="O110" i="1"/>
  <c r="N110" i="1"/>
  <c r="Q110" i="1" s="1"/>
  <c r="K110" i="1"/>
  <c r="C110" i="1"/>
  <c r="B110" i="1"/>
  <c r="Z109" i="1"/>
  <c r="Y109" i="1"/>
  <c r="V109" i="1"/>
  <c r="O109" i="1"/>
  <c r="N109" i="1"/>
  <c r="Q109" i="1" s="1"/>
  <c r="K109" i="1"/>
  <c r="C109" i="1"/>
  <c r="B109" i="1"/>
  <c r="Z108" i="1"/>
  <c r="Y108" i="1"/>
  <c r="V108" i="1"/>
  <c r="O108" i="1"/>
  <c r="N108" i="1"/>
  <c r="Q108" i="1" s="1"/>
  <c r="K108" i="1"/>
  <c r="C108" i="1"/>
  <c r="B108" i="1"/>
  <c r="Z107" i="1"/>
  <c r="Y107" i="1"/>
  <c r="V107" i="1"/>
  <c r="O107" i="1"/>
  <c r="N107" i="1"/>
  <c r="Q107" i="1" s="1"/>
  <c r="K107" i="1"/>
  <c r="C107" i="1"/>
  <c r="B107" i="1"/>
  <c r="Z106" i="1"/>
  <c r="Y106" i="1"/>
  <c r="V106" i="1"/>
  <c r="O106" i="1"/>
  <c r="N106" i="1"/>
  <c r="Q106" i="1" s="1"/>
  <c r="K106" i="1"/>
  <c r="C106" i="1"/>
  <c r="B106" i="1"/>
  <c r="Z105" i="1"/>
  <c r="Y105" i="1"/>
  <c r="V105" i="1"/>
  <c r="O105" i="1"/>
  <c r="N105" i="1"/>
  <c r="Q105" i="1" s="1"/>
  <c r="K105" i="1"/>
  <c r="C105" i="1"/>
  <c r="B105" i="1"/>
  <c r="Z104" i="1"/>
  <c r="Y104" i="1"/>
  <c r="V104" i="1"/>
  <c r="O104" i="1"/>
  <c r="N104" i="1"/>
  <c r="Q104" i="1" s="1"/>
  <c r="K104" i="1"/>
  <c r="C104" i="1"/>
  <c r="B104" i="1"/>
  <c r="Z103" i="1"/>
  <c r="Y103" i="1"/>
  <c r="V103" i="1"/>
  <c r="O103" i="1"/>
  <c r="N103" i="1"/>
  <c r="Q103" i="1" s="1"/>
  <c r="K103" i="1"/>
  <c r="C103" i="1"/>
  <c r="B103" i="1"/>
  <c r="Z102" i="1"/>
  <c r="Y102" i="1"/>
  <c r="V102" i="1"/>
  <c r="O102" i="1"/>
  <c r="N102" i="1"/>
  <c r="Q102" i="1" s="1"/>
  <c r="K102" i="1"/>
  <c r="C102" i="1"/>
  <c r="B102" i="1"/>
  <c r="Z101" i="1"/>
  <c r="Y101" i="1"/>
  <c r="V101" i="1"/>
  <c r="O101" i="1"/>
  <c r="N101" i="1"/>
  <c r="Q101" i="1" s="1"/>
  <c r="K101" i="1"/>
  <c r="C101" i="1"/>
  <c r="B101" i="1"/>
  <c r="Z100" i="1"/>
  <c r="Y100" i="1"/>
  <c r="V100" i="1"/>
  <c r="O100" i="1"/>
  <c r="N100" i="1"/>
  <c r="Q100" i="1" s="1"/>
  <c r="K100" i="1"/>
  <c r="C100" i="1"/>
  <c r="B100" i="1"/>
  <c r="Z99" i="1"/>
  <c r="Y99" i="1"/>
  <c r="V99" i="1"/>
  <c r="O99" i="1"/>
  <c r="N99" i="1"/>
  <c r="Q99" i="1" s="1"/>
  <c r="K99" i="1"/>
  <c r="C99" i="1"/>
  <c r="B99" i="1"/>
  <c r="Z98" i="1"/>
  <c r="Y98" i="1"/>
  <c r="V98" i="1"/>
  <c r="O98" i="1"/>
  <c r="N98" i="1"/>
  <c r="Q98" i="1" s="1"/>
  <c r="K98" i="1"/>
  <c r="C98" i="1"/>
  <c r="B98" i="1"/>
  <c r="Z97" i="1"/>
  <c r="Y97" i="1"/>
  <c r="V97" i="1"/>
  <c r="O97" i="1"/>
  <c r="N97" i="1"/>
  <c r="Q97" i="1" s="1"/>
  <c r="K97" i="1"/>
  <c r="C97" i="1"/>
  <c r="B97" i="1"/>
  <c r="Z96" i="1"/>
  <c r="Y96" i="1"/>
  <c r="V96" i="1"/>
  <c r="O96" i="1"/>
  <c r="N96" i="1"/>
  <c r="Q96" i="1" s="1"/>
  <c r="K96" i="1"/>
  <c r="C96" i="1"/>
  <c r="B96" i="1"/>
  <c r="Z95" i="1"/>
  <c r="Y95" i="1"/>
  <c r="V95" i="1"/>
  <c r="O95" i="1"/>
  <c r="N95" i="1"/>
  <c r="Q95" i="1" s="1"/>
  <c r="K95" i="1"/>
  <c r="C95" i="1"/>
  <c r="B95" i="1"/>
  <c r="Z94" i="1"/>
  <c r="Y94" i="1"/>
  <c r="V94" i="1"/>
  <c r="O94" i="1"/>
  <c r="N94" i="1"/>
  <c r="Q94" i="1" s="1"/>
  <c r="K94" i="1"/>
  <c r="C94" i="1"/>
  <c r="B94" i="1"/>
  <c r="Z93" i="1"/>
  <c r="Y93" i="1"/>
  <c r="V93" i="1"/>
  <c r="O93" i="1"/>
  <c r="N93" i="1"/>
  <c r="Q93" i="1" s="1"/>
  <c r="K93" i="1"/>
  <c r="C93" i="1"/>
  <c r="B93" i="1"/>
  <c r="Z92" i="1"/>
  <c r="Y92" i="1"/>
  <c r="V92" i="1"/>
  <c r="O92" i="1"/>
  <c r="N92" i="1"/>
  <c r="Q92" i="1" s="1"/>
  <c r="K92" i="1"/>
  <c r="C92" i="1"/>
  <c r="B92" i="1"/>
  <c r="Z91" i="1"/>
  <c r="Y91" i="1"/>
  <c r="V91" i="1"/>
  <c r="O91" i="1"/>
  <c r="N91" i="1"/>
  <c r="Q91" i="1" s="1"/>
  <c r="K91" i="1"/>
  <c r="C91" i="1"/>
  <c r="B91" i="1"/>
  <c r="Z90" i="1"/>
  <c r="Y90" i="1"/>
  <c r="V90" i="1"/>
  <c r="O90" i="1"/>
  <c r="N90" i="1"/>
  <c r="Q90" i="1" s="1"/>
  <c r="K90" i="1"/>
  <c r="C90" i="1"/>
  <c r="B90" i="1"/>
  <c r="Z89" i="1"/>
  <c r="Y89" i="1"/>
  <c r="V89" i="1"/>
  <c r="O89" i="1"/>
  <c r="N89" i="1"/>
  <c r="Q89" i="1" s="1"/>
  <c r="K89" i="1"/>
  <c r="C89" i="1"/>
  <c r="B89" i="1"/>
  <c r="Z88" i="1"/>
  <c r="Y88" i="1"/>
  <c r="V88" i="1"/>
  <c r="O88" i="1"/>
  <c r="N88" i="1"/>
  <c r="Q88" i="1" s="1"/>
  <c r="K88" i="1"/>
  <c r="C88" i="1"/>
  <c r="B88" i="1"/>
  <c r="Z87" i="1"/>
  <c r="Y87" i="1"/>
  <c r="V87" i="1"/>
  <c r="O87" i="1"/>
  <c r="N87" i="1"/>
  <c r="Q87" i="1" s="1"/>
  <c r="K87" i="1"/>
  <c r="C87" i="1"/>
  <c r="B87" i="1"/>
  <c r="Z86" i="1"/>
  <c r="Y86" i="1"/>
  <c r="V86" i="1"/>
  <c r="O86" i="1"/>
  <c r="N86" i="1"/>
  <c r="Q86" i="1" s="1"/>
  <c r="K86" i="1"/>
  <c r="C86" i="1"/>
  <c r="B86" i="1"/>
  <c r="Z85" i="1"/>
  <c r="Y85" i="1"/>
  <c r="V85" i="1"/>
  <c r="O85" i="1"/>
  <c r="N85" i="1"/>
  <c r="Q85" i="1" s="1"/>
  <c r="K85" i="1"/>
  <c r="C85" i="1"/>
  <c r="B85" i="1"/>
  <c r="Z84" i="1"/>
  <c r="Y84" i="1"/>
  <c r="V84" i="1"/>
  <c r="O84" i="1"/>
  <c r="N84" i="1"/>
  <c r="Q84" i="1" s="1"/>
  <c r="K84" i="1"/>
  <c r="C84" i="1"/>
  <c r="B84" i="1"/>
  <c r="Z83" i="1"/>
  <c r="Y83" i="1"/>
  <c r="V83" i="1"/>
  <c r="O83" i="1"/>
  <c r="N83" i="1"/>
  <c r="Q83" i="1" s="1"/>
  <c r="K83" i="1"/>
  <c r="C83" i="1"/>
  <c r="B83" i="1"/>
  <c r="Z82" i="1"/>
  <c r="Y82" i="1"/>
  <c r="V82" i="1"/>
  <c r="O82" i="1"/>
  <c r="N82" i="1"/>
  <c r="Q82" i="1" s="1"/>
  <c r="K82" i="1"/>
  <c r="C82" i="1"/>
  <c r="B82" i="1"/>
  <c r="Z81" i="1"/>
  <c r="Y81" i="1"/>
  <c r="V81" i="1"/>
  <c r="O81" i="1"/>
  <c r="N81" i="1"/>
  <c r="Q81" i="1" s="1"/>
  <c r="K81" i="1"/>
  <c r="C81" i="1"/>
  <c r="B81" i="1"/>
  <c r="Z80" i="1"/>
  <c r="Y80" i="1"/>
  <c r="V80" i="1"/>
  <c r="O80" i="1"/>
  <c r="N80" i="1"/>
  <c r="Q80" i="1" s="1"/>
  <c r="K80" i="1"/>
  <c r="C80" i="1"/>
  <c r="B80" i="1"/>
  <c r="Z79" i="1"/>
  <c r="Y79" i="1"/>
  <c r="V79" i="1"/>
  <c r="O79" i="1"/>
  <c r="N79" i="1"/>
  <c r="Q79" i="1" s="1"/>
  <c r="K79" i="1"/>
  <c r="C79" i="1"/>
  <c r="B79" i="1"/>
  <c r="Z78" i="1"/>
  <c r="Y78" i="1"/>
  <c r="V78" i="1"/>
  <c r="O78" i="1"/>
  <c r="N78" i="1"/>
  <c r="Q78" i="1" s="1"/>
  <c r="K78" i="1"/>
  <c r="C78" i="1"/>
  <c r="B78" i="1"/>
  <c r="Z77" i="1"/>
  <c r="Y77" i="1"/>
  <c r="V77" i="1"/>
  <c r="O77" i="1"/>
  <c r="N77" i="1"/>
  <c r="Q77" i="1" s="1"/>
  <c r="K77" i="1"/>
  <c r="C77" i="1"/>
  <c r="B77" i="1"/>
  <c r="Z76" i="1"/>
  <c r="Y76" i="1"/>
  <c r="V76" i="1"/>
  <c r="O76" i="1"/>
  <c r="N76" i="1"/>
  <c r="Q76" i="1" s="1"/>
  <c r="K76" i="1"/>
  <c r="C76" i="1"/>
  <c r="B76" i="1"/>
  <c r="Z75" i="1"/>
  <c r="Y75" i="1"/>
  <c r="V75" i="1"/>
  <c r="O75" i="1"/>
  <c r="N75" i="1"/>
  <c r="Q75" i="1" s="1"/>
  <c r="K75" i="1"/>
  <c r="C75" i="1"/>
  <c r="B75" i="1"/>
  <c r="Z74" i="1"/>
  <c r="Y74" i="1"/>
  <c r="V74" i="1"/>
  <c r="O74" i="1"/>
  <c r="N74" i="1"/>
  <c r="Q74" i="1" s="1"/>
  <c r="K74" i="1"/>
  <c r="C74" i="1"/>
  <c r="B74" i="1"/>
  <c r="Z73" i="1"/>
  <c r="Y73" i="1"/>
  <c r="V73" i="1"/>
  <c r="O73" i="1"/>
  <c r="N73" i="1"/>
  <c r="Q73" i="1" s="1"/>
  <c r="K73" i="1"/>
  <c r="C73" i="1"/>
  <c r="B73" i="1"/>
  <c r="Z72" i="1"/>
  <c r="Y72" i="1"/>
  <c r="V72" i="1"/>
  <c r="O72" i="1"/>
  <c r="N72" i="1"/>
  <c r="Q72" i="1" s="1"/>
  <c r="K72" i="1"/>
  <c r="C72" i="1"/>
  <c r="B72" i="1"/>
  <c r="Z71" i="1"/>
  <c r="Y71" i="1"/>
  <c r="V71" i="1"/>
  <c r="O71" i="1"/>
  <c r="N71" i="1"/>
  <c r="Q71" i="1" s="1"/>
  <c r="K71" i="1"/>
  <c r="C71" i="1"/>
  <c r="B71" i="1"/>
  <c r="Z70" i="1"/>
  <c r="Y70" i="1"/>
  <c r="V70" i="1"/>
  <c r="O70" i="1"/>
  <c r="N70" i="1"/>
  <c r="Q70" i="1" s="1"/>
  <c r="K70" i="1"/>
  <c r="C70" i="1"/>
  <c r="B70" i="1"/>
  <c r="Z69" i="1"/>
  <c r="Y69" i="1"/>
  <c r="V69" i="1"/>
  <c r="O69" i="1"/>
  <c r="N69" i="1"/>
  <c r="Q69" i="1" s="1"/>
  <c r="K69" i="1"/>
  <c r="C69" i="1"/>
  <c r="B69" i="1"/>
  <c r="Z68" i="1"/>
  <c r="Y68" i="1"/>
  <c r="V68" i="1"/>
  <c r="O68" i="1"/>
  <c r="N68" i="1"/>
  <c r="Q68" i="1" s="1"/>
  <c r="K68" i="1"/>
  <c r="C68" i="1"/>
  <c r="B68" i="1"/>
  <c r="Z67" i="1"/>
  <c r="Y67" i="1"/>
  <c r="V67" i="1"/>
  <c r="O67" i="1"/>
  <c r="N67" i="1"/>
  <c r="Q67" i="1" s="1"/>
  <c r="K67" i="1"/>
  <c r="C67" i="1"/>
  <c r="B67" i="1"/>
  <c r="Z66" i="1"/>
  <c r="Y66" i="1"/>
  <c r="V66" i="1"/>
  <c r="O66" i="1"/>
  <c r="N66" i="1"/>
  <c r="Q66" i="1" s="1"/>
  <c r="K66" i="1"/>
  <c r="C66" i="1"/>
  <c r="B66" i="1"/>
  <c r="Z65" i="1"/>
  <c r="Y65" i="1"/>
  <c r="V65" i="1"/>
  <c r="O65" i="1"/>
  <c r="N65" i="1"/>
  <c r="Q65" i="1" s="1"/>
  <c r="K65" i="1"/>
  <c r="C65" i="1"/>
  <c r="B65" i="1"/>
  <c r="Z64" i="1"/>
  <c r="Y64" i="1"/>
  <c r="V64" i="1"/>
  <c r="O64" i="1"/>
  <c r="N64" i="1"/>
  <c r="Q64" i="1" s="1"/>
  <c r="K64" i="1"/>
  <c r="C64" i="1"/>
  <c r="B64" i="1"/>
  <c r="Z63" i="1"/>
  <c r="Y63" i="1"/>
  <c r="V63" i="1"/>
  <c r="O63" i="1"/>
  <c r="N63" i="1"/>
  <c r="Q63" i="1" s="1"/>
  <c r="K63" i="1"/>
  <c r="C63" i="1"/>
  <c r="B63" i="1"/>
  <c r="Z62" i="1"/>
  <c r="Y62" i="1"/>
  <c r="V62" i="1"/>
  <c r="O62" i="1"/>
  <c r="N62" i="1"/>
  <c r="Q62" i="1" s="1"/>
  <c r="K62" i="1"/>
  <c r="C62" i="1"/>
  <c r="B62" i="1"/>
  <c r="Z61" i="1"/>
  <c r="Y61" i="1"/>
  <c r="V61" i="1"/>
  <c r="O61" i="1"/>
  <c r="N61" i="1"/>
  <c r="Q61" i="1" s="1"/>
  <c r="K61" i="1"/>
  <c r="C61" i="1"/>
  <c r="B61" i="1"/>
  <c r="Z60" i="1"/>
  <c r="Y60" i="1"/>
  <c r="V60" i="1"/>
  <c r="O60" i="1"/>
  <c r="N60" i="1"/>
  <c r="Q60" i="1" s="1"/>
  <c r="K60" i="1"/>
  <c r="C60" i="1"/>
  <c r="B60" i="1"/>
  <c r="Z59" i="1"/>
  <c r="Y59" i="1"/>
  <c r="V59" i="1"/>
  <c r="O59" i="1"/>
  <c r="N59" i="1"/>
  <c r="Q59" i="1" s="1"/>
  <c r="K59" i="1"/>
  <c r="C59" i="1"/>
  <c r="B59" i="1"/>
  <c r="Z58" i="1"/>
  <c r="Y58" i="1"/>
  <c r="V58" i="1"/>
  <c r="O58" i="1"/>
  <c r="N58" i="1"/>
  <c r="Q58" i="1" s="1"/>
  <c r="K58" i="1"/>
  <c r="C58" i="1"/>
  <c r="B58" i="1"/>
  <c r="Z57" i="1"/>
  <c r="Y57" i="1"/>
  <c r="V57" i="1"/>
  <c r="O57" i="1"/>
  <c r="N57" i="1"/>
  <c r="Q57" i="1" s="1"/>
  <c r="K57" i="1"/>
  <c r="C57" i="1"/>
  <c r="B57" i="1"/>
  <c r="Z56" i="1"/>
  <c r="Y56" i="1"/>
  <c r="V56" i="1"/>
  <c r="O56" i="1"/>
  <c r="N56" i="1"/>
  <c r="Q56" i="1" s="1"/>
  <c r="K56" i="1"/>
  <c r="C56" i="1"/>
  <c r="B56" i="1"/>
  <c r="Z55" i="1"/>
  <c r="Y55" i="1"/>
  <c r="V55" i="1"/>
  <c r="O55" i="1"/>
  <c r="N55" i="1"/>
  <c r="Q55" i="1" s="1"/>
  <c r="K55" i="1"/>
  <c r="C55" i="1"/>
  <c r="B55" i="1"/>
  <c r="Z54" i="1"/>
  <c r="Y54" i="1"/>
  <c r="V54" i="1"/>
  <c r="O54" i="1"/>
  <c r="N54" i="1"/>
  <c r="Q54" i="1" s="1"/>
  <c r="K54" i="1"/>
  <c r="C54" i="1"/>
  <c r="B54" i="1"/>
  <c r="Z53" i="1"/>
  <c r="Y53" i="1"/>
  <c r="V53" i="1"/>
  <c r="O53" i="1"/>
  <c r="N53" i="1"/>
  <c r="Q53" i="1" s="1"/>
  <c r="K53" i="1"/>
  <c r="C53" i="1"/>
  <c r="B53" i="1"/>
  <c r="Z52" i="1"/>
  <c r="Y52" i="1"/>
  <c r="V52" i="1"/>
  <c r="O52" i="1"/>
  <c r="N52" i="1"/>
  <c r="Q52" i="1" s="1"/>
  <c r="K52" i="1"/>
  <c r="C52" i="1"/>
  <c r="B52" i="1"/>
  <c r="Z51" i="1"/>
  <c r="Y51" i="1"/>
  <c r="V51" i="1"/>
  <c r="O51" i="1"/>
  <c r="N51" i="1"/>
  <c r="Q51" i="1" s="1"/>
  <c r="K51" i="1"/>
  <c r="C51" i="1"/>
  <c r="B51" i="1"/>
  <c r="Z50" i="1"/>
  <c r="Y50" i="1"/>
  <c r="V50" i="1"/>
  <c r="O50" i="1"/>
  <c r="N50" i="1"/>
  <c r="Q50" i="1" s="1"/>
  <c r="K50" i="1"/>
  <c r="C50" i="1"/>
  <c r="B50" i="1"/>
  <c r="Z49" i="1"/>
  <c r="Y49" i="1"/>
  <c r="V49" i="1"/>
  <c r="O49" i="1"/>
  <c r="N49" i="1"/>
  <c r="Q49" i="1" s="1"/>
  <c r="K49" i="1"/>
  <c r="C49" i="1"/>
  <c r="B49" i="1"/>
  <c r="Z48" i="1"/>
  <c r="Y48" i="1"/>
  <c r="V48" i="1"/>
  <c r="O48" i="1"/>
  <c r="N48" i="1"/>
  <c r="Q48" i="1" s="1"/>
  <c r="K48" i="1"/>
  <c r="C48" i="1"/>
  <c r="B48" i="1"/>
  <c r="Z47" i="1"/>
  <c r="Y47" i="1"/>
  <c r="V47" i="1"/>
  <c r="O47" i="1"/>
  <c r="N47" i="1"/>
  <c r="Q47" i="1" s="1"/>
  <c r="K47" i="1"/>
  <c r="C47" i="1"/>
  <c r="B47" i="1"/>
  <c r="Z46" i="1"/>
  <c r="Y46" i="1"/>
  <c r="V46" i="1"/>
  <c r="O46" i="1"/>
  <c r="N46" i="1"/>
  <c r="Q46" i="1" s="1"/>
  <c r="K46" i="1"/>
  <c r="C46" i="1"/>
  <c r="B46" i="1"/>
  <c r="Z45" i="1"/>
  <c r="Y45" i="1"/>
  <c r="V45" i="1"/>
  <c r="O45" i="1"/>
  <c r="N45" i="1"/>
  <c r="Q45" i="1" s="1"/>
  <c r="K45" i="1"/>
  <c r="C45" i="1"/>
  <c r="B45" i="1"/>
  <c r="Z44" i="1"/>
  <c r="Y44" i="1"/>
  <c r="V44" i="1"/>
  <c r="O44" i="1"/>
  <c r="N44" i="1"/>
  <c r="Q44" i="1" s="1"/>
  <c r="K44" i="1"/>
  <c r="C44" i="1"/>
  <c r="B44" i="1"/>
  <c r="Z43" i="1"/>
  <c r="Y43" i="1"/>
  <c r="V43" i="1"/>
  <c r="O43" i="1"/>
  <c r="N43" i="1"/>
  <c r="Q43" i="1" s="1"/>
  <c r="K43" i="1"/>
  <c r="C43" i="1"/>
  <c r="B43" i="1"/>
  <c r="Z42" i="1"/>
  <c r="Y42" i="1"/>
  <c r="V42" i="1"/>
  <c r="O42" i="1"/>
  <c r="N42" i="1"/>
  <c r="Q42" i="1" s="1"/>
  <c r="K42" i="1"/>
  <c r="C42" i="1"/>
  <c r="B42" i="1"/>
  <c r="Z41" i="1"/>
  <c r="Y41" i="1"/>
  <c r="V41" i="1"/>
  <c r="O41" i="1"/>
  <c r="N41" i="1"/>
  <c r="Q41" i="1" s="1"/>
  <c r="K41" i="1"/>
  <c r="C41" i="1"/>
  <c r="B41" i="1"/>
  <c r="Z40" i="1"/>
  <c r="Y40" i="1"/>
  <c r="V40" i="1"/>
  <c r="O40" i="1"/>
  <c r="N40" i="1"/>
  <c r="Q40" i="1" s="1"/>
  <c r="K40" i="1"/>
  <c r="C40" i="1"/>
  <c r="B40" i="1"/>
  <c r="Z39" i="1"/>
  <c r="Y39" i="1"/>
  <c r="V39" i="1"/>
  <c r="O39" i="1"/>
  <c r="N39" i="1"/>
  <c r="Q39" i="1" s="1"/>
  <c r="K39" i="1"/>
  <c r="C39" i="1"/>
  <c r="B39" i="1"/>
  <c r="Z38" i="1"/>
  <c r="Y38" i="1"/>
  <c r="V38" i="1"/>
  <c r="O38" i="1"/>
  <c r="N38" i="1"/>
  <c r="Q38" i="1" s="1"/>
  <c r="K38" i="1"/>
  <c r="C38" i="1"/>
  <c r="B38" i="1"/>
  <c r="Z37" i="1"/>
  <c r="Y37" i="1"/>
  <c r="V37" i="1"/>
  <c r="O37" i="1"/>
  <c r="N37" i="1"/>
  <c r="Q37" i="1" s="1"/>
  <c r="K37" i="1"/>
  <c r="C37" i="1"/>
  <c r="B37" i="1"/>
  <c r="Z36" i="1"/>
  <c r="Y36" i="1"/>
  <c r="V36" i="1"/>
  <c r="O36" i="1"/>
  <c r="N36" i="1"/>
  <c r="Q36" i="1" s="1"/>
  <c r="K36" i="1"/>
  <c r="C36" i="1"/>
  <c r="B36" i="1"/>
  <c r="Z35" i="1"/>
  <c r="Y35" i="1"/>
  <c r="V35" i="1"/>
  <c r="O35" i="1"/>
  <c r="N35" i="1"/>
  <c r="Q35" i="1" s="1"/>
  <c r="K35" i="1"/>
  <c r="C35" i="1"/>
  <c r="B35" i="1"/>
  <c r="Z34" i="1"/>
  <c r="Y34" i="1"/>
  <c r="V34" i="1"/>
  <c r="O34" i="1"/>
  <c r="N34" i="1"/>
  <c r="Q34" i="1" s="1"/>
  <c r="K34" i="1"/>
  <c r="C34" i="1"/>
  <c r="B34" i="1"/>
  <c r="Z33" i="1"/>
  <c r="Y33" i="1"/>
  <c r="V33" i="1"/>
  <c r="O33" i="1"/>
  <c r="N33" i="1"/>
  <c r="Q33" i="1" s="1"/>
  <c r="K33" i="1"/>
  <c r="C33" i="1"/>
  <c r="B33" i="1"/>
  <c r="Z32" i="1"/>
  <c r="Y32" i="1"/>
  <c r="V32" i="1"/>
  <c r="O32" i="1"/>
  <c r="N32" i="1"/>
  <c r="Q32" i="1" s="1"/>
  <c r="K32" i="1"/>
  <c r="C32" i="1"/>
  <c r="B32" i="1"/>
  <c r="Z31" i="1"/>
  <c r="Y31" i="1"/>
  <c r="V31" i="1"/>
  <c r="O31" i="1"/>
  <c r="N31" i="1"/>
  <c r="Q31" i="1" s="1"/>
  <c r="K31" i="1"/>
  <c r="C31" i="1"/>
  <c r="B31" i="1"/>
  <c r="Z30" i="1"/>
  <c r="Y30" i="1"/>
  <c r="V30" i="1"/>
  <c r="O30" i="1"/>
  <c r="N30" i="1"/>
  <c r="Q30" i="1" s="1"/>
  <c r="K30" i="1"/>
  <c r="C30" i="1"/>
  <c r="B30" i="1"/>
  <c r="Z29" i="1"/>
  <c r="Y29" i="1"/>
  <c r="V29" i="1"/>
  <c r="O29" i="1"/>
  <c r="N29" i="1"/>
  <c r="Q29" i="1" s="1"/>
  <c r="K29" i="1"/>
  <c r="C29" i="1"/>
  <c r="B29" i="1"/>
  <c r="Z28" i="1"/>
  <c r="Y28" i="1"/>
  <c r="V28" i="1"/>
  <c r="O28" i="1"/>
  <c r="N28" i="1"/>
  <c r="Q28" i="1" s="1"/>
  <c r="K28" i="1"/>
  <c r="C28" i="1"/>
  <c r="B28" i="1"/>
  <c r="Z27" i="1"/>
  <c r="Y27" i="1"/>
  <c r="V27" i="1"/>
  <c r="O27" i="1"/>
  <c r="N27" i="1"/>
  <c r="Q27" i="1" s="1"/>
  <c r="K27" i="1"/>
  <c r="C27" i="1"/>
  <c r="B27" i="1"/>
  <c r="Z26" i="1"/>
  <c r="Y26" i="1"/>
  <c r="V26" i="1"/>
  <c r="O26" i="1"/>
  <c r="N26" i="1"/>
  <c r="Q26" i="1" s="1"/>
  <c r="K26" i="1"/>
  <c r="C26" i="1"/>
  <c r="B26" i="1"/>
  <c r="Z25" i="1"/>
  <c r="Y25" i="1"/>
  <c r="V25" i="1"/>
  <c r="O25" i="1"/>
  <c r="N25" i="1"/>
  <c r="Q25" i="1" s="1"/>
  <c r="K25" i="1"/>
  <c r="C25" i="1"/>
  <c r="B25" i="1"/>
  <c r="Z24" i="1"/>
  <c r="Y24" i="1"/>
  <c r="V24" i="1"/>
  <c r="O24" i="1"/>
  <c r="N24" i="1"/>
  <c r="Q24" i="1" s="1"/>
  <c r="K24" i="1"/>
  <c r="C24" i="1"/>
  <c r="B24" i="1"/>
  <c r="Z23" i="1"/>
  <c r="Y23" i="1"/>
  <c r="V23" i="1"/>
  <c r="O23" i="1"/>
  <c r="N23" i="1"/>
  <c r="Q23" i="1" s="1"/>
  <c r="K23" i="1"/>
  <c r="C23" i="1"/>
  <c r="B23" i="1"/>
  <c r="Z22" i="1"/>
  <c r="Y22" i="1"/>
  <c r="V22" i="1"/>
  <c r="O22" i="1"/>
  <c r="N22" i="1"/>
  <c r="Q22" i="1" s="1"/>
  <c r="K22" i="1"/>
  <c r="C22" i="1"/>
  <c r="B22" i="1"/>
  <c r="Z21" i="1"/>
  <c r="Y21" i="1"/>
  <c r="V21" i="1"/>
  <c r="O21" i="1"/>
  <c r="N21" i="1"/>
  <c r="Q21" i="1" s="1"/>
  <c r="K21" i="1"/>
  <c r="C21" i="1"/>
  <c r="B21" i="1"/>
  <c r="Z20" i="1"/>
  <c r="Y20" i="1"/>
  <c r="V20" i="1"/>
  <c r="O20" i="1"/>
  <c r="N20" i="1"/>
  <c r="Q20" i="1" s="1"/>
  <c r="K20" i="1"/>
  <c r="C20" i="1"/>
  <c r="B20" i="1"/>
  <c r="Z19" i="1"/>
  <c r="Y19" i="1"/>
  <c r="V19" i="1"/>
  <c r="O19" i="1"/>
  <c r="N19" i="1"/>
  <c r="Q19" i="1" s="1"/>
  <c r="K19" i="1"/>
  <c r="C19" i="1"/>
  <c r="B19" i="1"/>
  <c r="Z18" i="1"/>
  <c r="Y18" i="1"/>
  <c r="V18" i="1"/>
  <c r="O18" i="1"/>
  <c r="N18" i="1"/>
  <c r="Q18" i="1" s="1"/>
  <c r="K18" i="1"/>
  <c r="C18" i="1"/>
  <c r="B18" i="1"/>
  <c r="Z17" i="1"/>
  <c r="Y17" i="1"/>
  <c r="V17" i="1"/>
  <c r="O17" i="1"/>
  <c r="N17" i="1"/>
  <c r="Q17" i="1" s="1"/>
  <c r="K17" i="1"/>
  <c r="C17" i="1"/>
  <c r="B17" i="1"/>
  <c r="Z16" i="1"/>
  <c r="Y16" i="1"/>
  <c r="V16" i="1"/>
  <c r="O16" i="1"/>
  <c r="N16" i="1"/>
  <c r="Q16" i="1" s="1"/>
  <c r="K16" i="1"/>
  <c r="C16" i="1"/>
  <c r="B16" i="1"/>
  <c r="Z15" i="1"/>
  <c r="Y15" i="1"/>
  <c r="V15" i="1"/>
  <c r="O15" i="1"/>
  <c r="N15" i="1"/>
  <c r="Q15" i="1" s="1"/>
  <c r="K15" i="1"/>
  <c r="C15" i="1"/>
  <c r="B15" i="1"/>
  <c r="Z14" i="1"/>
  <c r="Y14" i="1"/>
  <c r="V14" i="1"/>
  <c r="O14" i="1"/>
  <c r="N14" i="1"/>
  <c r="Q14" i="1" s="1"/>
  <c r="K14" i="1"/>
  <c r="C14" i="1"/>
  <c r="B14" i="1"/>
  <c r="Z13" i="1"/>
  <c r="Y13" i="1"/>
  <c r="V13" i="1"/>
  <c r="O13" i="1"/>
  <c r="N13" i="1"/>
  <c r="Q13" i="1" s="1"/>
  <c r="K13" i="1"/>
  <c r="C13" i="1"/>
  <c r="B13" i="1"/>
  <c r="Z12" i="1"/>
  <c r="Y12" i="1"/>
  <c r="V12" i="1"/>
  <c r="O12" i="1"/>
  <c r="N12" i="1"/>
  <c r="Q12" i="1" s="1"/>
  <c r="K12" i="1"/>
  <c r="C12" i="1"/>
  <c r="B12" i="1"/>
  <c r="Z11" i="1"/>
  <c r="Y11" i="1"/>
  <c r="V11" i="1"/>
  <c r="O11" i="1"/>
  <c r="N11" i="1"/>
  <c r="Q11" i="1" s="1"/>
  <c r="K11" i="1"/>
  <c r="C11" i="1"/>
  <c r="B11" i="1"/>
  <c r="Z10" i="1"/>
  <c r="Y10" i="1"/>
  <c r="V10" i="1"/>
  <c r="O10" i="1"/>
  <c r="N10" i="1"/>
  <c r="Q10" i="1" s="1"/>
  <c r="K10" i="1"/>
  <c r="C10" i="1"/>
  <c r="B10" i="1"/>
  <c r="Z9" i="1"/>
  <c r="Y9" i="1"/>
  <c r="V9" i="1"/>
  <c r="O9" i="1"/>
  <c r="N9" i="1"/>
  <c r="Q9" i="1" s="1"/>
  <c r="K9" i="1"/>
  <c r="C9" i="1"/>
  <c r="Z8" i="1"/>
  <c r="Y8" i="1"/>
  <c r="V8" i="1"/>
  <c r="O8" i="1"/>
  <c r="N8" i="1"/>
  <c r="Q8" i="1" s="1"/>
  <c r="K8" i="1"/>
  <c r="C8" i="1"/>
  <c r="Z7" i="1"/>
  <c r="Y7" i="1"/>
  <c r="V7" i="1"/>
  <c r="O7" i="1"/>
  <c r="N7" i="1"/>
  <c r="Q7" i="1" s="1"/>
  <c r="K7" i="1"/>
  <c r="C7" i="1"/>
  <c r="B7" i="1"/>
  <c r="Z6" i="1"/>
  <c r="Y6" i="1"/>
  <c r="V6" i="1"/>
  <c r="O6" i="1"/>
  <c r="N6" i="1"/>
  <c r="Q6" i="1" s="1"/>
  <c r="K6" i="1"/>
  <c r="C6" i="1"/>
  <c r="B6" i="1"/>
  <c r="Z5" i="1"/>
  <c r="Y5" i="1"/>
  <c r="V5" i="1"/>
  <c r="O5" i="1"/>
  <c r="N5" i="1"/>
  <c r="Q5" i="1" s="1"/>
  <c r="K5" i="1"/>
  <c r="C5" i="1"/>
  <c r="B5" i="1"/>
  <c r="Z4" i="1"/>
  <c r="Y4" i="1"/>
  <c r="V4" i="1"/>
  <c r="O4" i="1"/>
  <c r="N4" i="1"/>
  <c r="Q4" i="1" s="1"/>
  <c r="K4" i="1"/>
  <c r="C4" i="1"/>
  <c r="B4" i="1"/>
  <c r="Z3" i="1"/>
  <c r="Y3" i="1"/>
  <c r="O3" i="1"/>
  <c r="N3" i="1"/>
  <c r="Q3" i="1" s="1"/>
  <c r="V3" i="1" s="1"/>
  <c r="K3" i="1"/>
  <c r="C3" i="1"/>
  <c r="B3" i="1"/>
  <c r="Z2" i="1"/>
  <c r="Y2" i="1"/>
  <c r="O2" i="1"/>
  <c r="N2" i="1"/>
  <c r="Q2" i="1" s="1"/>
  <c r="V2" i="1" s="1"/>
  <c r="K2" i="1"/>
  <c r="C2" i="1"/>
  <c r="B2" i="1"/>
  <c r="C13" i="3" l="1"/>
</calcChain>
</file>

<file path=xl/sharedStrings.xml><?xml version="1.0" encoding="utf-8"?>
<sst xmlns="http://schemas.openxmlformats.org/spreadsheetml/2006/main" count="239" uniqueCount="197">
  <si>
    <t>reservation_hh_id</t>
  </si>
  <si>
    <t>ROW_HASH</t>
  </si>
  <si>
    <t>mois</t>
  </si>
  <si>
    <t>canal_id</t>
  </si>
  <si>
    <t>source_financiere</t>
  </si>
  <si>
    <t>proprietaire_id</t>
  </si>
  <si>
    <t>logement_id</t>
  </si>
  <si>
    <t>reservation_id_hostaway</t>
  </si>
  <si>
    <t>date_arrivee</t>
  </si>
  <si>
    <t>date_depart</t>
  </si>
  <si>
    <t>nuits</t>
  </si>
  <si>
    <t>total_percu</t>
  </si>
  <si>
    <t>menage</t>
  </si>
  <si>
    <t>taux_commission</t>
  </si>
  <si>
    <t>taux_commission_source</t>
  </si>
  <si>
    <t>commentaire_taux_commission</t>
  </si>
  <si>
    <t>commission</t>
  </si>
  <si>
    <t>montant_recupere</t>
  </si>
  <si>
    <t>associe_id_recuperateur</t>
  </si>
  <si>
    <t>montant_reverse_proprietaire</t>
  </si>
  <si>
    <t>mode_paiement_id</t>
  </si>
  <si>
    <t>acompte_facture</t>
  </si>
  <si>
    <t>code_impact</t>
  </si>
  <si>
    <t>comptabilisation</t>
  </si>
  <si>
    <t>impact_resultat_reel</t>
  </si>
  <si>
    <t>impact_resultat_comptable</t>
  </si>
  <si>
    <t>statut_controle</t>
  </si>
  <si>
    <t>niveau_anomalie</t>
  </si>
  <si>
    <t>code_anomalie</t>
  </si>
  <si>
    <t>commentaire</t>
  </si>
  <si>
    <t>RESHH-2026-05-001</t>
  </si>
  <si>
    <t>CANAL_004</t>
  </si>
  <si>
    <t>DIRECT_HA_PAYANT</t>
  </si>
  <si>
    <t>PROP_0003</t>
  </si>
  <si>
    <t>LOG_0009</t>
  </si>
  <si>
    <t>HC</t>
  </si>
  <si>
    <t>NON</t>
  </si>
  <si>
    <t>VALIDE</t>
  </si>
  <si>
    <t>INFO</t>
  </si>
  <si>
    <t>Reservation directe Hostaway 60559486 integree (decision humaine 2026-06-15). Menage standard T3 deduit pour assiette commission.</t>
  </si>
  <si>
    <t>RESHH-2099-12-999</t>
  </si>
  <si>
    <t>CANAL_001</t>
  </si>
  <si>
    <t>SAISIE_MANUELLE</t>
  </si>
  <si>
    <t>PROP_0001</t>
  </si>
  <si>
    <t>LOG_0001</t>
  </si>
  <si>
    <t>OUI</t>
  </si>
  <si>
    <t>A_CONTROLER</t>
  </si>
  <si>
    <t>Ligne de preuve D-APP-05C - aucune donnee voyageur - a supprimer apres validation</t>
  </si>
  <si>
    <t>lst_Canaux</t>
  </si>
  <si>
    <t>lst_Proprietaires</t>
  </si>
  <si>
    <t>lst_Logements</t>
  </si>
  <si>
    <t>lst_Associes</t>
  </si>
  <si>
    <t>lst_ModesPaiement</t>
  </si>
  <si>
    <t>lst_Source_Financiere</t>
  </si>
  <si>
    <t>lst_TauxCommissionSource</t>
  </si>
  <si>
    <t>lst_Codes_Impact</t>
  </si>
  <si>
    <t>lst_Comptabilisation</t>
  </si>
  <si>
    <t>lst_Statuts_Controle</t>
  </si>
  <si>
    <t>lst_Niveau_Anomalie</t>
  </si>
  <si>
    <t>prop_taux_id</t>
  </si>
  <si>
    <t>prop_taux_val</t>
  </si>
  <si>
    <t>PERS_EWAN</t>
  </si>
  <si>
    <t>PAY_001</t>
  </si>
  <si>
    <t>REF_PROPRIETAIRE</t>
  </si>
  <si>
    <t>CANAL_002</t>
  </si>
  <si>
    <t>PROP_0002</t>
  </si>
  <si>
    <t>LOG_0002</t>
  </si>
  <si>
    <t>PERS_WAFA</t>
  </si>
  <si>
    <t>PAY_002</t>
  </si>
  <si>
    <t>HOSTAWAY_REFERENCE</t>
  </si>
  <si>
    <t>REF_LOGEMENT</t>
  </si>
  <si>
    <t>IC</t>
  </si>
  <si>
    <t>CANAL_003</t>
  </si>
  <si>
    <t>LOG_0004</t>
  </si>
  <si>
    <t>PAY_003</t>
  </si>
  <si>
    <t>VRBO_UNKNOWN</t>
  </si>
  <si>
    <t>HR</t>
  </si>
  <si>
    <t>EXCLU_RESULTAT</t>
  </si>
  <si>
    <t>BLOQUANT</t>
  </si>
  <si>
    <t>PROP_0004</t>
  </si>
  <si>
    <t>LOG_0005</t>
  </si>
  <si>
    <t>PAY_004</t>
  </si>
  <si>
    <t>A_VENTILER</t>
  </si>
  <si>
    <t>CANAL_005</t>
  </si>
  <si>
    <t>PROP_0005</t>
  </si>
  <si>
    <t>LOG_0006</t>
  </si>
  <si>
    <t>PAY_005</t>
  </si>
  <si>
    <t>PROP_0006</t>
  </si>
  <si>
    <t>LOG_0007</t>
  </si>
  <si>
    <t>PROP_0007</t>
  </si>
  <si>
    <t>LOG_0008</t>
  </si>
  <si>
    <t>PROP_0008</t>
  </si>
  <si>
    <t>PROP_0009</t>
  </si>
  <si>
    <t>LOG_0010</t>
  </si>
  <si>
    <t>PROP_0010</t>
  </si>
  <si>
    <t>LOG_0011</t>
  </si>
  <si>
    <t>PROP_0011</t>
  </si>
  <si>
    <t>LOG_0012</t>
  </si>
  <si>
    <t>PROP_0012</t>
  </si>
  <si>
    <t>LOG_0013</t>
  </si>
  <si>
    <t>LOG_0014</t>
  </si>
  <si>
    <t>LOG_0015</t>
  </si>
  <si>
    <t>LOG_0016</t>
  </si>
  <si>
    <t>LOG_0017</t>
  </si>
  <si>
    <t>APPARTEMENT_DIVERS</t>
  </si>
  <si>
    <t>LOGEMENT_DIVERS</t>
  </si>
  <si>
    <t>Code</t>
  </si>
  <si>
    <t>Libelle</t>
  </si>
  <si>
    <t>Valeur</t>
  </si>
  <si>
    <t>Seuil</t>
  </si>
  <si>
    <t>Note</t>
  </si>
  <si>
    <t>CTR-L4-01</t>
  </si>
  <si>
    <t>Lignes saisies (reservation_hh_id renseigne)</t>
  </si>
  <si>
    <t>CTR-L4-02</t>
  </si>
  <si>
    <t>Lignes VALIDE (statut_controle)</t>
  </si>
  <si>
    <t>CTR-L4-03</t>
  </si>
  <si>
    <t>Lignes A_CONTROLER (statut_controle)</t>
  </si>
  <si>
    <t>ATTENTION si &gt; 0</t>
  </si>
  <si>
    <t>CTR-L4-04</t>
  </si>
  <si>
    <t>Lignes EXCLU_RESULTAT</t>
  </si>
  <si>
    <t>CTR-L4-05</t>
  </si>
  <si>
    <t>Lignes A_VENTILER</t>
  </si>
  <si>
    <t>CTR-L4-06</t>
  </si>
  <si>
    <t>Lignes BLOQUANT (niveau_anomalie)</t>
  </si>
  <si>
    <t>BLOQUANT si &gt; 0</t>
  </si>
  <si>
    <t>Doit etre 0 avant livraison vers MASTER</t>
  </si>
  <si>
    <t>CTR-L4-07</t>
  </si>
  <si>
    <t>reservation_hh_id dupliques</t>
  </si>
  <si>
    <t>PK unique obligatoire — RESH_DOUBLON_HH_ID</t>
  </si>
  <si>
    <t>CTR-L4-08</t>
  </si>
  <si>
    <t>Proprietaire manquant (ligne renseignee)</t>
  </si>
  <si>
    <t>RESH_PROPRIETAIRE_MANQUANT</t>
  </si>
  <si>
    <t>CTR-L4-09</t>
  </si>
  <si>
    <t>Logement manquant (ligne renseignee)</t>
  </si>
  <si>
    <t>RESH_LOGEMENT_MANQUANT</t>
  </si>
  <si>
    <t>CTR-L4-10</t>
  </si>
  <si>
    <t>Canal manquant (ligne renseignee)</t>
  </si>
  <si>
    <t>RESH_CANAL_MANQUANT</t>
  </si>
  <si>
    <t>CTR-L4-11</t>
  </si>
  <si>
    <t>Source financiere manquante (ligne renseignee)</t>
  </si>
  <si>
    <t>RESH_SOURCE_FINANCIERE_MANQUANTE</t>
  </si>
  <si>
    <t>CTR-L4-12</t>
  </si>
  <si>
    <t>Acompte facture negatif</t>
  </si>
  <si>
    <t>RESH_ACOMPTE_NEGATIF — verifier la formule</t>
  </si>
  <si>
    <t>CTR-L4-13</t>
  </si>
  <si>
    <t>VRBO sans montant (VRBO_UNKNOWN + total_percu vide)</t>
  </si>
  <si>
    <t>A_CONTROLER si &gt; 0</t>
  </si>
  <si>
    <t>ANO-004 — saisir le montant VRBO reel</t>
  </si>
  <si>
    <t>SAISIE_ReservationsHorsHostaway.xlsx — Guide de saisie (Lot 4)</t>
  </si>
  <si>
    <t>PERIMETRE</t>
  </si>
  <si>
    <t>Reservations non gerees financierement par Hostaway.</t>
  </si>
  <si>
    <t xml:space="preserve">  - 29 VRBO paymentStatus=Unknown (ANO-004) : source_financiere=VRBO_UNKNOWN</t>
  </si>
  <si>
    <t xml:space="preserve">  - 13 Direct Hostaway totalPrice&gt;0 dont la verite financiere est ici : source_financiere=DIRECT_HA_PAYANT</t>
  </si>
  <si>
    <t xml:space="preserve">  - Reservations absentes de Hostaway : source_financiere=SAISIE_MANUELLE</t>
  </si>
  <si>
    <t>EXCLUT : ownerStay (montant 0). IK/avantages (Lot 7). Acomptes proprietaires (Lot 5).</t>
  </si>
  <si>
    <t>REGLES OBLIGATOIRES</t>
  </si>
  <si>
    <t>1. reservation_hh_id : PK unique. Format : RESHH-AAAA-MM-NNN (NNN reset a 001 chaque mois).</t>
  </si>
  <si>
    <t xml:space="preserve">   Exemple : RESHH-2026-05-001 / RESHH-2026-06-001.</t>
  </si>
  <si>
    <t xml:space="preserve">   SAISIR comme valeur fixe (taper en dur ou Coller valeur seule). NE PAS utiliser de formule.</t>
  </si>
  <si>
    <t xml:space="preserve">   La cle ne doit jamais etre regeneree automatiquement apres saisie initiale.</t>
  </si>
  <si>
    <t>2. canal_id : obligatoire. VRBO=CANAL_003 / Direct=CANAL_004 / Autre=CANAL_005.</t>
  </si>
  <si>
    <t>3. source_financiere : obligatoire (voir tableau ci-dessous).</t>
  </si>
  <si>
    <t>4. reservation_id_hostaway : obligatoire si source_financiere IN</t>
  </si>
  <si>
    <t xml:space="preserve">   {VRBO_UNKNOWN, DIRECT_HA_PAYANT, HOSTAWAY_REFERENCE}.</t>
  </si>
  <si>
    <t>5. taux_commission : resolu en aval depuis REF_Taux_Commission ; ne pas saisir de taux non date.</t>
  </si>
  <si>
    <t xml:space="preserve">   Si la formule renvoie vide → taux absent du referentiel.</t>
  </si>
  <si>
    <t xml:space="preserve">   Dans ce cas : saisir le taux manuellement ET changer taux_commission_source a SAISIE_MANUELLE.</t>
  </si>
  <si>
    <t>6. acompte_facture = total_percu - menage - commission - montant_reverse_proprietaire (calcule, col V).</t>
  </si>
  <si>
    <t xml:space="preserve">   Si negatif → BLOQUANT. Verifier coherence des montants saisis.</t>
  </si>
  <si>
    <t>7. Si une charge est payee avec le montant recupere par un associe :</t>
  </si>
  <si>
    <t xml:space="preserve">   → saisir la charge dans SAISIE_Charges_Flux.xlsx (Lot 3),</t>
  </si>
  <si>
    <t xml:space="preserve">     champ paye_avec_montant_recupere = reservation_hh_id de cette ligne.</t>
  </si>
  <si>
    <t xml:space="preserve">   → NE PAS compenser dans ce fichier.</t>
  </si>
  <si>
    <t>8. Passer statut_controle a VALIDE avant integration dans MASTER (D029).</t>
  </si>
  <si>
    <t>TABLE source_financiere</t>
  </si>
  <si>
    <t xml:space="preserve">  VRBO_UNKNOWN        : VRBO dans Hostaway, paymentStatus=Unknown — montant saisi ici.</t>
  </si>
  <si>
    <t xml:space="preserve">  DIRECT_HA_PAYANT    : Direct Hostaway avec totalPrice&gt;0, verite financiere = Lot 4.</t>
  </si>
  <si>
    <t xml:space="preserve">  SAISIE_MANUELLE     : Reservation absente de Hostaway, saisie integrale.</t>
  </si>
  <si>
    <t xml:space="preserve">  HOSTAWAY_REFERENCE  : Hostaway sert de reference non financiere uniquement.</t>
  </si>
  <si>
    <t xml:space="preserve">  A_CONTROLER         : Source non clairement identifiable.</t>
  </si>
  <si>
    <t>DOUBLON ANTI-COMPTAGE (Lot 4bis)</t>
  </si>
  <si>
    <t>Les lignes DIRECT_HA_PAYANT seront reconciliees vs Hostaway direct via reservation_id_hostaway.</t>
  </si>
  <si>
    <t>Chaque reservation n alimente MASTER_CALC_Flux qu une seule fois (TC2 — REGLES_METIER §10).</t>
  </si>
  <si>
    <t>ONGLETS</t>
  </si>
  <si>
    <t xml:space="preserve">  SAISIE             : 30 colonnes, 11 DV, MFC rouge=BLOQUANT / orange=A_CONTROLER</t>
  </si>
  <si>
    <t xml:space="preserve">  REF_LOCALE         : 11 listes + lookup taux commission (ne pas modifier manuellement)</t>
  </si>
  <si>
    <t xml:space="preserve">  CONTROLES_SAISIE   : 13 controles automatiques — verifier avant chaque livraison</t>
  </si>
  <si>
    <t xml:space="preserve">  README             : ce fichier</t>
  </si>
  <si>
    <t>CONTROLES OBLIGATOIRES AVANT LIVRAISON (D029 — JOURNAL_CONTROLES)</t>
  </si>
  <si>
    <t>CTR-L4-06 = 0  (aucun BLOQUANT dans niveau_anomalie)</t>
  </si>
  <si>
    <t>CTR-L4-07 = 0  (aucun reservation_hh_id duplique)</t>
  </si>
  <si>
    <t>CTR-L4-08 = 0  (aucun proprietaire manquant)</t>
  </si>
  <si>
    <t>CTR-L4-09 = 0  (aucun logement manquant)</t>
  </si>
  <si>
    <t>CTR-L4-10 = 0  (aucun canal manquant)</t>
  </si>
  <si>
    <t>CTR-L4-11 = 0  (aucune source_financiere manquante)</t>
  </si>
  <si>
    <t>CTR-L4-12 = 0  (aucun acompte_facture negatif)</t>
  </si>
  <si>
    <t>CTR-L4-13 : noter le nombre de VRBO sans montant restants (ANO-004)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</si>
</sst>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1F497D"/>
      <name val="Calibri"/>
      <family val="2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404040"/>
        <bgColor rgb="FF404040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974706"/>
        <bgColor rgb="FF974706"/>
      </patternFill>
    </fill>
    <fill>
      <patternFill patternType="solid">
        <fgColor rgb="FFC55A11"/>
        <bgColor rgb="FFC55A11"/>
      </patternFill>
    </fill>
    <fill>
      <patternFill patternType="solid">
        <fgColor rgb="FF833C00"/>
        <bgColor rgb="FF833C00"/>
      </patternFill>
    </fill>
    <fill>
      <patternFill patternType="solid">
        <fgColor rgb="FFC00000"/>
        <bgColor rgb="FFC00000"/>
      </patternFill>
    </fill>
    <fill>
      <patternFill patternType="solid">
        <fgColor rgb="FF7B0000"/>
        <bgColor rgb="FF7B0000"/>
      </patternFill>
    </fill>
    <fill>
      <patternFill patternType="solid">
        <fgColor rgb="FF595959"/>
        <bgColor rgb="FF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AAAA"/>
          <bgColor rgb="FFFFAAA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1"/>
  <sheetViews>
    <sheetView tabSelected="1" topLeftCell="Q1" workbookViewId="0">
      <pane ySplit="1" topLeftCell="A2" activePane="bottomLeft" state="frozen"/>
      <selection pane="bottomLeft" activeCell="AB4" sqref="AB4"/>
    </sheetView>
  </sheetViews>
  <sheetFormatPr baseColWidth="10" defaultColWidth="9.140625" defaultRowHeight="15" x14ac:dyDescent="0.25"/>
  <cols>
    <col min="1" max="1" width="28" customWidth="1"/>
    <col min="2" max="2" width="46" customWidth="1"/>
    <col min="3" max="3" width="12" customWidth="1"/>
    <col min="4" max="4" width="14" customWidth="1"/>
    <col min="5" max="5" width="22" customWidth="1"/>
    <col min="6" max="6" width="14" customWidth="1"/>
    <col min="7" max="8" width="22" customWidth="1"/>
    <col min="9" max="10" width="14" customWidth="1"/>
    <col min="11" max="11" width="8" customWidth="1"/>
    <col min="12" max="12" width="14" customWidth="1"/>
    <col min="13" max="13" width="12" customWidth="1"/>
    <col min="14" max="14" width="16" customWidth="1"/>
    <col min="15" max="15" width="24" customWidth="1"/>
    <col min="16" max="16" width="30" customWidth="1"/>
    <col min="17" max="18" width="14" customWidth="1"/>
    <col min="19" max="19" width="22" customWidth="1"/>
    <col min="20" max="20" width="26" customWidth="1"/>
    <col min="21" max="21" width="18" customWidth="1"/>
    <col min="22" max="22" width="14" customWidth="1"/>
    <col min="23" max="23" width="12" customWidth="1"/>
    <col min="24" max="24" width="16" customWidth="1"/>
    <col min="25" max="25" width="22" customWidth="1"/>
    <col min="26" max="26" width="24" customWidth="1"/>
    <col min="27" max="28" width="18" customWidth="1"/>
    <col min="29" max="29" width="24" customWidth="1"/>
    <col min="30" max="30" width="30" customWidth="1"/>
  </cols>
  <sheetData>
    <row r="1" spans="1:30" ht="4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10" t="s">
        <v>29</v>
      </c>
    </row>
    <row r="2" spans="1:30" x14ac:dyDescent="0.25">
      <c r="A2" t="s">
        <v>30</v>
      </c>
      <c r="B2" t="str">
        <f t="shared" ref="B2:B65" si="0">IF(A2="","",A2&amp;"|"&amp;D2&amp;"|"&amp;F2&amp;"|"&amp;G2&amp;"|"&amp;IF(I2="","",YEAR(I2)&amp;RIGHT("0"&amp;MONTH(I2),2)&amp;RIGHT("0"&amp;DAY(I2),2))&amp;"|"&amp;IF(L2="","",IF(ROUND(L2*100,0)&lt;0,"-","")&amp;INT(ABS(ROUND(L2*100,0))/100)&amp;"."&amp;RIGHT("0"&amp;MOD(ABS(ROUND(L2*100,0)),100),2)))</f>
        <v>RESHH-2026-05-001|CANAL_004|PROP_0003|LOG_0009|20260525|2343.48</v>
      </c>
      <c r="C2" t="str">
        <f t="shared" ref="C2:C65" si="1">IF(I2="","",YEAR(I2)&amp;"-"&amp;RIGHT("0"&amp;MONTH(I2),2))</f>
        <v>2026-05</v>
      </c>
      <c r="D2" t="s">
        <v>31</v>
      </c>
      <c r="E2" t="s">
        <v>32</v>
      </c>
      <c r="F2" t="s">
        <v>33</v>
      </c>
      <c r="G2" t="s">
        <v>34</v>
      </c>
      <c r="H2">
        <v>60559486</v>
      </c>
      <c r="I2" s="15">
        <v>46167</v>
      </c>
      <c r="J2" s="15">
        <v>46222</v>
      </c>
      <c r="K2">
        <f t="shared" ref="K2:K65" si="2">IF(OR(I2="",J2=""),"",J2-I2)</f>
        <v>55</v>
      </c>
      <c r="L2">
        <v>2343.48</v>
      </c>
      <c r="M2">
        <v>55</v>
      </c>
      <c r="N2">
        <f t="shared" ref="N2:N65" si="3">IF(F2="","",IFERROR(VLOOKUP(F2,lst_PropTauxLookup,2,0),""))</f>
        <v>0.15</v>
      </c>
      <c r="O2" t="str">
        <f t="shared" ref="O2:O65" si="4">IF(F2="","",IF(ISNUMBER(IFERROR(VLOOKUP(F2,lst_PropTauxLookup,2,0),"")),"REF_PROPRIETAIRE","A_CONTROLER"))</f>
        <v>REF_PROPRIETAIRE</v>
      </c>
      <c r="Q2">
        <f t="shared" ref="Q2:Q65" si="5">IF(OR(L2="",N2=""),"",IFERROR((L2-IF(M2="",0,M2))*N2,0))</f>
        <v>343.27199999999999</v>
      </c>
      <c r="V2">
        <f t="shared" ref="V2:V65" si="6">IF(L2="","",L2-IF(M2="",0,M2)-IF(Q2="",0,Q2)-IF(T2="",0,T2))</f>
        <v>1945.2080000000001</v>
      </c>
      <c r="W2" t="s">
        <v>35</v>
      </c>
      <c r="X2" t="s">
        <v>36</v>
      </c>
      <c r="Y2" t="str">
        <f t="shared" ref="Y2:Y65" si="7">IF(W2="IC","OUI",IF(W2="HC","OUI",IF(W2="HR","NON","A_CONTROLER")))</f>
        <v>OUI</v>
      </c>
      <c r="Z2" t="str">
        <f t="shared" ref="Z2:Z65" si="8">IF(W2="IC","OUI",IF(W2="HC","NON",IF(W2="HR","NON","A_CONTROLER")))</f>
        <v>NON</v>
      </c>
      <c r="AA2" t="s">
        <v>37</v>
      </c>
      <c r="AB2" t="s">
        <v>38</v>
      </c>
      <c r="AD2" t="s">
        <v>39</v>
      </c>
    </row>
    <row r="3" spans="1:30" x14ac:dyDescent="0.25">
      <c r="A3" t="s">
        <v>40</v>
      </c>
      <c r="B3" t="str">
        <f t="shared" si="0"/>
        <v>RESHH-2099-12-999|CANAL_001|PROP_0001|LOG_0001|20991201|1000.00</v>
      </c>
      <c r="C3" t="str">
        <f t="shared" si="1"/>
        <v>2099-12</v>
      </c>
      <c r="D3" t="s">
        <v>41</v>
      </c>
      <c r="E3" t="s">
        <v>42</v>
      </c>
      <c r="F3" t="s">
        <v>43</v>
      </c>
      <c r="G3" t="s">
        <v>44</v>
      </c>
      <c r="H3">
        <v>99999999</v>
      </c>
      <c r="I3" s="15">
        <v>73020</v>
      </c>
      <c r="J3" s="15">
        <v>73025</v>
      </c>
      <c r="K3">
        <f t="shared" si="2"/>
        <v>5</v>
      </c>
      <c r="L3">
        <v>1000</v>
      </c>
      <c r="M3">
        <v>50</v>
      </c>
      <c r="N3">
        <f t="shared" si="3"/>
        <v>0.18</v>
      </c>
      <c r="O3" t="str">
        <f t="shared" si="4"/>
        <v>REF_PROPRIETAIRE</v>
      </c>
      <c r="Q3">
        <f t="shared" si="5"/>
        <v>171</v>
      </c>
      <c r="V3">
        <f t="shared" si="6"/>
        <v>779</v>
      </c>
      <c r="W3" t="s">
        <v>35</v>
      </c>
      <c r="X3" t="s">
        <v>45</v>
      </c>
      <c r="Y3" t="str">
        <f t="shared" si="7"/>
        <v>OUI</v>
      </c>
      <c r="Z3" t="str">
        <f t="shared" si="8"/>
        <v>NON</v>
      </c>
      <c r="AA3" t="s">
        <v>46</v>
      </c>
      <c r="AB3" t="s">
        <v>38</v>
      </c>
      <c r="AD3" t="s">
        <v>47</v>
      </c>
    </row>
    <row r="4" spans="1:30" x14ac:dyDescent="0.25">
      <c r="B4" t="str">
        <f t="shared" si="0"/>
        <v/>
      </c>
      <c r="C4" t="str">
        <f t="shared" si="1"/>
        <v/>
      </c>
      <c r="K4" t="str">
        <f t="shared" si="2"/>
        <v/>
      </c>
      <c r="N4" t="str">
        <f t="shared" si="3"/>
        <v/>
      </c>
      <c r="O4" t="str">
        <f t="shared" si="4"/>
        <v/>
      </c>
      <c r="Q4" t="str">
        <f t="shared" si="5"/>
        <v/>
      </c>
      <c r="V4" t="str">
        <f t="shared" si="6"/>
        <v/>
      </c>
      <c r="Y4" t="str">
        <f t="shared" si="7"/>
        <v>A_CONTROLER</v>
      </c>
      <c r="Z4" t="str">
        <f t="shared" si="8"/>
        <v>A_CONTROLER</v>
      </c>
    </row>
    <row r="5" spans="1:30" x14ac:dyDescent="0.25">
      <c r="B5" t="str">
        <f t="shared" si="0"/>
        <v/>
      </c>
      <c r="C5" t="str">
        <f t="shared" si="1"/>
        <v/>
      </c>
      <c r="K5" t="str">
        <f t="shared" si="2"/>
        <v/>
      </c>
      <c r="N5" t="str">
        <f t="shared" si="3"/>
        <v/>
      </c>
      <c r="O5" t="str">
        <f t="shared" si="4"/>
        <v/>
      </c>
      <c r="Q5" t="str">
        <f t="shared" si="5"/>
        <v/>
      </c>
      <c r="V5" t="str">
        <f t="shared" si="6"/>
        <v/>
      </c>
      <c r="Y5" t="str">
        <f t="shared" si="7"/>
        <v>A_CONTROLER</v>
      </c>
      <c r="Z5" t="str">
        <f t="shared" si="8"/>
        <v>A_CONTROLER</v>
      </c>
    </row>
    <row r="6" spans="1:30" x14ac:dyDescent="0.25">
      <c r="B6" t="str">
        <f t="shared" si="0"/>
        <v/>
      </c>
      <c r="C6" t="str">
        <f t="shared" si="1"/>
        <v/>
      </c>
      <c r="K6" t="str">
        <f t="shared" si="2"/>
        <v/>
      </c>
      <c r="N6" t="str">
        <f t="shared" si="3"/>
        <v/>
      </c>
      <c r="O6" t="str">
        <f t="shared" si="4"/>
        <v/>
      </c>
      <c r="Q6" t="str">
        <f t="shared" si="5"/>
        <v/>
      </c>
      <c r="V6" t="str">
        <f t="shared" si="6"/>
        <v/>
      </c>
      <c r="Y6" t="str">
        <f t="shared" si="7"/>
        <v>A_CONTROLER</v>
      </c>
      <c r="Z6" t="str">
        <f t="shared" si="8"/>
        <v>A_CONTROLER</v>
      </c>
    </row>
    <row r="7" spans="1:30" x14ac:dyDescent="0.25">
      <c r="B7" t="str">
        <f t="shared" si="0"/>
        <v/>
      </c>
      <c r="C7" t="str">
        <f t="shared" si="1"/>
        <v/>
      </c>
      <c r="K7" t="str">
        <f t="shared" si="2"/>
        <v/>
      </c>
      <c r="N7" t="str">
        <f t="shared" si="3"/>
        <v/>
      </c>
      <c r="O7" t="str">
        <f t="shared" si="4"/>
        <v/>
      </c>
      <c r="Q7" t="str">
        <f t="shared" si="5"/>
        <v/>
      </c>
      <c r="V7" t="str">
        <f t="shared" si="6"/>
        <v/>
      </c>
      <c r="Y7" t="str">
        <f t="shared" si="7"/>
        <v>A_CONTROLER</v>
      </c>
      <c r="Z7" t="str">
        <f t="shared" si="8"/>
        <v>A_CONTROLER</v>
      </c>
    </row>
    <row r="8" spans="1:30" x14ac:dyDescent="0.25">
      <c r="C8" t="str">
        <f t="shared" si="1"/>
        <v/>
      </c>
      <c r="K8" t="str">
        <f t="shared" si="2"/>
        <v/>
      </c>
      <c r="N8" t="str">
        <f t="shared" si="3"/>
        <v/>
      </c>
      <c r="O8" t="str">
        <f t="shared" si="4"/>
        <v/>
      </c>
      <c r="Q8" t="str">
        <f t="shared" si="5"/>
        <v/>
      </c>
      <c r="V8" t="str">
        <f t="shared" si="6"/>
        <v/>
      </c>
      <c r="Y8" t="str">
        <f t="shared" si="7"/>
        <v>A_CONTROLER</v>
      </c>
      <c r="Z8" t="str">
        <f t="shared" si="8"/>
        <v>A_CONTROLER</v>
      </c>
    </row>
    <row r="9" spans="1:30" x14ac:dyDescent="0.25">
      <c r="C9" t="str">
        <f t="shared" si="1"/>
        <v/>
      </c>
      <c r="K9" t="str">
        <f t="shared" si="2"/>
        <v/>
      </c>
      <c r="N9" t="str">
        <f t="shared" si="3"/>
        <v/>
      </c>
      <c r="O9" t="str">
        <f t="shared" si="4"/>
        <v/>
      </c>
      <c r="Q9" t="str">
        <f t="shared" si="5"/>
        <v/>
      </c>
      <c r="V9" t="str">
        <f t="shared" si="6"/>
        <v/>
      </c>
      <c r="Y9" t="str">
        <f t="shared" si="7"/>
        <v>A_CONTROLER</v>
      </c>
      <c r="Z9" t="str">
        <f t="shared" si="8"/>
        <v>A_CONTROLER</v>
      </c>
    </row>
    <row r="10" spans="1:30" x14ac:dyDescent="0.25">
      <c r="B10" t="str">
        <f t="shared" si="0"/>
        <v/>
      </c>
      <c r="C10" t="str">
        <f t="shared" si="1"/>
        <v/>
      </c>
      <c r="K10" t="str">
        <f t="shared" si="2"/>
        <v/>
      </c>
      <c r="N10" t="str">
        <f t="shared" si="3"/>
        <v/>
      </c>
      <c r="O10" t="str">
        <f t="shared" si="4"/>
        <v/>
      </c>
      <c r="Q10" t="str">
        <f t="shared" si="5"/>
        <v/>
      </c>
      <c r="V10" t="str">
        <f t="shared" si="6"/>
        <v/>
      </c>
      <c r="Y10" t="str">
        <f t="shared" si="7"/>
        <v>A_CONTROLER</v>
      </c>
      <c r="Z10" t="str">
        <f t="shared" si="8"/>
        <v>A_CONTROLER</v>
      </c>
    </row>
    <row r="11" spans="1:30" x14ac:dyDescent="0.25">
      <c r="B11" t="str">
        <f t="shared" si="0"/>
        <v/>
      </c>
      <c r="C11" t="str">
        <f t="shared" si="1"/>
        <v/>
      </c>
      <c r="K11" t="str">
        <f t="shared" si="2"/>
        <v/>
      </c>
      <c r="N11" t="str">
        <f t="shared" si="3"/>
        <v/>
      </c>
      <c r="O11" t="str">
        <f t="shared" si="4"/>
        <v/>
      </c>
      <c r="Q11" t="str">
        <f t="shared" si="5"/>
        <v/>
      </c>
      <c r="V11" t="str">
        <f t="shared" si="6"/>
        <v/>
      </c>
      <c r="Y11" t="str">
        <f t="shared" si="7"/>
        <v>A_CONTROLER</v>
      </c>
      <c r="Z11" t="str">
        <f t="shared" si="8"/>
        <v>A_CONTROLER</v>
      </c>
    </row>
    <row r="12" spans="1:30" x14ac:dyDescent="0.25">
      <c r="B12" t="str">
        <f t="shared" si="0"/>
        <v/>
      </c>
      <c r="C12" t="str">
        <f t="shared" si="1"/>
        <v/>
      </c>
      <c r="K12" t="str">
        <f t="shared" si="2"/>
        <v/>
      </c>
      <c r="N12" t="str">
        <f t="shared" si="3"/>
        <v/>
      </c>
      <c r="O12" t="str">
        <f t="shared" si="4"/>
        <v/>
      </c>
      <c r="Q12" t="str">
        <f t="shared" si="5"/>
        <v/>
      </c>
      <c r="V12" t="str">
        <f t="shared" si="6"/>
        <v/>
      </c>
      <c r="Y12" t="str">
        <f t="shared" si="7"/>
        <v>A_CONTROLER</v>
      </c>
      <c r="Z12" t="str">
        <f t="shared" si="8"/>
        <v>A_CONTROLER</v>
      </c>
    </row>
    <row r="13" spans="1:30" x14ac:dyDescent="0.25">
      <c r="B13" t="str">
        <f t="shared" si="0"/>
        <v/>
      </c>
      <c r="C13" t="str">
        <f t="shared" si="1"/>
        <v/>
      </c>
      <c r="K13" t="str">
        <f t="shared" si="2"/>
        <v/>
      </c>
      <c r="N13" t="str">
        <f t="shared" si="3"/>
        <v/>
      </c>
      <c r="O13" t="str">
        <f t="shared" si="4"/>
        <v/>
      </c>
      <c r="Q13" t="str">
        <f t="shared" si="5"/>
        <v/>
      </c>
      <c r="V13" t="str">
        <f t="shared" si="6"/>
        <v/>
      </c>
      <c r="Y13" t="str">
        <f t="shared" si="7"/>
        <v>A_CONTROLER</v>
      </c>
      <c r="Z13" t="str">
        <f t="shared" si="8"/>
        <v>A_CONTROLER</v>
      </c>
    </row>
    <row r="14" spans="1:30" x14ac:dyDescent="0.25">
      <c r="B14" t="str">
        <f t="shared" si="0"/>
        <v/>
      </c>
      <c r="C14" t="str">
        <f t="shared" si="1"/>
        <v/>
      </c>
      <c r="K14" t="str">
        <f t="shared" si="2"/>
        <v/>
      </c>
      <c r="N14" t="str">
        <f t="shared" si="3"/>
        <v/>
      </c>
      <c r="O14" t="str">
        <f t="shared" si="4"/>
        <v/>
      </c>
      <c r="Q14" t="str">
        <f t="shared" si="5"/>
        <v/>
      </c>
      <c r="V14" t="str">
        <f t="shared" si="6"/>
        <v/>
      </c>
      <c r="Y14" t="str">
        <f t="shared" si="7"/>
        <v>A_CONTROLER</v>
      </c>
      <c r="Z14" t="str">
        <f t="shared" si="8"/>
        <v>A_CONTROLER</v>
      </c>
    </row>
    <row r="15" spans="1:30" x14ac:dyDescent="0.25">
      <c r="B15" t="str">
        <f t="shared" si="0"/>
        <v/>
      </c>
      <c r="C15" t="str">
        <f t="shared" si="1"/>
        <v/>
      </c>
      <c r="K15" t="str">
        <f t="shared" si="2"/>
        <v/>
      </c>
      <c r="N15" t="str">
        <f t="shared" si="3"/>
        <v/>
      </c>
      <c r="O15" t="str">
        <f t="shared" si="4"/>
        <v/>
      </c>
      <c r="Q15" t="str">
        <f t="shared" si="5"/>
        <v/>
      </c>
      <c r="V15" t="str">
        <f t="shared" si="6"/>
        <v/>
      </c>
      <c r="Y15" t="str">
        <f t="shared" si="7"/>
        <v>A_CONTROLER</v>
      </c>
      <c r="Z15" t="str">
        <f t="shared" si="8"/>
        <v>A_CONTROLER</v>
      </c>
    </row>
    <row r="16" spans="1:30" x14ac:dyDescent="0.25">
      <c r="B16" t="str">
        <f t="shared" si="0"/>
        <v/>
      </c>
      <c r="C16" t="str">
        <f t="shared" si="1"/>
        <v/>
      </c>
      <c r="K16" t="str">
        <f t="shared" si="2"/>
        <v/>
      </c>
      <c r="N16" t="str">
        <f t="shared" si="3"/>
        <v/>
      </c>
      <c r="O16" t="str">
        <f t="shared" si="4"/>
        <v/>
      </c>
      <c r="Q16" t="str">
        <f t="shared" si="5"/>
        <v/>
      </c>
      <c r="V16" t="str">
        <f t="shared" si="6"/>
        <v/>
      </c>
      <c r="Y16" t="str">
        <f t="shared" si="7"/>
        <v>A_CONTROLER</v>
      </c>
      <c r="Z16" t="str">
        <f t="shared" si="8"/>
        <v>A_CONTROLER</v>
      </c>
    </row>
    <row r="17" spans="2:26" x14ac:dyDescent="0.25">
      <c r="B17" t="str">
        <f t="shared" si="0"/>
        <v/>
      </c>
      <c r="C17" t="str">
        <f t="shared" si="1"/>
        <v/>
      </c>
      <c r="K17" t="str">
        <f t="shared" si="2"/>
        <v/>
      </c>
      <c r="N17" t="str">
        <f t="shared" si="3"/>
        <v/>
      </c>
      <c r="O17" t="str">
        <f t="shared" si="4"/>
        <v/>
      </c>
      <c r="Q17" t="str">
        <f t="shared" si="5"/>
        <v/>
      </c>
      <c r="V17" t="str">
        <f t="shared" si="6"/>
        <v/>
      </c>
      <c r="Y17" t="str">
        <f t="shared" si="7"/>
        <v>A_CONTROLER</v>
      </c>
      <c r="Z17" t="str">
        <f t="shared" si="8"/>
        <v>A_CONTROLER</v>
      </c>
    </row>
    <row r="18" spans="2:26" x14ac:dyDescent="0.25">
      <c r="B18" t="str">
        <f t="shared" si="0"/>
        <v/>
      </c>
      <c r="C18" t="str">
        <f t="shared" si="1"/>
        <v/>
      </c>
      <c r="K18" t="str">
        <f t="shared" si="2"/>
        <v/>
      </c>
      <c r="N18" t="str">
        <f t="shared" si="3"/>
        <v/>
      </c>
      <c r="O18" t="str">
        <f t="shared" si="4"/>
        <v/>
      </c>
      <c r="Q18" t="str">
        <f t="shared" si="5"/>
        <v/>
      </c>
      <c r="V18" t="str">
        <f t="shared" si="6"/>
        <v/>
      </c>
      <c r="Y18" t="str">
        <f t="shared" si="7"/>
        <v>A_CONTROLER</v>
      </c>
      <c r="Z18" t="str">
        <f t="shared" si="8"/>
        <v>A_CONTROLER</v>
      </c>
    </row>
    <row r="19" spans="2:26" x14ac:dyDescent="0.25">
      <c r="B19" t="str">
        <f t="shared" si="0"/>
        <v/>
      </c>
      <c r="C19" t="str">
        <f t="shared" si="1"/>
        <v/>
      </c>
      <c r="K19" t="str">
        <f t="shared" si="2"/>
        <v/>
      </c>
      <c r="N19" t="str">
        <f t="shared" si="3"/>
        <v/>
      </c>
      <c r="O19" t="str">
        <f t="shared" si="4"/>
        <v/>
      </c>
      <c r="Q19" t="str">
        <f t="shared" si="5"/>
        <v/>
      </c>
      <c r="V19" t="str">
        <f t="shared" si="6"/>
        <v/>
      </c>
      <c r="Y19" t="str">
        <f t="shared" si="7"/>
        <v>A_CONTROLER</v>
      </c>
      <c r="Z19" t="str">
        <f t="shared" si="8"/>
        <v>A_CONTROLER</v>
      </c>
    </row>
    <row r="20" spans="2:26" x14ac:dyDescent="0.25">
      <c r="B20" t="str">
        <f t="shared" si="0"/>
        <v/>
      </c>
      <c r="C20" t="str">
        <f t="shared" si="1"/>
        <v/>
      </c>
      <c r="K20" t="str">
        <f t="shared" si="2"/>
        <v/>
      </c>
      <c r="N20" t="str">
        <f t="shared" si="3"/>
        <v/>
      </c>
      <c r="O20" t="str">
        <f t="shared" si="4"/>
        <v/>
      </c>
      <c r="Q20" t="str">
        <f t="shared" si="5"/>
        <v/>
      </c>
      <c r="V20" t="str">
        <f t="shared" si="6"/>
        <v/>
      </c>
      <c r="Y20" t="str">
        <f t="shared" si="7"/>
        <v>A_CONTROLER</v>
      </c>
      <c r="Z20" t="str">
        <f t="shared" si="8"/>
        <v>A_CONTROLER</v>
      </c>
    </row>
    <row r="21" spans="2:26" x14ac:dyDescent="0.25">
      <c r="B21" t="str">
        <f t="shared" si="0"/>
        <v/>
      </c>
      <c r="C21" t="str">
        <f t="shared" si="1"/>
        <v/>
      </c>
      <c r="K21" t="str">
        <f t="shared" si="2"/>
        <v/>
      </c>
      <c r="N21" t="str">
        <f t="shared" si="3"/>
        <v/>
      </c>
      <c r="O21" t="str">
        <f t="shared" si="4"/>
        <v/>
      </c>
      <c r="Q21" t="str">
        <f t="shared" si="5"/>
        <v/>
      </c>
      <c r="V21" t="str">
        <f t="shared" si="6"/>
        <v/>
      </c>
      <c r="Y21" t="str">
        <f t="shared" si="7"/>
        <v>A_CONTROLER</v>
      </c>
      <c r="Z21" t="str">
        <f t="shared" si="8"/>
        <v>A_CONTROLER</v>
      </c>
    </row>
    <row r="22" spans="2:26" x14ac:dyDescent="0.25">
      <c r="B22" t="str">
        <f t="shared" si="0"/>
        <v/>
      </c>
      <c r="C22" t="str">
        <f t="shared" si="1"/>
        <v/>
      </c>
      <c r="K22" t="str">
        <f t="shared" si="2"/>
        <v/>
      </c>
      <c r="N22" t="str">
        <f t="shared" si="3"/>
        <v/>
      </c>
      <c r="O22" t="str">
        <f t="shared" si="4"/>
        <v/>
      </c>
      <c r="Q22" t="str">
        <f t="shared" si="5"/>
        <v/>
      </c>
      <c r="V22" t="str">
        <f t="shared" si="6"/>
        <v/>
      </c>
      <c r="Y22" t="str">
        <f t="shared" si="7"/>
        <v>A_CONTROLER</v>
      </c>
      <c r="Z22" t="str">
        <f t="shared" si="8"/>
        <v>A_CONTROLER</v>
      </c>
    </row>
    <row r="23" spans="2:26" x14ac:dyDescent="0.25">
      <c r="B23" t="str">
        <f t="shared" si="0"/>
        <v/>
      </c>
      <c r="C23" t="str">
        <f t="shared" si="1"/>
        <v/>
      </c>
      <c r="K23" t="str">
        <f t="shared" si="2"/>
        <v/>
      </c>
      <c r="N23" t="str">
        <f t="shared" si="3"/>
        <v/>
      </c>
      <c r="O23" t="str">
        <f t="shared" si="4"/>
        <v/>
      </c>
      <c r="Q23" t="str">
        <f t="shared" si="5"/>
        <v/>
      </c>
      <c r="V23" t="str">
        <f t="shared" si="6"/>
        <v/>
      </c>
      <c r="Y23" t="str">
        <f t="shared" si="7"/>
        <v>A_CONTROLER</v>
      </c>
      <c r="Z23" t="str">
        <f t="shared" si="8"/>
        <v>A_CONTROLER</v>
      </c>
    </row>
    <row r="24" spans="2:26" x14ac:dyDescent="0.25">
      <c r="B24" t="str">
        <f t="shared" si="0"/>
        <v/>
      </c>
      <c r="C24" t="str">
        <f t="shared" si="1"/>
        <v/>
      </c>
      <c r="K24" t="str">
        <f t="shared" si="2"/>
        <v/>
      </c>
      <c r="N24" t="str">
        <f t="shared" si="3"/>
        <v/>
      </c>
      <c r="O24" t="str">
        <f t="shared" si="4"/>
        <v/>
      </c>
      <c r="Q24" t="str">
        <f t="shared" si="5"/>
        <v/>
      </c>
      <c r="V24" t="str">
        <f t="shared" si="6"/>
        <v/>
      </c>
      <c r="Y24" t="str">
        <f t="shared" si="7"/>
        <v>A_CONTROLER</v>
      </c>
      <c r="Z24" t="str">
        <f t="shared" si="8"/>
        <v>A_CONTROLER</v>
      </c>
    </row>
    <row r="25" spans="2:26" x14ac:dyDescent="0.25">
      <c r="B25" t="str">
        <f t="shared" si="0"/>
        <v/>
      </c>
      <c r="C25" t="str">
        <f t="shared" si="1"/>
        <v/>
      </c>
      <c r="K25" t="str">
        <f t="shared" si="2"/>
        <v/>
      </c>
      <c r="N25" t="str">
        <f t="shared" si="3"/>
        <v/>
      </c>
      <c r="O25" t="str">
        <f t="shared" si="4"/>
        <v/>
      </c>
      <c r="Q25" t="str">
        <f t="shared" si="5"/>
        <v/>
      </c>
      <c r="V25" t="str">
        <f t="shared" si="6"/>
        <v/>
      </c>
      <c r="Y25" t="str">
        <f t="shared" si="7"/>
        <v>A_CONTROLER</v>
      </c>
      <c r="Z25" t="str">
        <f t="shared" si="8"/>
        <v>A_CONTROLER</v>
      </c>
    </row>
    <row r="26" spans="2:26" x14ac:dyDescent="0.25">
      <c r="B26" t="str">
        <f t="shared" si="0"/>
        <v/>
      </c>
      <c r="C26" t="str">
        <f t="shared" si="1"/>
        <v/>
      </c>
      <c r="K26" t="str">
        <f t="shared" si="2"/>
        <v/>
      </c>
      <c r="N26" t="str">
        <f t="shared" si="3"/>
        <v/>
      </c>
      <c r="O26" t="str">
        <f t="shared" si="4"/>
        <v/>
      </c>
      <c r="Q26" t="str">
        <f t="shared" si="5"/>
        <v/>
      </c>
      <c r="V26" t="str">
        <f t="shared" si="6"/>
        <v/>
      </c>
      <c r="Y26" t="str">
        <f t="shared" si="7"/>
        <v>A_CONTROLER</v>
      </c>
      <c r="Z26" t="str">
        <f t="shared" si="8"/>
        <v>A_CONTROLER</v>
      </c>
    </row>
    <row r="27" spans="2:26" x14ac:dyDescent="0.25">
      <c r="B27" t="str">
        <f t="shared" si="0"/>
        <v/>
      </c>
      <c r="C27" t="str">
        <f t="shared" si="1"/>
        <v/>
      </c>
      <c r="K27" t="str">
        <f t="shared" si="2"/>
        <v/>
      </c>
      <c r="N27" t="str">
        <f t="shared" si="3"/>
        <v/>
      </c>
      <c r="O27" t="str">
        <f t="shared" si="4"/>
        <v/>
      </c>
      <c r="Q27" t="str">
        <f t="shared" si="5"/>
        <v/>
      </c>
      <c r="V27" t="str">
        <f t="shared" si="6"/>
        <v/>
      </c>
      <c r="Y27" t="str">
        <f t="shared" si="7"/>
        <v>A_CONTROLER</v>
      </c>
      <c r="Z27" t="str">
        <f t="shared" si="8"/>
        <v>A_CONTROLER</v>
      </c>
    </row>
    <row r="28" spans="2:26" x14ac:dyDescent="0.25">
      <c r="B28" t="str">
        <f t="shared" si="0"/>
        <v/>
      </c>
      <c r="C28" t="str">
        <f t="shared" si="1"/>
        <v/>
      </c>
      <c r="K28" t="str">
        <f t="shared" si="2"/>
        <v/>
      </c>
      <c r="N28" t="str">
        <f t="shared" si="3"/>
        <v/>
      </c>
      <c r="O28" t="str">
        <f t="shared" si="4"/>
        <v/>
      </c>
      <c r="Q28" t="str">
        <f t="shared" si="5"/>
        <v/>
      </c>
      <c r="V28" t="str">
        <f t="shared" si="6"/>
        <v/>
      </c>
      <c r="Y28" t="str">
        <f t="shared" si="7"/>
        <v>A_CONTROLER</v>
      </c>
      <c r="Z28" t="str">
        <f t="shared" si="8"/>
        <v>A_CONTROLER</v>
      </c>
    </row>
    <row r="29" spans="2:26" x14ac:dyDescent="0.25">
      <c r="B29" t="str">
        <f t="shared" si="0"/>
        <v/>
      </c>
      <c r="C29" t="str">
        <f t="shared" si="1"/>
        <v/>
      </c>
      <c r="K29" t="str">
        <f t="shared" si="2"/>
        <v/>
      </c>
      <c r="N29" t="str">
        <f t="shared" si="3"/>
        <v/>
      </c>
      <c r="O29" t="str">
        <f t="shared" si="4"/>
        <v/>
      </c>
      <c r="Q29" t="str">
        <f t="shared" si="5"/>
        <v/>
      </c>
      <c r="V29" t="str">
        <f t="shared" si="6"/>
        <v/>
      </c>
      <c r="Y29" t="str">
        <f t="shared" si="7"/>
        <v>A_CONTROLER</v>
      </c>
      <c r="Z29" t="str">
        <f t="shared" si="8"/>
        <v>A_CONTROLER</v>
      </c>
    </row>
    <row r="30" spans="2:26" x14ac:dyDescent="0.25">
      <c r="B30" t="str">
        <f t="shared" si="0"/>
        <v/>
      </c>
      <c r="C30" t="str">
        <f t="shared" si="1"/>
        <v/>
      </c>
      <c r="K30" t="str">
        <f t="shared" si="2"/>
        <v/>
      </c>
      <c r="N30" t="str">
        <f t="shared" si="3"/>
        <v/>
      </c>
      <c r="O30" t="str">
        <f t="shared" si="4"/>
        <v/>
      </c>
      <c r="Q30" t="str">
        <f t="shared" si="5"/>
        <v/>
      </c>
      <c r="V30" t="str">
        <f t="shared" si="6"/>
        <v/>
      </c>
      <c r="Y30" t="str">
        <f t="shared" si="7"/>
        <v>A_CONTROLER</v>
      </c>
      <c r="Z30" t="str">
        <f t="shared" si="8"/>
        <v>A_CONTROLER</v>
      </c>
    </row>
    <row r="31" spans="2:26" x14ac:dyDescent="0.25">
      <c r="B31" t="str">
        <f t="shared" si="0"/>
        <v/>
      </c>
      <c r="C31" t="str">
        <f t="shared" si="1"/>
        <v/>
      </c>
      <c r="K31" t="str">
        <f t="shared" si="2"/>
        <v/>
      </c>
      <c r="N31" t="str">
        <f t="shared" si="3"/>
        <v/>
      </c>
      <c r="O31" t="str">
        <f t="shared" si="4"/>
        <v/>
      </c>
      <c r="Q31" t="str">
        <f t="shared" si="5"/>
        <v/>
      </c>
      <c r="V31" t="str">
        <f t="shared" si="6"/>
        <v/>
      </c>
      <c r="Y31" t="str">
        <f t="shared" si="7"/>
        <v>A_CONTROLER</v>
      </c>
      <c r="Z31" t="str">
        <f t="shared" si="8"/>
        <v>A_CONTROLER</v>
      </c>
    </row>
    <row r="32" spans="2:26" x14ac:dyDescent="0.25">
      <c r="B32" t="str">
        <f t="shared" si="0"/>
        <v/>
      </c>
      <c r="C32" t="str">
        <f t="shared" si="1"/>
        <v/>
      </c>
      <c r="K32" t="str">
        <f t="shared" si="2"/>
        <v/>
      </c>
      <c r="N32" t="str">
        <f t="shared" si="3"/>
        <v/>
      </c>
      <c r="O32" t="str">
        <f t="shared" si="4"/>
        <v/>
      </c>
      <c r="Q32" t="str">
        <f t="shared" si="5"/>
        <v/>
      </c>
      <c r="V32" t="str">
        <f t="shared" si="6"/>
        <v/>
      </c>
      <c r="Y32" t="str">
        <f t="shared" si="7"/>
        <v>A_CONTROLER</v>
      </c>
      <c r="Z32" t="str">
        <f t="shared" si="8"/>
        <v>A_CONTROLER</v>
      </c>
    </row>
    <row r="33" spans="2:26" x14ac:dyDescent="0.25">
      <c r="B33" t="str">
        <f t="shared" si="0"/>
        <v/>
      </c>
      <c r="C33" t="str">
        <f t="shared" si="1"/>
        <v/>
      </c>
      <c r="K33" t="str">
        <f t="shared" si="2"/>
        <v/>
      </c>
      <c r="N33" t="str">
        <f t="shared" si="3"/>
        <v/>
      </c>
      <c r="O33" t="str">
        <f t="shared" si="4"/>
        <v/>
      </c>
      <c r="Q33" t="str">
        <f t="shared" si="5"/>
        <v/>
      </c>
      <c r="V33" t="str">
        <f t="shared" si="6"/>
        <v/>
      </c>
      <c r="Y33" t="str">
        <f t="shared" si="7"/>
        <v>A_CONTROLER</v>
      </c>
      <c r="Z33" t="str">
        <f t="shared" si="8"/>
        <v>A_CONTROLER</v>
      </c>
    </row>
    <row r="34" spans="2:26" x14ac:dyDescent="0.25">
      <c r="B34" t="str">
        <f t="shared" si="0"/>
        <v/>
      </c>
      <c r="C34" t="str">
        <f t="shared" si="1"/>
        <v/>
      </c>
      <c r="K34" t="str">
        <f t="shared" si="2"/>
        <v/>
      </c>
      <c r="N34" t="str">
        <f t="shared" si="3"/>
        <v/>
      </c>
      <c r="O34" t="str">
        <f t="shared" si="4"/>
        <v/>
      </c>
      <c r="Q34" t="str">
        <f t="shared" si="5"/>
        <v/>
      </c>
      <c r="V34" t="str">
        <f t="shared" si="6"/>
        <v/>
      </c>
      <c r="Y34" t="str">
        <f t="shared" si="7"/>
        <v>A_CONTROLER</v>
      </c>
      <c r="Z34" t="str">
        <f t="shared" si="8"/>
        <v>A_CONTROLER</v>
      </c>
    </row>
    <row r="35" spans="2:26" x14ac:dyDescent="0.25">
      <c r="B35" t="str">
        <f t="shared" si="0"/>
        <v/>
      </c>
      <c r="C35" t="str">
        <f t="shared" si="1"/>
        <v/>
      </c>
      <c r="K35" t="str">
        <f t="shared" si="2"/>
        <v/>
      </c>
      <c r="N35" t="str">
        <f t="shared" si="3"/>
        <v/>
      </c>
      <c r="O35" t="str">
        <f t="shared" si="4"/>
        <v/>
      </c>
      <c r="Q35" t="str">
        <f t="shared" si="5"/>
        <v/>
      </c>
      <c r="V35" t="str">
        <f t="shared" si="6"/>
        <v/>
      </c>
      <c r="Y35" t="str">
        <f t="shared" si="7"/>
        <v>A_CONTROLER</v>
      </c>
      <c r="Z35" t="str">
        <f t="shared" si="8"/>
        <v>A_CONTROLER</v>
      </c>
    </row>
    <row r="36" spans="2:26" x14ac:dyDescent="0.25">
      <c r="B36" t="str">
        <f t="shared" si="0"/>
        <v/>
      </c>
      <c r="C36" t="str">
        <f t="shared" si="1"/>
        <v/>
      </c>
      <c r="K36" t="str">
        <f t="shared" si="2"/>
        <v/>
      </c>
      <c r="N36" t="str">
        <f t="shared" si="3"/>
        <v/>
      </c>
      <c r="O36" t="str">
        <f t="shared" si="4"/>
        <v/>
      </c>
      <c r="Q36" t="str">
        <f t="shared" si="5"/>
        <v/>
      </c>
      <c r="V36" t="str">
        <f t="shared" si="6"/>
        <v/>
      </c>
      <c r="Y36" t="str">
        <f t="shared" si="7"/>
        <v>A_CONTROLER</v>
      </c>
      <c r="Z36" t="str">
        <f t="shared" si="8"/>
        <v>A_CONTROLER</v>
      </c>
    </row>
    <row r="37" spans="2:26" x14ac:dyDescent="0.25">
      <c r="B37" t="str">
        <f t="shared" si="0"/>
        <v/>
      </c>
      <c r="C37" t="str">
        <f t="shared" si="1"/>
        <v/>
      </c>
      <c r="K37" t="str">
        <f t="shared" si="2"/>
        <v/>
      </c>
      <c r="N37" t="str">
        <f t="shared" si="3"/>
        <v/>
      </c>
      <c r="O37" t="str">
        <f t="shared" si="4"/>
        <v/>
      </c>
      <c r="Q37" t="str">
        <f t="shared" si="5"/>
        <v/>
      </c>
      <c r="V37" t="str">
        <f t="shared" si="6"/>
        <v/>
      </c>
      <c r="Y37" t="str">
        <f t="shared" si="7"/>
        <v>A_CONTROLER</v>
      </c>
      <c r="Z37" t="str">
        <f t="shared" si="8"/>
        <v>A_CONTROLER</v>
      </c>
    </row>
    <row r="38" spans="2:26" x14ac:dyDescent="0.25">
      <c r="B38" t="str">
        <f t="shared" si="0"/>
        <v/>
      </c>
      <c r="C38" t="str">
        <f t="shared" si="1"/>
        <v/>
      </c>
      <c r="K38" t="str">
        <f t="shared" si="2"/>
        <v/>
      </c>
      <c r="N38" t="str">
        <f t="shared" si="3"/>
        <v/>
      </c>
      <c r="O38" t="str">
        <f t="shared" si="4"/>
        <v/>
      </c>
      <c r="Q38" t="str">
        <f t="shared" si="5"/>
        <v/>
      </c>
      <c r="V38" t="str">
        <f t="shared" si="6"/>
        <v/>
      </c>
      <c r="Y38" t="str">
        <f t="shared" si="7"/>
        <v>A_CONTROLER</v>
      </c>
      <c r="Z38" t="str">
        <f t="shared" si="8"/>
        <v>A_CONTROLER</v>
      </c>
    </row>
    <row r="39" spans="2:26" x14ac:dyDescent="0.25">
      <c r="B39" t="str">
        <f t="shared" si="0"/>
        <v/>
      </c>
      <c r="C39" t="str">
        <f t="shared" si="1"/>
        <v/>
      </c>
      <c r="K39" t="str">
        <f t="shared" si="2"/>
        <v/>
      </c>
      <c r="N39" t="str">
        <f t="shared" si="3"/>
        <v/>
      </c>
      <c r="O39" t="str">
        <f t="shared" si="4"/>
        <v/>
      </c>
      <c r="Q39" t="str">
        <f t="shared" si="5"/>
        <v/>
      </c>
      <c r="V39" t="str">
        <f t="shared" si="6"/>
        <v/>
      </c>
      <c r="Y39" t="str">
        <f t="shared" si="7"/>
        <v>A_CONTROLER</v>
      </c>
      <c r="Z39" t="str">
        <f t="shared" si="8"/>
        <v>A_CONTROLER</v>
      </c>
    </row>
    <row r="40" spans="2:26" x14ac:dyDescent="0.25">
      <c r="B40" t="str">
        <f t="shared" si="0"/>
        <v/>
      </c>
      <c r="C40" t="str">
        <f t="shared" si="1"/>
        <v/>
      </c>
      <c r="K40" t="str">
        <f t="shared" si="2"/>
        <v/>
      </c>
      <c r="N40" t="str">
        <f t="shared" si="3"/>
        <v/>
      </c>
      <c r="O40" t="str">
        <f t="shared" si="4"/>
        <v/>
      </c>
      <c r="Q40" t="str">
        <f t="shared" si="5"/>
        <v/>
      </c>
      <c r="V40" t="str">
        <f t="shared" si="6"/>
        <v/>
      </c>
      <c r="Y40" t="str">
        <f t="shared" si="7"/>
        <v>A_CONTROLER</v>
      </c>
      <c r="Z40" t="str">
        <f t="shared" si="8"/>
        <v>A_CONTROLER</v>
      </c>
    </row>
    <row r="41" spans="2:26" x14ac:dyDescent="0.25">
      <c r="B41" t="str">
        <f t="shared" si="0"/>
        <v/>
      </c>
      <c r="C41" t="str">
        <f t="shared" si="1"/>
        <v/>
      </c>
      <c r="K41" t="str">
        <f t="shared" si="2"/>
        <v/>
      </c>
      <c r="N41" t="str">
        <f t="shared" si="3"/>
        <v/>
      </c>
      <c r="O41" t="str">
        <f t="shared" si="4"/>
        <v/>
      </c>
      <c r="Q41" t="str">
        <f t="shared" si="5"/>
        <v/>
      </c>
      <c r="V41" t="str">
        <f t="shared" si="6"/>
        <v/>
      </c>
      <c r="Y41" t="str">
        <f t="shared" si="7"/>
        <v>A_CONTROLER</v>
      </c>
      <c r="Z41" t="str">
        <f t="shared" si="8"/>
        <v>A_CONTROLER</v>
      </c>
    </row>
    <row r="42" spans="2:26" x14ac:dyDescent="0.25">
      <c r="B42" t="str">
        <f t="shared" si="0"/>
        <v/>
      </c>
      <c r="C42" t="str">
        <f t="shared" si="1"/>
        <v/>
      </c>
      <c r="K42" t="str">
        <f t="shared" si="2"/>
        <v/>
      </c>
      <c r="N42" t="str">
        <f t="shared" si="3"/>
        <v/>
      </c>
      <c r="O42" t="str">
        <f t="shared" si="4"/>
        <v/>
      </c>
      <c r="Q42" t="str">
        <f t="shared" si="5"/>
        <v/>
      </c>
      <c r="V42" t="str">
        <f t="shared" si="6"/>
        <v/>
      </c>
      <c r="Y42" t="str">
        <f t="shared" si="7"/>
        <v>A_CONTROLER</v>
      </c>
      <c r="Z42" t="str">
        <f t="shared" si="8"/>
        <v>A_CONTROLER</v>
      </c>
    </row>
    <row r="43" spans="2:26" x14ac:dyDescent="0.25">
      <c r="B43" t="str">
        <f t="shared" si="0"/>
        <v/>
      </c>
      <c r="C43" t="str">
        <f t="shared" si="1"/>
        <v/>
      </c>
      <c r="K43" t="str">
        <f t="shared" si="2"/>
        <v/>
      </c>
      <c r="N43" t="str">
        <f t="shared" si="3"/>
        <v/>
      </c>
      <c r="O43" t="str">
        <f t="shared" si="4"/>
        <v/>
      </c>
      <c r="Q43" t="str">
        <f t="shared" si="5"/>
        <v/>
      </c>
      <c r="V43" t="str">
        <f t="shared" si="6"/>
        <v/>
      </c>
      <c r="Y43" t="str">
        <f t="shared" si="7"/>
        <v>A_CONTROLER</v>
      </c>
      <c r="Z43" t="str">
        <f t="shared" si="8"/>
        <v>A_CONTROLER</v>
      </c>
    </row>
    <row r="44" spans="2:26" x14ac:dyDescent="0.25">
      <c r="B44" t="str">
        <f t="shared" si="0"/>
        <v/>
      </c>
      <c r="C44" t="str">
        <f t="shared" si="1"/>
        <v/>
      </c>
      <c r="K44" t="str">
        <f t="shared" si="2"/>
        <v/>
      </c>
      <c r="N44" t="str">
        <f t="shared" si="3"/>
        <v/>
      </c>
      <c r="O44" t="str">
        <f t="shared" si="4"/>
        <v/>
      </c>
      <c r="Q44" t="str">
        <f t="shared" si="5"/>
        <v/>
      </c>
      <c r="V44" t="str">
        <f t="shared" si="6"/>
        <v/>
      </c>
      <c r="Y44" t="str">
        <f t="shared" si="7"/>
        <v>A_CONTROLER</v>
      </c>
      <c r="Z44" t="str">
        <f t="shared" si="8"/>
        <v>A_CONTROLER</v>
      </c>
    </row>
    <row r="45" spans="2:26" x14ac:dyDescent="0.25">
      <c r="B45" t="str">
        <f t="shared" si="0"/>
        <v/>
      </c>
      <c r="C45" t="str">
        <f t="shared" si="1"/>
        <v/>
      </c>
      <c r="K45" t="str">
        <f t="shared" si="2"/>
        <v/>
      </c>
      <c r="N45" t="str">
        <f t="shared" si="3"/>
        <v/>
      </c>
      <c r="O45" t="str">
        <f t="shared" si="4"/>
        <v/>
      </c>
      <c r="Q45" t="str">
        <f t="shared" si="5"/>
        <v/>
      </c>
      <c r="V45" t="str">
        <f t="shared" si="6"/>
        <v/>
      </c>
      <c r="Y45" t="str">
        <f t="shared" si="7"/>
        <v>A_CONTROLER</v>
      </c>
      <c r="Z45" t="str">
        <f t="shared" si="8"/>
        <v>A_CONTROLER</v>
      </c>
    </row>
    <row r="46" spans="2:26" x14ac:dyDescent="0.25">
      <c r="B46" t="str">
        <f t="shared" si="0"/>
        <v/>
      </c>
      <c r="C46" t="str">
        <f t="shared" si="1"/>
        <v/>
      </c>
      <c r="K46" t="str">
        <f t="shared" si="2"/>
        <v/>
      </c>
      <c r="N46" t="str">
        <f t="shared" si="3"/>
        <v/>
      </c>
      <c r="O46" t="str">
        <f t="shared" si="4"/>
        <v/>
      </c>
      <c r="Q46" t="str">
        <f t="shared" si="5"/>
        <v/>
      </c>
      <c r="V46" t="str">
        <f t="shared" si="6"/>
        <v/>
      </c>
      <c r="Y46" t="str">
        <f t="shared" si="7"/>
        <v>A_CONTROLER</v>
      </c>
      <c r="Z46" t="str">
        <f t="shared" si="8"/>
        <v>A_CONTROLER</v>
      </c>
    </row>
    <row r="47" spans="2:26" x14ac:dyDescent="0.25">
      <c r="B47" t="str">
        <f t="shared" si="0"/>
        <v/>
      </c>
      <c r="C47" t="str">
        <f t="shared" si="1"/>
        <v/>
      </c>
      <c r="K47" t="str">
        <f t="shared" si="2"/>
        <v/>
      </c>
      <c r="N47" t="str">
        <f t="shared" si="3"/>
        <v/>
      </c>
      <c r="O47" t="str">
        <f t="shared" si="4"/>
        <v/>
      </c>
      <c r="Q47" t="str">
        <f t="shared" si="5"/>
        <v/>
      </c>
      <c r="V47" t="str">
        <f t="shared" si="6"/>
        <v/>
      </c>
      <c r="Y47" t="str">
        <f t="shared" si="7"/>
        <v>A_CONTROLER</v>
      </c>
      <c r="Z47" t="str">
        <f t="shared" si="8"/>
        <v>A_CONTROLER</v>
      </c>
    </row>
    <row r="48" spans="2:26" x14ac:dyDescent="0.25">
      <c r="B48" t="str">
        <f t="shared" si="0"/>
        <v/>
      </c>
      <c r="C48" t="str">
        <f t="shared" si="1"/>
        <v/>
      </c>
      <c r="K48" t="str">
        <f t="shared" si="2"/>
        <v/>
      </c>
      <c r="N48" t="str">
        <f t="shared" si="3"/>
        <v/>
      </c>
      <c r="O48" t="str">
        <f t="shared" si="4"/>
        <v/>
      </c>
      <c r="Q48" t="str">
        <f t="shared" si="5"/>
        <v/>
      </c>
      <c r="V48" t="str">
        <f t="shared" si="6"/>
        <v/>
      </c>
      <c r="Y48" t="str">
        <f t="shared" si="7"/>
        <v>A_CONTROLER</v>
      </c>
      <c r="Z48" t="str">
        <f t="shared" si="8"/>
        <v>A_CONTROLER</v>
      </c>
    </row>
    <row r="49" spans="2:26" x14ac:dyDescent="0.25">
      <c r="B49" t="str">
        <f t="shared" si="0"/>
        <v/>
      </c>
      <c r="C49" t="str">
        <f t="shared" si="1"/>
        <v/>
      </c>
      <c r="K49" t="str">
        <f t="shared" si="2"/>
        <v/>
      </c>
      <c r="N49" t="str">
        <f t="shared" si="3"/>
        <v/>
      </c>
      <c r="O49" t="str">
        <f t="shared" si="4"/>
        <v/>
      </c>
      <c r="Q49" t="str">
        <f t="shared" si="5"/>
        <v/>
      </c>
      <c r="V49" t="str">
        <f t="shared" si="6"/>
        <v/>
      </c>
      <c r="Y49" t="str">
        <f t="shared" si="7"/>
        <v>A_CONTROLER</v>
      </c>
      <c r="Z49" t="str">
        <f t="shared" si="8"/>
        <v>A_CONTROLER</v>
      </c>
    </row>
    <row r="50" spans="2:26" x14ac:dyDescent="0.25">
      <c r="B50" t="str">
        <f t="shared" si="0"/>
        <v/>
      </c>
      <c r="C50" t="str">
        <f t="shared" si="1"/>
        <v/>
      </c>
      <c r="K50" t="str">
        <f t="shared" si="2"/>
        <v/>
      </c>
      <c r="N50" t="str">
        <f t="shared" si="3"/>
        <v/>
      </c>
      <c r="O50" t="str">
        <f t="shared" si="4"/>
        <v/>
      </c>
      <c r="Q50" t="str">
        <f t="shared" si="5"/>
        <v/>
      </c>
      <c r="V50" t="str">
        <f t="shared" si="6"/>
        <v/>
      </c>
      <c r="Y50" t="str">
        <f t="shared" si="7"/>
        <v>A_CONTROLER</v>
      </c>
      <c r="Z50" t="str">
        <f t="shared" si="8"/>
        <v>A_CONTROLER</v>
      </c>
    </row>
    <row r="51" spans="2:26" x14ac:dyDescent="0.25">
      <c r="B51" t="str">
        <f t="shared" si="0"/>
        <v/>
      </c>
      <c r="C51" t="str">
        <f t="shared" si="1"/>
        <v/>
      </c>
      <c r="K51" t="str">
        <f t="shared" si="2"/>
        <v/>
      </c>
      <c r="N51" t="str">
        <f t="shared" si="3"/>
        <v/>
      </c>
      <c r="O51" t="str">
        <f t="shared" si="4"/>
        <v/>
      </c>
      <c r="Q51" t="str">
        <f t="shared" si="5"/>
        <v/>
      </c>
      <c r="V51" t="str">
        <f t="shared" si="6"/>
        <v/>
      </c>
      <c r="Y51" t="str">
        <f t="shared" si="7"/>
        <v>A_CONTROLER</v>
      </c>
      <c r="Z51" t="str">
        <f t="shared" si="8"/>
        <v>A_CONTROLER</v>
      </c>
    </row>
    <row r="52" spans="2:26" x14ac:dyDescent="0.25">
      <c r="B52" t="str">
        <f t="shared" si="0"/>
        <v/>
      </c>
      <c r="C52" t="str">
        <f t="shared" si="1"/>
        <v/>
      </c>
      <c r="K52" t="str">
        <f t="shared" si="2"/>
        <v/>
      </c>
      <c r="N52" t="str">
        <f t="shared" si="3"/>
        <v/>
      </c>
      <c r="O52" t="str">
        <f t="shared" si="4"/>
        <v/>
      </c>
      <c r="Q52" t="str">
        <f t="shared" si="5"/>
        <v/>
      </c>
      <c r="V52" t="str">
        <f t="shared" si="6"/>
        <v/>
      </c>
      <c r="Y52" t="str">
        <f t="shared" si="7"/>
        <v>A_CONTROLER</v>
      </c>
      <c r="Z52" t="str">
        <f t="shared" si="8"/>
        <v>A_CONTROLER</v>
      </c>
    </row>
    <row r="53" spans="2:26" x14ac:dyDescent="0.25">
      <c r="B53" t="str">
        <f t="shared" si="0"/>
        <v/>
      </c>
      <c r="C53" t="str">
        <f t="shared" si="1"/>
        <v/>
      </c>
      <c r="K53" t="str">
        <f t="shared" si="2"/>
        <v/>
      </c>
      <c r="N53" t="str">
        <f t="shared" si="3"/>
        <v/>
      </c>
      <c r="O53" t="str">
        <f t="shared" si="4"/>
        <v/>
      </c>
      <c r="Q53" t="str">
        <f t="shared" si="5"/>
        <v/>
      </c>
      <c r="V53" t="str">
        <f t="shared" si="6"/>
        <v/>
      </c>
      <c r="Y53" t="str">
        <f t="shared" si="7"/>
        <v>A_CONTROLER</v>
      </c>
      <c r="Z53" t="str">
        <f t="shared" si="8"/>
        <v>A_CONTROLER</v>
      </c>
    </row>
    <row r="54" spans="2:26" x14ac:dyDescent="0.25">
      <c r="B54" t="str">
        <f t="shared" si="0"/>
        <v/>
      </c>
      <c r="C54" t="str">
        <f t="shared" si="1"/>
        <v/>
      </c>
      <c r="K54" t="str">
        <f t="shared" si="2"/>
        <v/>
      </c>
      <c r="N54" t="str">
        <f t="shared" si="3"/>
        <v/>
      </c>
      <c r="O54" t="str">
        <f t="shared" si="4"/>
        <v/>
      </c>
      <c r="Q54" t="str">
        <f t="shared" si="5"/>
        <v/>
      </c>
      <c r="V54" t="str">
        <f t="shared" si="6"/>
        <v/>
      </c>
      <c r="Y54" t="str">
        <f t="shared" si="7"/>
        <v>A_CONTROLER</v>
      </c>
      <c r="Z54" t="str">
        <f t="shared" si="8"/>
        <v>A_CONTROLER</v>
      </c>
    </row>
    <row r="55" spans="2:26" x14ac:dyDescent="0.25">
      <c r="B55" t="str">
        <f t="shared" si="0"/>
        <v/>
      </c>
      <c r="C55" t="str">
        <f t="shared" si="1"/>
        <v/>
      </c>
      <c r="K55" t="str">
        <f t="shared" si="2"/>
        <v/>
      </c>
      <c r="N55" t="str">
        <f t="shared" si="3"/>
        <v/>
      </c>
      <c r="O55" t="str">
        <f t="shared" si="4"/>
        <v/>
      </c>
      <c r="Q55" t="str">
        <f t="shared" si="5"/>
        <v/>
      </c>
      <c r="V55" t="str">
        <f t="shared" si="6"/>
        <v/>
      </c>
      <c r="Y55" t="str">
        <f t="shared" si="7"/>
        <v>A_CONTROLER</v>
      </c>
      <c r="Z55" t="str">
        <f t="shared" si="8"/>
        <v>A_CONTROLER</v>
      </c>
    </row>
    <row r="56" spans="2:26" x14ac:dyDescent="0.25">
      <c r="B56" t="str">
        <f t="shared" si="0"/>
        <v/>
      </c>
      <c r="C56" t="str">
        <f t="shared" si="1"/>
        <v/>
      </c>
      <c r="K56" t="str">
        <f t="shared" si="2"/>
        <v/>
      </c>
      <c r="N56" t="str">
        <f t="shared" si="3"/>
        <v/>
      </c>
      <c r="O56" t="str">
        <f t="shared" si="4"/>
        <v/>
      </c>
      <c r="Q56" t="str">
        <f t="shared" si="5"/>
        <v/>
      </c>
      <c r="V56" t="str">
        <f t="shared" si="6"/>
        <v/>
      </c>
      <c r="Y56" t="str">
        <f t="shared" si="7"/>
        <v>A_CONTROLER</v>
      </c>
      <c r="Z56" t="str">
        <f t="shared" si="8"/>
        <v>A_CONTROLER</v>
      </c>
    </row>
    <row r="57" spans="2:26" x14ac:dyDescent="0.25">
      <c r="B57" t="str">
        <f t="shared" si="0"/>
        <v/>
      </c>
      <c r="C57" t="str">
        <f t="shared" si="1"/>
        <v/>
      </c>
      <c r="K57" t="str">
        <f t="shared" si="2"/>
        <v/>
      </c>
      <c r="N57" t="str">
        <f t="shared" si="3"/>
        <v/>
      </c>
      <c r="O57" t="str">
        <f t="shared" si="4"/>
        <v/>
      </c>
      <c r="Q57" t="str">
        <f t="shared" si="5"/>
        <v/>
      </c>
      <c r="V57" t="str">
        <f t="shared" si="6"/>
        <v/>
      </c>
      <c r="Y57" t="str">
        <f t="shared" si="7"/>
        <v>A_CONTROLER</v>
      </c>
      <c r="Z57" t="str">
        <f t="shared" si="8"/>
        <v>A_CONTROLER</v>
      </c>
    </row>
    <row r="58" spans="2:26" x14ac:dyDescent="0.25">
      <c r="B58" t="str">
        <f t="shared" si="0"/>
        <v/>
      </c>
      <c r="C58" t="str">
        <f t="shared" si="1"/>
        <v/>
      </c>
      <c r="K58" t="str">
        <f t="shared" si="2"/>
        <v/>
      </c>
      <c r="N58" t="str">
        <f t="shared" si="3"/>
        <v/>
      </c>
      <c r="O58" t="str">
        <f t="shared" si="4"/>
        <v/>
      </c>
      <c r="Q58" t="str">
        <f t="shared" si="5"/>
        <v/>
      </c>
      <c r="V58" t="str">
        <f t="shared" si="6"/>
        <v/>
      </c>
      <c r="Y58" t="str">
        <f t="shared" si="7"/>
        <v>A_CONTROLER</v>
      </c>
      <c r="Z58" t="str">
        <f t="shared" si="8"/>
        <v>A_CONTROLER</v>
      </c>
    </row>
    <row r="59" spans="2:26" x14ac:dyDescent="0.25">
      <c r="B59" t="str">
        <f t="shared" si="0"/>
        <v/>
      </c>
      <c r="C59" t="str">
        <f t="shared" si="1"/>
        <v/>
      </c>
      <c r="K59" t="str">
        <f t="shared" si="2"/>
        <v/>
      </c>
      <c r="N59" t="str">
        <f t="shared" si="3"/>
        <v/>
      </c>
      <c r="O59" t="str">
        <f t="shared" si="4"/>
        <v/>
      </c>
      <c r="Q59" t="str">
        <f t="shared" si="5"/>
        <v/>
      </c>
      <c r="V59" t="str">
        <f t="shared" si="6"/>
        <v/>
      </c>
      <c r="Y59" t="str">
        <f t="shared" si="7"/>
        <v>A_CONTROLER</v>
      </c>
      <c r="Z59" t="str">
        <f t="shared" si="8"/>
        <v>A_CONTROLER</v>
      </c>
    </row>
    <row r="60" spans="2:26" x14ac:dyDescent="0.25">
      <c r="B60" t="str">
        <f t="shared" si="0"/>
        <v/>
      </c>
      <c r="C60" t="str">
        <f t="shared" si="1"/>
        <v/>
      </c>
      <c r="K60" t="str">
        <f t="shared" si="2"/>
        <v/>
      </c>
      <c r="N60" t="str">
        <f t="shared" si="3"/>
        <v/>
      </c>
      <c r="O60" t="str">
        <f t="shared" si="4"/>
        <v/>
      </c>
      <c r="Q60" t="str">
        <f t="shared" si="5"/>
        <v/>
      </c>
      <c r="V60" t="str">
        <f t="shared" si="6"/>
        <v/>
      </c>
      <c r="Y60" t="str">
        <f t="shared" si="7"/>
        <v>A_CONTROLER</v>
      </c>
      <c r="Z60" t="str">
        <f t="shared" si="8"/>
        <v>A_CONTROLER</v>
      </c>
    </row>
    <row r="61" spans="2:26" x14ac:dyDescent="0.25">
      <c r="B61" t="str">
        <f t="shared" si="0"/>
        <v/>
      </c>
      <c r="C61" t="str">
        <f t="shared" si="1"/>
        <v/>
      </c>
      <c r="K61" t="str">
        <f t="shared" si="2"/>
        <v/>
      </c>
      <c r="N61" t="str">
        <f t="shared" si="3"/>
        <v/>
      </c>
      <c r="O61" t="str">
        <f t="shared" si="4"/>
        <v/>
      </c>
      <c r="Q61" t="str">
        <f t="shared" si="5"/>
        <v/>
      </c>
      <c r="V61" t="str">
        <f t="shared" si="6"/>
        <v/>
      </c>
      <c r="Y61" t="str">
        <f t="shared" si="7"/>
        <v>A_CONTROLER</v>
      </c>
      <c r="Z61" t="str">
        <f t="shared" si="8"/>
        <v>A_CONTROLER</v>
      </c>
    </row>
    <row r="62" spans="2:26" x14ac:dyDescent="0.25">
      <c r="B62" t="str">
        <f t="shared" si="0"/>
        <v/>
      </c>
      <c r="C62" t="str">
        <f t="shared" si="1"/>
        <v/>
      </c>
      <c r="K62" t="str">
        <f t="shared" si="2"/>
        <v/>
      </c>
      <c r="N62" t="str">
        <f t="shared" si="3"/>
        <v/>
      </c>
      <c r="O62" t="str">
        <f t="shared" si="4"/>
        <v/>
      </c>
      <c r="Q62" t="str">
        <f t="shared" si="5"/>
        <v/>
      </c>
      <c r="V62" t="str">
        <f t="shared" si="6"/>
        <v/>
      </c>
      <c r="Y62" t="str">
        <f t="shared" si="7"/>
        <v>A_CONTROLER</v>
      </c>
      <c r="Z62" t="str">
        <f t="shared" si="8"/>
        <v>A_CONTROLER</v>
      </c>
    </row>
    <row r="63" spans="2:26" x14ac:dyDescent="0.25">
      <c r="B63" t="str">
        <f t="shared" si="0"/>
        <v/>
      </c>
      <c r="C63" t="str">
        <f t="shared" si="1"/>
        <v/>
      </c>
      <c r="K63" t="str">
        <f t="shared" si="2"/>
        <v/>
      </c>
      <c r="N63" t="str">
        <f t="shared" si="3"/>
        <v/>
      </c>
      <c r="O63" t="str">
        <f t="shared" si="4"/>
        <v/>
      </c>
      <c r="Q63" t="str">
        <f t="shared" si="5"/>
        <v/>
      </c>
      <c r="V63" t="str">
        <f t="shared" si="6"/>
        <v/>
      </c>
      <c r="Y63" t="str">
        <f t="shared" si="7"/>
        <v>A_CONTROLER</v>
      </c>
      <c r="Z63" t="str">
        <f t="shared" si="8"/>
        <v>A_CONTROLER</v>
      </c>
    </row>
    <row r="64" spans="2:26" x14ac:dyDescent="0.25">
      <c r="B64" t="str">
        <f t="shared" si="0"/>
        <v/>
      </c>
      <c r="C64" t="str">
        <f t="shared" si="1"/>
        <v/>
      </c>
      <c r="K64" t="str">
        <f t="shared" si="2"/>
        <v/>
      </c>
      <c r="N64" t="str">
        <f t="shared" si="3"/>
        <v/>
      </c>
      <c r="O64" t="str">
        <f t="shared" si="4"/>
        <v/>
      </c>
      <c r="Q64" t="str">
        <f t="shared" si="5"/>
        <v/>
      </c>
      <c r="V64" t="str">
        <f t="shared" si="6"/>
        <v/>
      </c>
      <c r="Y64" t="str">
        <f t="shared" si="7"/>
        <v>A_CONTROLER</v>
      </c>
      <c r="Z64" t="str">
        <f t="shared" si="8"/>
        <v>A_CONTROLER</v>
      </c>
    </row>
    <row r="65" spans="2:26" x14ac:dyDescent="0.25">
      <c r="B65" t="str">
        <f t="shared" si="0"/>
        <v/>
      </c>
      <c r="C65" t="str">
        <f t="shared" si="1"/>
        <v/>
      </c>
      <c r="K65" t="str">
        <f t="shared" si="2"/>
        <v/>
      </c>
      <c r="N65" t="str">
        <f t="shared" si="3"/>
        <v/>
      </c>
      <c r="O65" t="str">
        <f t="shared" si="4"/>
        <v/>
      </c>
      <c r="Q65" t="str">
        <f t="shared" si="5"/>
        <v/>
      </c>
      <c r="V65" t="str">
        <f t="shared" si="6"/>
        <v/>
      </c>
      <c r="Y65" t="str">
        <f t="shared" si="7"/>
        <v>A_CONTROLER</v>
      </c>
      <c r="Z65" t="str">
        <f t="shared" si="8"/>
        <v>A_CONTROLER</v>
      </c>
    </row>
    <row r="66" spans="2:26" x14ac:dyDescent="0.25">
      <c r="B66" t="str">
        <f t="shared" ref="B66:B129" si="9">IF(A66="","",A66&amp;"|"&amp;D66&amp;"|"&amp;F66&amp;"|"&amp;G66&amp;"|"&amp;IF(I66="","",YEAR(I66)&amp;RIGHT("0"&amp;MONTH(I66),2)&amp;RIGHT("0"&amp;DAY(I66),2))&amp;"|"&amp;IF(L66="","",IF(ROUND(L66*100,0)&lt;0,"-","")&amp;INT(ABS(ROUND(L66*100,0))/100)&amp;"."&amp;RIGHT("0"&amp;MOD(ABS(ROUND(L66*100,0)),100),2)))</f>
        <v/>
      </c>
      <c r="C66" t="str">
        <f t="shared" ref="C66:C129" si="10">IF(I66="","",YEAR(I66)&amp;"-"&amp;RIGHT("0"&amp;MONTH(I66),2))</f>
        <v/>
      </c>
      <c r="K66" t="str">
        <f t="shared" ref="K66:K129" si="11">IF(OR(I66="",J66=""),"",J66-I66)</f>
        <v/>
      </c>
      <c r="N66" t="str">
        <f t="shared" ref="N66:N129" si="12">IF(F66="","",IFERROR(VLOOKUP(F66,lst_PropTauxLookup,2,0),""))</f>
        <v/>
      </c>
      <c r="O66" t="str">
        <f t="shared" ref="O66:O129" si="13">IF(F66="","",IF(ISNUMBER(IFERROR(VLOOKUP(F66,lst_PropTauxLookup,2,0),"")),"REF_PROPRIETAIRE","A_CONTROLER"))</f>
        <v/>
      </c>
      <c r="Q66" t="str">
        <f t="shared" ref="Q66:Q129" si="14">IF(OR(L66="",N66=""),"",IFERROR((L66-IF(M66="",0,M66))*N66,0))</f>
        <v/>
      </c>
      <c r="V66" t="str">
        <f t="shared" ref="V66:V129" si="15">IF(L66="","",L66-IF(M66="",0,M66)-IF(Q66="",0,Q66)-IF(T66="",0,T66))</f>
        <v/>
      </c>
      <c r="Y66" t="str">
        <f t="shared" ref="Y66:Y129" si="16">IF(W66="IC","OUI",IF(W66="HC","OUI",IF(W66="HR","NON","A_CONTROLER")))</f>
        <v>A_CONTROLER</v>
      </c>
      <c r="Z66" t="str">
        <f t="shared" ref="Z66:Z129" si="17">IF(W66="IC","OUI",IF(W66="HC","NON",IF(W66="HR","NON","A_CONTROLER")))</f>
        <v>A_CONTROLER</v>
      </c>
    </row>
    <row r="67" spans="2:26" x14ac:dyDescent="0.25">
      <c r="B67" t="str">
        <f t="shared" si="9"/>
        <v/>
      </c>
      <c r="C67" t="str">
        <f t="shared" si="10"/>
        <v/>
      </c>
      <c r="K67" t="str">
        <f t="shared" si="11"/>
        <v/>
      </c>
      <c r="N67" t="str">
        <f t="shared" si="12"/>
        <v/>
      </c>
      <c r="O67" t="str">
        <f t="shared" si="13"/>
        <v/>
      </c>
      <c r="Q67" t="str">
        <f t="shared" si="14"/>
        <v/>
      </c>
      <c r="V67" t="str">
        <f t="shared" si="15"/>
        <v/>
      </c>
      <c r="Y67" t="str">
        <f t="shared" si="16"/>
        <v>A_CONTROLER</v>
      </c>
      <c r="Z67" t="str">
        <f t="shared" si="17"/>
        <v>A_CONTROLER</v>
      </c>
    </row>
    <row r="68" spans="2:26" x14ac:dyDescent="0.25">
      <c r="B68" t="str">
        <f t="shared" si="9"/>
        <v/>
      </c>
      <c r="C68" t="str">
        <f t="shared" si="10"/>
        <v/>
      </c>
      <c r="K68" t="str">
        <f t="shared" si="11"/>
        <v/>
      </c>
      <c r="N68" t="str">
        <f t="shared" si="12"/>
        <v/>
      </c>
      <c r="O68" t="str">
        <f t="shared" si="13"/>
        <v/>
      </c>
      <c r="Q68" t="str">
        <f t="shared" si="14"/>
        <v/>
      </c>
      <c r="V68" t="str">
        <f t="shared" si="15"/>
        <v/>
      </c>
      <c r="Y68" t="str">
        <f t="shared" si="16"/>
        <v>A_CONTROLER</v>
      </c>
      <c r="Z68" t="str">
        <f t="shared" si="17"/>
        <v>A_CONTROLER</v>
      </c>
    </row>
    <row r="69" spans="2:26" x14ac:dyDescent="0.25">
      <c r="B69" t="str">
        <f t="shared" si="9"/>
        <v/>
      </c>
      <c r="C69" t="str">
        <f t="shared" si="10"/>
        <v/>
      </c>
      <c r="K69" t="str">
        <f t="shared" si="11"/>
        <v/>
      </c>
      <c r="N69" t="str">
        <f t="shared" si="12"/>
        <v/>
      </c>
      <c r="O69" t="str">
        <f t="shared" si="13"/>
        <v/>
      </c>
      <c r="Q69" t="str">
        <f t="shared" si="14"/>
        <v/>
      </c>
      <c r="V69" t="str">
        <f t="shared" si="15"/>
        <v/>
      </c>
      <c r="Y69" t="str">
        <f t="shared" si="16"/>
        <v>A_CONTROLER</v>
      </c>
      <c r="Z69" t="str">
        <f t="shared" si="17"/>
        <v>A_CONTROLER</v>
      </c>
    </row>
    <row r="70" spans="2:26" x14ac:dyDescent="0.25">
      <c r="B70" t="str">
        <f t="shared" si="9"/>
        <v/>
      </c>
      <c r="C70" t="str">
        <f t="shared" si="10"/>
        <v/>
      </c>
      <c r="K70" t="str">
        <f t="shared" si="11"/>
        <v/>
      </c>
      <c r="N70" t="str">
        <f t="shared" si="12"/>
        <v/>
      </c>
      <c r="O70" t="str">
        <f t="shared" si="13"/>
        <v/>
      </c>
      <c r="Q70" t="str">
        <f t="shared" si="14"/>
        <v/>
      </c>
      <c r="V70" t="str">
        <f t="shared" si="15"/>
        <v/>
      </c>
      <c r="Y70" t="str">
        <f t="shared" si="16"/>
        <v>A_CONTROLER</v>
      </c>
      <c r="Z70" t="str">
        <f t="shared" si="17"/>
        <v>A_CONTROLER</v>
      </c>
    </row>
    <row r="71" spans="2:26" x14ac:dyDescent="0.25">
      <c r="B71" t="str">
        <f t="shared" si="9"/>
        <v/>
      </c>
      <c r="C71" t="str">
        <f t="shared" si="10"/>
        <v/>
      </c>
      <c r="K71" t="str">
        <f t="shared" si="11"/>
        <v/>
      </c>
      <c r="N71" t="str">
        <f t="shared" si="12"/>
        <v/>
      </c>
      <c r="O71" t="str">
        <f t="shared" si="13"/>
        <v/>
      </c>
      <c r="Q71" t="str">
        <f t="shared" si="14"/>
        <v/>
      </c>
      <c r="V71" t="str">
        <f t="shared" si="15"/>
        <v/>
      </c>
      <c r="Y71" t="str">
        <f t="shared" si="16"/>
        <v>A_CONTROLER</v>
      </c>
      <c r="Z71" t="str">
        <f t="shared" si="17"/>
        <v>A_CONTROLER</v>
      </c>
    </row>
    <row r="72" spans="2:26" x14ac:dyDescent="0.25">
      <c r="B72" t="str">
        <f t="shared" si="9"/>
        <v/>
      </c>
      <c r="C72" t="str">
        <f t="shared" si="10"/>
        <v/>
      </c>
      <c r="K72" t="str">
        <f t="shared" si="11"/>
        <v/>
      </c>
      <c r="N72" t="str">
        <f t="shared" si="12"/>
        <v/>
      </c>
      <c r="O72" t="str">
        <f t="shared" si="13"/>
        <v/>
      </c>
      <c r="Q72" t="str">
        <f t="shared" si="14"/>
        <v/>
      </c>
      <c r="V72" t="str">
        <f t="shared" si="15"/>
        <v/>
      </c>
      <c r="Y72" t="str">
        <f t="shared" si="16"/>
        <v>A_CONTROLER</v>
      </c>
      <c r="Z72" t="str">
        <f t="shared" si="17"/>
        <v>A_CONTROLER</v>
      </c>
    </row>
    <row r="73" spans="2:26" x14ac:dyDescent="0.25">
      <c r="B73" t="str">
        <f t="shared" si="9"/>
        <v/>
      </c>
      <c r="C73" t="str">
        <f t="shared" si="10"/>
        <v/>
      </c>
      <c r="K73" t="str">
        <f t="shared" si="11"/>
        <v/>
      </c>
      <c r="N73" t="str">
        <f t="shared" si="12"/>
        <v/>
      </c>
      <c r="O73" t="str">
        <f t="shared" si="13"/>
        <v/>
      </c>
      <c r="Q73" t="str">
        <f t="shared" si="14"/>
        <v/>
      </c>
      <c r="V73" t="str">
        <f t="shared" si="15"/>
        <v/>
      </c>
      <c r="Y73" t="str">
        <f t="shared" si="16"/>
        <v>A_CONTROLER</v>
      </c>
      <c r="Z73" t="str">
        <f t="shared" si="17"/>
        <v>A_CONTROLER</v>
      </c>
    </row>
    <row r="74" spans="2:26" x14ac:dyDescent="0.25">
      <c r="B74" t="str">
        <f t="shared" si="9"/>
        <v/>
      </c>
      <c r="C74" t="str">
        <f t="shared" si="10"/>
        <v/>
      </c>
      <c r="K74" t="str">
        <f t="shared" si="11"/>
        <v/>
      </c>
      <c r="N74" t="str">
        <f t="shared" si="12"/>
        <v/>
      </c>
      <c r="O74" t="str">
        <f t="shared" si="13"/>
        <v/>
      </c>
      <c r="Q74" t="str">
        <f t="shared" si="14"/>
        <v/>
      </c>
      <c r="V74" t="str">
        <f t="shared" si="15"/>
        <v/>
      </c>
      <c r="Y74" t="str">
        <f t="shared" si="16"/>
        <v>A_CONTROLER</v>
      </c>
      <c r="Z74" t="str">
        <f t="shared" si="17"/>
        <v>A_CONTROLER</v>
      </c>
    </row>
    <row r="75" spans="2:26" x14ac:dyDescent="0.25">
      <c r="B75" t="str">
        <f t="shared" si="9"/>
        <v/>
      </c>
      <c r="C75" t="str">
        <f t="shared" si="10"/>
        <v/>
      </c>
      <c r="K75" t="str">
        <f t="shared" si="11"/>
        <v/>
      </c>
      <c r="N75" t="str">
        <f t="shared" si="12"/>
        <v/>
      </c>
      <c r="O75" t="str">
        <f t="shared" si="13"/>
        <v/>
      </c>
      <c r="Q75" t="str">
        <f t="shared" si="14"/>
        <v/>
      </c>
      <c r="V75" t="str">
        <f t="shared" si="15"/>
        <v/>
      </c>
      <c r="Y75" t="str">
        <f t="shared" si="16"/>
        <v>A_CONTROLER</v>
      </c>
      <c r="Z75" t="str">
        <f t="shared" si="17"/>
        <v>A_CONTROLER</v>
      </c>
    </row>
    <row r="76" spans="2:26" x14ac:dyDescent="0.25">
      <c r="B76" t="str">
        <f t="shared" si="9"/>
        <v/>
      </c>
      <c r="C76" t="str">
        <f t="shared" si="10"/>
        <v/>
      </c>
      <c r="K76" t="str">
        <f t="shared" si="11"/>
        <v/>
      </c>
      <c r="N76" t="str">
        <f t="shared" si="12"/>
        <v/>
      </c>
      <c r="O76" t="str">
        <f t="shared" si="13"/>
        <v/>
      </c>
      <c r="Q76" t="str">
        <f t="shared" si="14"/>
        <v/>
      </c>
      <c r="V76" t="str">
        <f t="shared" si="15"/>
        <v/>
      </c>
      <c r="Y76" t="str">
        <f t="shared" si="16"/>
        <v>A_CONTROLER</v>
      </c>
      <c r="Z76" t="str">
        <f t="shared" si="17"/>
        <v>A_CONTROLER</v>
      </c>
    </row>
    <row r="77" spans="2:26" x14ac:dyDescent="0.25">
      <c r="B77" t="str">
        <f t="shared" si="9"/>
        <v/>
      </c>
      <c r="C77" t="str">
        <f t="shared" si="10"/>
        <v/>
      </c>
      <c r="K77" t="str">
        <f t="shared" si="11"/>
        <v/>
      </c>
      <c r="N77" t="str">
        <f t="shared" si="12"/>
        <v/>
      </c>
      <c r="O77" t="str">
        <f t="shared" si="13"/>
        <v/>
      </c>
      <c r="Q77" t="str">
        <f t="shared" si="14"/>
        <v/>
      </c>
      <c r="V77" t="str">
        <f t="shared" si="15"/>
        <v/>
      </c>
      <c r="Y77" t="str">
        <f t="shared" si="16"/>
        <v>A_CONTROLER</v>
      </c>
      <c r="Z77" t="str">
        <f t="shared" si="17"/>
        <v>A_CONTROLER</v>
      </c>
    </row>
    <row r="78" spans="2:26" x14ac:dyDescent="0.25">
      <c r="B78" t="str">
        <f t="shared" si="9"/>
        <v/>
      </c>
      <c r="C78" t="str">
        <f t="shared" si="10"/>
        <v/>
      </c>
      <c r="K78" t="str">
        <f t="shared" si="11"/>
        <v/>
      </c>
      <c r="N78" t="str">
        <f t="shared" si="12"/>
        <v/>
      </c>
      <c r="O78" t="str">
        <f t="shared" si="13"/>
        <v/>
      </c>
      <c r="Q78" t="str">
        <f t="shared" si="14"/>
        <v/>
      </c>
      <c r="V78" t="str">
        <f t="shared" si="15"/>
        <v/>
      </c>
      <c r="Y78" t="str">
        <f t="shared" si="16"/>
        <v>A_CONTROLER</v>
      </c>
      <c r="Z78" t="str">
        <f t="shared" si="17"/>
        <v>A_CONTROLER</v>
      </c>
    </row>
    <row r="79" spans="2:26" x14ac:dyDescent="0.25">
      <c r="B79" t="str">
        <f t="shared" si="9"/>
        <v/>
      </c>
      <c r="C79" t="str">
        <f t="shared" si="10"/>
        <v/>
      </c>
      <c r="K79" t="str">
        <f t="shared" si="11"/>
        <v/>
      </c>
      <c r="N79" t="str">
        <f t="shared" si="12"/>
        <v/>
      </c>
      <c r="O79" t="str">
        <f t="shared" si="13"/>
        <v/>
      </c>
      <c r="Q79" t="str">
        <f t="shared" si="14"/>
        <v/>
      </c>
      <c r="V79" t="str">
        <f t="shared" si="15"/>
        <v/>
      </c>
      <c r="Y79" t="str">
        <f t="shared" si="16"/>
        <v>A_CONTROLER</v>
      </c>
      <c r="Z79" t="str">
        <f t="shared" si="17"/>
        <v>A_CONTROLER</v>
      </c>
    </row>
    <row r="80" spans="2:26" x14ac:dyDescent="0.25">
      <c r="B80" t="str">
        <f t="shared" si="9"/>
        <v/>
      </c>
      <c r="C80" t="str">
        <f t="shared" si="10"/>
        <v/>
      </c>
      <c r="K80" t="str">
        <f t="shared" si="11"/>
        <v/>
      </c>
      <c r="N80" t="str">
        <f t="shared" si="12"/>
        <v/>
      </c>
      <c r="O80" t="str">
        <f t="shared" si="13"/>
        <v/>
      </c>
      <c r="Q80" t="str">
        <f t="shared" si="14"/>
        <v/>
      </c>
      <c r="V80" t="str">
        <f t="shared" si="15"/>
        <v/>
      </c>
      <c r="Y80" t="str">
        <f t="shared" si="16"/>
        <v>A_CONTROLER</v>
      </c>
      <c r="Z80" t="str">
        <f t="shared" si="17"/>
        <v>A_CONTROLER</v>
      </c>
    </row>
    <row r="81" spans="2:26" x14ac:dyDescent="0.25">
      <c r="B81" t="str">
        <f t="shared" si="9"/>
        <v/>
      </c>
      <c r="C81" t="str">
        <f t="shared" si="10"/>
        <v/>
      </c>
      <c r="K81" t="str">
        <f t="shared" si="11"/>
        <v/>
      </c>
      <c r="N81" t="str">
        <f t="shared" si="12"/>
        <v/>
      </c>
      <c r="O81" t="str">
        <f t="shared" si="13"/>
        <v/>
      </c>
      <c r="Q81" t="str">
        <f t="shared" si="14"/>
        <v/>
      </c>
      <c r="V81" t="str">
        <f t="shared" si="15"/>
        <v/>
      </c>
      <c r="Y81" t="str">
        <f t="shared" si="16"/>
        <v>A_CONTROLER</v>
      </c>
      <c r="Z81" t="str">
        <f t="shared" si="17"/>
        <v>A_CONTROLER</v>
      </c>
    </row>
    <row r="82" spans="2:26" x14ac:dyDescent="0.25">
      <c r="B82" t="str">
        <f t="shared" si="9"/>
        <v/>
      </c>
      <c r="C82" t="str">
        <f t="shared" si="10"/>
        <v/>
      </c>
      <c r="K82" t="str">
        <f t="shared" si="11"/>
        <v/>
      </c>
      <c r="N82" t="str">
        <f t="shared" si="12"/>
        <v/>
      </c>
      <c r="O82" t="str">
        <f t="shared" si="13"/>
        <v/>
      </c>
      <c r="Q82" t="str">
        <f t="shared" si="14"/>
        <v/>
      </c>
      <c r="V82" t="str">
        <f t="shared" si="15"/>
        <v/>
      </c>
      <c r="Y82" t="str">
        <f t="shared" si="16"/>
        <v>A_CONTROLER</v>
      </c>
      <c r="Z82" t="str">
        <f t="shared" si="17"/>
        <v>A_CONTROLER</v>
      </c>
    </row>
    <row r="83" spans="2:26" x14ac:dyDescent="0.25">
      <c r="B83" t="str">
        <f t="shared" si="9"/>
        <v/>
      </c>
      <c r="C83" t="str">
        <f t="shared" si="10"/>
        <v/>
      </c>
      <c r="K83" t="str">
        <f t="shared" si="11"/>
        <v/>
      </c>
      <c r="N83" t="str">
        <f t="shared" si="12"/>
        <v/>
      </c>
      <c r="O83" t="str">
        <f t="shared" si="13"/>
        <v/>
      </c>
      <c r="Q83" t="str">
        <f t="shared" si="14"/>
        <v/>
      </c>
      <c r="V83" t="str">
        <f t="shared" si="15"/>
        <v/>
      </c>
      <c r="Y83" t="str">
        <f t="shared" si="16"/>
        <v>A_CONTROLER</v>
      </c>
      <c r="Z83" t="str">
        <f t="shared" si="17"/>
        <v>A_CONTROLER</v>
      </c>
    </row>
    <row r="84" spans="2:26" x14ac:dyDescent="0.25">
      <c r="B84" t="str">
        <f t="shared" si="9"/>
        <v/>
      </c>
      <c r="C84" t="str">
        <f t="shared" si="10"/>
        <v/>
      </c>
      <c r="K84" t="str">
        <f t="shared" si="11"/>
        <v/>
      </c>
      <c r="N84" t="str">
        <f t="shared" si="12"/>
        <v/>
      </c>
      <c r="O84" t="str">
        <f t="shared" si="13"/>
        <v/>
      </c>
      <c r="Q84" t="str">
        <f t="shared" si="14"/>
        <v/>
      </c>
      <c r="V84" t="str">
        <f t="shared" si="15"/>
        <v/>
      </c>
      <c r="Y84" t="str">
        <f t="shared" si="16"/>
        <v>A_CONTROLER</v>
      </c>
      <c r="Z84" t="str">
        <f t="shared" si="17"/>
        <v>A_CONTROLER</v>
      </c>
    </row>
    <row r="85" spans="2:26" x14ac:dyDescent="0.25">
      <c r="B85" t="str">
        <f t="shared" si="9"/>
        <v/>
      </c>
      <c r="C85" t="str">
        <f t="shared" si="10"/>
        <v/>
      </c>
      <c r="K85" t="str">
        <f t="shared" si="11"/>
        <v/>
      </c>
      <c r="N85" t="str">
        <f t="shared" si="12"/>
        <v/>
      </c>
      <c r="O85" t="str">
        <f t="shared" si="13"/>
        <v/>
      </c>
      <c r="Q85" t="str">
        <f t="shared" si="14"/>
        <v/>
      </c>
      <c r="V85" t="str">
        <f t="shared" si="15"/>
        <v/>
      </c>
      <c r="Y85" t="str">
        <f t="shared" si="16"/>
        <v>A_CONTROLER</v>
      </c>
      <c r="Z85" t="str">
        <f t="shared" si="17"/>
        <v>A_CONTROLER</v>
      </c>
    </row>
    <row r="86" spans="2:26" x14ac:dyDescent="0.25">
      <c r="B86" t="str">
        <f t="shared" si="9"/>
        <v/>
      </c>
      <c r="C86" t="str">
        <f t="shared" si="10"/>
        <v/>
      </c>
      <c r="K86" t="str">
        <f t="shared" si="11"/>
        <v/>
      </c>
      <c r="N86" t="str">
        <f t="shared" si="12"/>
        <v/>
      </c>
      <c r="O86" t="str">
        <f t="shared" si="13"/>
        <v/>
      </c>
      <c r="Q86" t="str">
        <f t="shared" si="14"/>
        <v/>
      </c>
      <c r="V86" t="str">
        <f t="shared" si="15"/>
        <v/>
      </c>
      <c r="Y86" t="str">
        <f t="shared" si="16"/>
        <v>A_CONTROLER</v>
      </c>
      <c r="Z86" t="str">
        <f t="shared" si="17"/>
        <v>A_CONTROLER</v>
      </c>
    </row>
    <row r="87" spans="2:26" x14ac:dyDescent="0.25">
      <c r="B87" t="str">
        <f t="shared" si="9"/>
        <v/>
      </c>
      <c r="C87" t="str">
        <f t="shared" si="10"/>
        <v/>
      </c>
      <c r="K87" t="str">
        <f t="shared" si="11"/>
        <v/>
      </c>
      <c r="N87" t="str">
        <f t="shared" si="12"/>
        <v/>
      </c>
      <c r="O87" t="str">
        <f t="shared" si="13"/>
        <v/>
      </c>
      <c r="Q87" t="str">
        <f t="shared" si="14"/>
        <v/>
      </c>
      <c r="V87" t="str">
        <f t="shared" si="15"/>
        <v/>
      </c>
      <c r="Y87" t="str">
        <f t="shared" si="16"/>
        <v>A_CONTROLER</v>
      </c>
      <c r="Z87" t="str">
        <f t="shared" si="17"/>
        <v>A_CONTROLER</v>
      </c>
    </row>
    <row r="88" spans="2:26" x14ac:dyDescent="0.25">
      <c r="B88" t="str">
        <f t="shared" si="9"/>
        <v/>
      </c>
      <c r="C88" t="str">
        <f t="shared" si="10"/>
        <v/>
      </c>
      <c r="K88" t="str">
        <f t="shared" si="11"/>
        <v/>
      </c>
      <c r="N88" t="str">
        <f t="shared" si="12"/>
        <v/>
      </c>
      <c r="O88" t="str">
        <f t="shared" si="13"/>
        <v/>
      </c>
      <c r="Q88" t="str">
        <f t="shared" si="14"/>
        <v/>
      </c>
      <c r="V88" t="str">
        <f t="shared" si="15"/>
        <v/>
      </c>
      <c r="Y88" t="str">
        <f t="shared" si="16"/>
        <v>A_CONTROLER</v>
      </c>
      <c r="Z88" t="str">
        <f t="shared" si="17"/>
        <v>A_CONTROLER</v>
      </c>
    </row>
    <row r="89" spans="2:26" x14ac:dyDescent="0.25">
      <c r="B89" t="str">
        <f t="shared" si="9"/>
        <v/>
      </c>
      <c r="C89" t="str">
        <f t="shared" si="10"/>
        <v/>
      </c>
      <c r="K89" t="str">
        <f t="shared" si="11"/>
        <v/>
      </c>
      <c r="N89" t="str">
        <f t="shared" si="12"/>
        <v/>
      </c>
      <c r="O89" t="str">
        <f t="shared" si="13"/>
        <v/>
      </c>
      <c r="Q89" t="str">
        <f t="shared" si="14"/>
        <v/>
      </c>
      <c r="V89" t="str">
        <f t="shared" si="15"/>
        <v/>
      </c>
      <c r="Y89" t="str">
        <f t="shared" si="16"/>
        <v>A_CONTROLER</v>
      </c>
      <c r="Z89" t="str">
        <f t="shared" si="17"/>
        <v>A_CONTROLER</v>
      </c>
    </row>
    <row r="90" spans="2:26" x14ac:dyDescent="0.25">
      <c r="B90" t="str">
        <f t="shared" si="9"/>
        <v/>
      </c>
      <c r="C90" t="str">
        <f t="shared" si="10"/>
        <v/>
      </c>
      <c r="K90" t="str">
        <f t="shared" si="11"/>
        <v/>
      </c>
      <c r="N90" t="str">
        <f t="shared" si="12"/>
        <v/>
      </c>
      <c r="O90" t="str">
        <f t="shared" si="13"/>
        <v/>
      </c>
      <c r="Q90" t="str">
        <f t="shared" si="14"/>
        <v/>
      </c>
      <c r="V90" t="str">
        <f t="shared" si="15"/>
        <v/>
      </c>
      <c r="Y90" t="str">
        <f t="shared" si="16"/>
        <v>A_CONTROLER</v>
      </c>
      <c r="Z90" t="str">
        <f t="shared" si="17"/>
        <v>A_CONTROLER</v>
      </c>
    </row>
    <row r="91" spans="2:26" x14ac:dyDescent="0.25">
      <c r="B91" t="str">
        <f t="shared" si="9"/>
        <v/>
      </c>
      <c r="C91" t="str">
        <f t="shared" si="10"/>
        <v/>
      </c>
      <c r="K91" t="str">
        <f t="shared" si="11"/>
        <v/>
      </c>
      <c r="N91" t="str">
        <f t="shared" si="12"/>
        <v/>
      </c>
      <c r="O91" t="str">
        <f t="shared" si="13"/>
        <v/>
      </c>
      <c r="Q91" t="str">
        <f t="shared" si="14"/>
        <v/>
      </c>
      <c r="V91" t="str">
        <f t="shared" si="15"/>
        <v/>
      </c>
      <c r="Y91" t="str">
        <f t="shared" si="16"/>
        <v>A_CONTROLER</v>
      </c>
      <c r="Z91" t="str">
        <f t="shared" si="17"/>
        <v>A_CONTROLER</v>
      </c>
    </row>
    <row r="92" spans="2:26" x14ac:dyDescent="0.25">
      <c r="B92" t="str">
        <f t="shared" si="9"/>
        <v/>
      </c>
      <c r="C92" t="str">
        <f t="shared" si="10"/>
        <v/>
      </c>
      <c r="K92" t="str">
        <f t="shared" si="11"/>
        <v/>
      </c>
      <c r="N92" t="str">
        <f t="shared" si="12"/>
        <v/>
      </c>
      <c r="O92" t="str">
        <f t="shared" si="13"/>
        <v/>
      </c>
      <c r="Q92" t="str">
        <f t="shared" si="14"/>
        <v/>
      </c>
      <c r="V92" t="str">
        <f t="shared" si="15"/>
        <v/>
      </c>
      <c r="Y92" t="str">
        <f t="shared" si="16"/>
        <v>A_CONTROLER</v>
      </c>
      <c r="Z92" t="str">
        <f t="shared" si="17"/>
        <v>A_CONTROLER</v>
      </c>
    </row>
    <row r="93" spans="2:26" x14ac:dyDescent="0.25">
      <c r="B93" t="str">
        <f t="shared" si="9"/>
        <v/>
      </c>
      <c r="C93" t="str">
        <f t="shared" si="10"/>
        <v/>
      </c>
      <c r="K93" t="str">
        <f t="shared" si="11"/>
        <v/>
      </c>
      <c r="N93" t="str">
        <f t="shared" si="12"/>
        <v/>
      </c>
      <c r="O93" t="str">
        <f t="shared" si="13"/>
        <v/>
      </c>
      <c r="Q93" t="str">
        <f t="shared" si="14"/>
        <v/>
      </c>
      <c r="V93" t="str">
        <f t="shared" si="15"/>
        <v/>
      </c>
      <c r="Y93" t="str">
        <f t="shared" si="16"/>
        <v>A_CONTROLER</v>
      </c>
      <c r="Z93" t="str">
        <f t="shared" si="17"/>
        <v>A_CONTROLER</v>
      </c>
    </row>
    <row r="94" spans="2:26" x14ac:dyDescent="0.25">
      <c r="B94" t="str">
        <f t="shared" si="9"/>
        <v/>
      </c>
      <c r="C94" t="str">
        <f t="shared" si="10"/>
        <v/>
      </c>
      <c r="K94" t="str">
        <f t="shared" si="11"/>
        <v/>
      </c>
      <c r="N94" t="str">
        <f t="shared" si="12"/>
        <v/>
      </c>
      <c r="O94" t="str">
        <f t="shared" si="13"/>
        <v/>
      </c>
      <c r="Q94" t="str">
        <f t="shared" si="14"/>
        <v/>
      </c>
      <c r="V94" t="str">
        <f t="shared" si="15"/>
        <v/>
      </c>
      <c r="Y94" t="str">
        <f t="shared" si="16"/>
        <v>A_CONTROLER</v>
      </c>
      <c r="Z94" t="str">
        <f t="shared" si="17"/>
        <v>A_CONTROLER</v>
      </c>
    </row>
    <row r="95" spans="2:26" x14ac:dyDescent="0.25">
      <c r="B95" t="str">
        <f t="shared" si="9"/>
        <v/>
      </c>
      <c r="C95" t="str">
        <f t="shared" si="10"/>
        <v/>
      </c>
      <c r="K95" t="str">
        <f t="shared" si="11"/>
        <v/>
      </c>
      <c r="N95" t="str">
        <f t="shared" si="12"/>
        <v/>
      </c>
      <c r="O95" t="str">
        <f t="shared" si="13"/>
        <v/>
      </c>
      <c r="Q95" t="str">
        <f t="shared" si="14"/>
        <v/>
      </c>
      <c r="V95" t="str">
        <f t="shared" si="15"/>
        <v/>
      </c>
      <c r="Y95" t="str">
        <f t="shared" si="16"/>
        <v>A_CONTROLER</v>
      </c>
      <c r="Z95" t="str">
        <f t="shared" si="17"/>
        <v>A_CONTROLER</v>
      </c>
    </row>
    <row r="96" spans="2:26" x14ac:dyDescent="0.25">
      <c r="B96" t="str">
        <f t="shared" si="9"/>
        <v/>
      </c>
      <c r="C96" t="str">
        <f t="shared" si="10"/>
        <v/>
      </c>
      <c r="K96" t="str">
        <f t="shared" si="11"/>
        <v/>
      </c>
      <c r="N96" t="str">
        <f t="shared" si="12"/>
        <v/>
      </c>
      <c r="O96" t="str">
        <f t="shared" si="13"/>
        <v/>
      </c>
      <c r="Q96" t="str">
        <f t="shared" si="14"/>
        <v/>
      </c>
      <c r="V96" t="str">
        <f t="shared" si="15"/>
        <v/>
      </c>
      <c r="Y96" t="str">
        <f t="shared" si="16"/>
        <v>A_CONTROLER</v>
      </c>
      <c r="Z96" t="str">
        <f t="shared" si="17"/>
        <v>A_CONTROLER</v>
      </c>
    </row>
    <row r="97" spans="2:26" x14ac:dyDescent="0.25">
      <c r="B97" t="str">
        <f t="shared" si="9"/>
        <v/>
      </c>
      <c r="C97" t="str">
        <f t="shared" si="10"/>
        <v/>
      </c>
      <c r="K97" t="str">
        <f t="shared" si="11"/>
        <v/>
      </c>
      <c r="N97" t="str">
        <f t="shared" si="12"/>
        <v/>
      </c>
      <c r="O97" t="str">
        <f t="shared" si="13"/>
        <v/>
      </c>
      <c r="Q97" t="str">
        <f t="shared" si="14"/>
        <v/>
      </c>
      <c r="V97" t="str">
        <f t="shared" si="15"/>
        <v/>
      </c>
      <c r="Y97" t="str">
        <f t="shared" si="16"/>
        <v>A_CONTROLER</v>
      </c>
      <c r="Z97" t="str">
        <f t="shared" si="17"/>
        <v>A_CONTROLER</v>
      </c>
    </row>
    <row r="98" spans="2:26" x14ac:dyDescent="0.25">
      <c r="B98" t="str">
        <f t="shared" si="9"/>
        <v/>
      </c>
      <c r="C98" t="str">
        <f t="shared" si="10"/>
        <v/>
      </c>
      <c r="K98" t="str">
        <f t="shared" si="11"/>
        <v/>
      </c>
      <c r="N98" t="str">
        <f t="shared" si="12"/>
        <v/>
      </c>
      <c r="O98" t="str">
        <f t="shared" si="13"/>
        <v/>
      </c>
      <c r="Q98" t="str">
        <f t="shared" si="14"/>
        <v/>
      </c>
      <c r="V98" t="str">
        <f t="shared" si="15"/>
        <v/>
      </c>
      <c r="Y98" t="str">
        <f t="shared" si="16"/>
        <v>A_CONTROLER</v>
      </c>
      <c r="Z98" t="str">
        <f t="shared" si="17"/>
        <v>A_CONTROLER</v>
      </c>
    </row>
    <row r="99" spans="2:26" x14ac:dyDescent="0.25">
      <c r="B99" t="str">
        <f t="shared" si="9"/>
        <v/>
      </c>
      <c r="C99" t="str">
        <f t="shared" si="10"/>
        <v/>
      </c>
      <c r="K99" t="str">
        <f t="shared" si="11"/>
        <v/>
      </c>
      <c r="N99" t="str">
        <f t="shared" si="12"/>
        <v/>
      </c>
      <c r="O99" t="str">
        <f t="shared" si="13"/>
        <v/>
      </c>
      <c r="Q99" t="str">
        <f t="shared" si="14"/>
        <v/>
      </c>
      <c r="V99" t="str">
        <f t="shared" si="15"/>
        <v/>
      </c>
      <c r="Y99" t="str">
        <f t="shared" si="16"/>
        <v>A_CONTROLER</v>
      </c>
      <c r="Z99" t="str">
        <f t="shared" si="17"/>
        <v>A_CONTROLER</v>
      </c>
    </row>
    <row r="100" spans="2:26" x14ac:dyDescent="0.25">
      <c r="B100" t="str">
        <f t="shared" si="9"/>
        <v/>
      </c>
      <c r="C100" t="str">
        <f t="shared" si="10"/>
        <v/>
      </c>
      <c r="K100" t="str">
        <f t="shared" si="11"/>
        <v/>
      </c>
      <c r="N100" t="str">
        <f t="shared" si="12"/>
        <v/>
      </c>
      <c r="O100" t="str">
        <f t="shared" si="13"/>
        <v/>
      </c>
      <c r="Q100" t="str">
        <f t="shared" si="14"/>
        <v/>
      </c>
      <c r="V100" t="str">
        <f t="shared" si="15"/>
        <v/>
      </c>
      <c r="Y100" t="str">
        <f t="shared" si="16"/>
        <v>A_CONTROLER</v>
      </c>
      <c r="Z100" t="str">
        <f t="shared" si="17"/>
        <v>A_CONTROLER</v>
      </c>
    </row>
    <row r="101" spans="2:26" x14ac:dyDescent="0.25">
      <c r="B101" t="str">
        <f t="shared" si="9"/>
        <v/>
      </c>
      <c r="C101" t="str">
        <f t="shared" si="10"/>
        <v/>
      </c>
      <c r="K101" t="str">
        <f t="shared" si="11"/>
        <v/>
      </c>
      <c r="N101" t="str">
        <f t="shared" si="12"/>
        <v/>
      </c>
      <c r="O101" t="str">
        <f t="shared" si="13"/>
        <v/>
      </c>
      <c r="Q101" t="str">
        <f t="shared" si="14"/>
        <v/>
      </c>
      <c r="V101" t="str">
        <f t="shared" si="15"/>
        <v/>
      </c>
      <c r="Y101" t="str">
        <f t="shared" si="16"/>
        <v>A_CONTROLER</v>
      </c>
      <c r="Z101" t="str">
        <f t="shared" si="17"/>
        <v>A_CONTROLER</v>
      </c>
    </row>
    <row r="102" spans="2:26" x14ac:dyDescent="0.25">
      <c r="B102" t="str">
        <f t="shared" si="9"/>
        <v/>
      </c>
      <c r="C102" t="str">
        <f t="shared" si="10"/>
        <v/>
      </c>
      <c r="K102" t="str">
        <f t="shared" si="11"/>
        <v/>
      </c>
      <c r="N102" t="str">
        <f t="shared" si="12"/>
        <v/>
      </c>
      <c r="O102" t="str">
        <f t="shared" si="13"/>
        <v/>
      </c>
      <c r="Q102" t="str">
        <f t="shared" si="14"/>
        <v/>
      </c>
      <c r="V102" t="str">
        <f t="shared" si="15"/>
        <v/>
      </c>
      <c r="Y102" t="str">
        <f t="shared" si="16"/>
        <v>A_CONTROLER</v>
      </c>
      <c r="Z102" t="str">
        <f t="shared" si="17"/>
        <v>A_CONTROLER</v>
      </c>
    </row>
    <row r="103" spans="2:26" x14ac:dyDescent="0.25">
      <c r="B103" t="str">
        <f t="shared" si="9"/>
        <v/>
      </c>
      <c r="C103" t="str">
        <f t="shared" si="10"/>
        <v/>
      </c>
      <c r="K103" t="str">
        <f t="shared" si="11"/>
        <v/>
      </c>
      <c r="N103" t="str">
        <f t="shared" si="12"/>
        <v/>
      </c>
      <c r="O103" t="str">
        <f t="shared" si="13"/>
        <v/>
      </c>
      <c r="Q103" t="str">
        <f t="shared" si="14"/>
        <v/>
      </c>
      <c r="V103" t="str">
        <f t="shared" si="15"/>
        <v/>
      </c>
      <c r="Y103" t="str">
        <f t="shared" si="16"/>
        <v>A_CONTROLER</v>
      </c>
      <c r="Z103" t="str">
        <f t="shared" si="17"/>
        <v>A_CONTROLER</v>
      </c>
    </row>
    <row r="104" spans="2:26" x14ac:dyDescent="0.25">
      <c r="B104" t="str">
        <f t="shared" si="9"/>
        <v/>
      </c>
      <c r="C104" t="str">
        <f t="shared" si="10"/>
        <v/>
      </c>
      <c r="K104" t="str">
        <f t="shared" si="11"/>
        <v/>
      </c>
      <c r="N104" t="str">
        <f t="shared" si="12"/>
        <v/>
      </c>
      <c r="O104" t="str">
        <f t="shared" si="13"/>
        <v/>
      </c>
      <c r="Q104" t="str">
        <f t="shared" si="14"/>
        <v/>
      </c>
      <c r="V104" t="str">
        <f t="shared" si="15"/>
        <v/>
      </c>
      <c r="Y104" t="str">
        <f t="shared" si="16"/>
        <v>A_CONTROLER</v>
      </c>
      <c r="Z104" t="str">
        <f t="shared" si="17"/>
        <v>A_CONTROLER</v>
      </c>
    </row>
    <row r="105" spans="2:26" x14ac:dyDescent="0.25">
      <c r="B105" t="str">
        <f t="shared" si="9"/>
        <v/>
      </c>
      <c r="C105" t="str">
        <f t="shared" si="10"/>
        <v/>
      </c>
      <c r="K105" t="str">
        <f t="shared" si="11"/>
        <v/>
      </c>
      <c r="N105" t="str">
        <f t="shared" si="12"/>
        <v/>
      </c>
      <c r="O105" t="str">
        <f t="shared" si="13"/>
        <v/>
      </c>
      <c r="Q105" t="str">
        <f t="shared" si="14"/>
        <v/>
      </c>
      <c r="V105" t="str">
        <f t="shared" si="15"/>
        <v/>
      </c>
      <c r="Y105" t="str">
        <f t="shared" si="16"/>
        <v>A_CONTROLER</v>
      </c>
      <c r="Z105" t="str">
        <f t="shared" si="17"/>
        <v>A_CONTROLER</v>
      </c>
    </row>
    <row r="106" spans="2:26" x14ac:dyDescent="0.25">
      <c r="B106" t="str">
        <f t="shared" si="9"/>
        <v/>
      </c>
      <c r="C106" t="str">
        <f t="shared" si="10"/>
        <v/>
      </c>
      <c r="K106" t="str">
        <f t="shared" si="11"/>
        <v/>
      </c>
      <c r="N106" t="str">
        <f t="shared" si="12"/>
        <v/>
      </c>
      <c r="O106" t="str">
        <f t="shared" si="13"/>
        <v/>
      </c>
      <c r="Q106" t="str">
        <f t="shared" si="14"/>
        <v/>
      </c>
      <c r="V106" t="str">
        <f t="shared" si="15"/>
        <v/>
      </c>
      <c r="Y106" t="str">
        <f t="shared" si="16"/>
        <v>A_CONTROLER</v>
      </c>
      <c r="Z106" t="str">
        <f t="shared" si="17"/>
        <v>A_CONTROLER</v>
      </c>
    </row>
    <row r="107" spans="2:26" x14ac:dyDescent="0.25">
      <c r="B107" t="str">
        <f t="shared" si="9"/>
        <v/>
      </c>
      <c r="C107" t="str">
        <f t="shared" si="10"/>
        <v/>
      </c>
      <c r="K107" t="str">
        <f t="shared" si="11"/>
        <v/>
      </c>
      <c r="N107" t="str">
        <f t="shared" si="12"/>
        <v/>
      </c>
      <c r="O107" t="str">
        <f t="shared" si="13"/>
        <v/>
      </c>
      <c r="Q107" t="str">
        <f t="shared" si="14"/>
        <v/>
      </c>
      <c r="V107" t="str">
        <f t="shared" si="15"/>
        <v/>
      </c>
      <c r="Y107" t="str">
        <f t="shared" si="16"/>
        <v>A_CONTROLER</v>
      </c>
      <c r="Z107" t="str">
        <f t="shared" si="17"/>
        <v>A_CONTROLER</v>
      </c>
    </row>
    <row r="108" spans="2:26" x14ac:dyDescent="0.25">
      <c r="B108" t="str">
        <f t="shared" si="9"/>
        <v/>
      </c>
      <c r="C108" t="str">
        <f t="shared" si="10"/>
        <v/>
      </c>
      <c r="K108" t="str">
        <f t="shared" si="11"/>
        <v/>
      </c>
      <c r="N108" t="str">
        <f t="shared" si="12"/>
        <v/>
      </c>
      <c r="O108" t="str">
        <f t="shared" si="13"/>
        <v/>
      </c>
      <c r="Q108" t="str">
        <f t="shared" si="14"/>
        <v/>
      </c>
      <c r="V108" t="str">
        <f t="shared" si="15"/>
        <v/>
      </c>
      <c r="Y108" t="str">
        <f t="shared" si="16"/>
        <v>A_CONTROLER</v>
      </c>
      <c r="Z108" t="str">
        <f t="shared" si="17"/>
        <v>A_CONTROLER</v>
      </c>
    </row>
    <row r="109" spans="2:26" x14ac:dyDescent="0.25">
      <c r="B109" t="str">
        <f t="shared" si="9"/>
        <v/>
      </c>
      <c r="C109" t="str">
        <f t="shared" si="10"/>
        <v/>
      </c>
      <c r="K109" t="str">
        <f t="shared" si="11"/>
        <v/>
      </c>
      <c r="N109" t="str">
        <f t="shared" si="12"/>
        <v/>
      </c>
      <c r="O109" t="str">
        <f t="shared" si="13"/>
        <v/>
      </c>
      <c r="Q109" t="str">
        <f t="shared" si="14"/>
        <v/>
      </c>
      <c r="V109" t="str">
        <f t="shared" si="15"/>
        <v/>
      </c>
      <c r="Y109" t="str">
        <f t="shared" si="16"/>
        <v>A_CONTROLER</v>
      </c>
      <c r="Z109" t="str">
        <f t="shared" si="17"/>
        <v>A_CONTROLER</v>
      </c>
    </row>
    <row r="110" spans="2:26" x14ac:dyDescent="0.25">
      <c r="B110" t="str">
        <f t="shared" si="9"/>
        <v/>
      </c>
      <c r="C110" t="str">
        <f t="shared" si="10"/>
        <v/>
      </c>
      <c r="K110" t="str">
        <f t="shared" si="11"/>
        <v/>
      </c>
      <c r="N110" t="str">
        <f t="shared" si="12"/>
        <v/>
      </c>
      <c r="O110" t="str">
        <f t="shared" si="13"/>
        <v/>
      </c>
      <c r="Q110" t="str">
        <f t="shared" si="14"/>
        <v/>
      </c>
      <c r="V110" t="str">
        <f t="shared" si="15"/>
        <v/>
      </c>
      <c r="Y110" t="str">
        <f t="shared" si="16"/>
        <v>A_CONTROLER</v>
      </c>
      <c r="Z110" t="str">
        <f t="shared" si="17"/>
        <v>A_CONTROLER</v>
      </c>
    </row>
    <row r="111" spans="2:26" x14ac:dyDescent="0.25">
      <c r="B111" t="str">
        <f t="shared" si="9"/>
        <v/>
      </c>
      <c r="C111" t="str">
        <f t="shared" si="10"/>
        <v/>
      </c>
      <c r="K111" t="str">
        <f t="shared" si="11"/>
        <v/>
      </c>
      <c r="N111" t="str">
        <f t="shared" si="12"/>
        <v/>
      </c>
      <c r="O111" t="str">
        <f t="shared" si="13"/>
        <v/>
      </c>
      <c r="Q111" t="str">
        <f t="shared" si="14"/>
        <v/>
      </c>
      <c r="V111" t="str">
        <f t="shared" si="15"/>
        <v/>
      </c>
      <c r="Y111" t="str">
        <f t="shared" si="16"/>
        <v>A_CONTROLER</v>
      </c>
      <c r="Z111" t="str">
        <f t="shared" si="17"/>
        <v>A_CONTROLER</v>
      </c>
    </row>
    <row r="112" spans="2:26" x14ac:dyDescent="0.25">
      <c r="B112" t="str">
        <f t="shared" si="9"/>
        <v/>
      </c>
      <c r="C112" t="str">
        <f t="shared" si="10"/>
        <v/>
      </c>
      <c r="K112" t="str">
        <f t="shared" si="11"/>
        <v/>
      </c>
      <c r="N112" t="str">
        <f t="shared" si="12"/>
        <v/>
      </c>
      <c r="O112" t="str">
        <f t="shared" si="13"/>
        <v/>
      </c>
      <c r="Q112" t="str">
        <f t="shared" si="14"/>
        <v/>
      </c>
      <c r="V112" t="str">
        <f t="shared" si="15"/>
        <v/>
      </c>
      <c r="Y112" t="str">
        <f t="shared" si="16"/>
        <v>A_CONTROLER</v>
      </c>
      <c r="Z112" t="str">
        <f t="shared" si="17"/>
        <v>A_CONTROLER</v>
      </c>
    </row>
    <row r="113" spans="2:26" x14ac:dyDescent="0.25">
      <c r="B113" t="str">
        <f t="shared" si="9"/>
        <v/>
      </c>
      <c r="C113" t="str">
        <f t="shared" si="10"/>
        <v/>
      </c>
      <c r="K113" t="str">
        <f t="shared" si="11"/>
        <v/>
      </c>
      <c r="N113" t="str">
        <f t="shared" si="12"/>
        <v/>
      </c>
      <c r="O113" t="str">
        <f t="shared" si="13"/>
        <v/>
      </c>
      <c r="Q113" t="str">
        <f t="shared" si="14"/>
        <v/>
      </c>
      <c r="V113" t="str">
        <f t="shared" si="15"/>
        <v/>
      </c>
      <c r="Y113" t="str">
        <f t="shared" si="16"/>
        <v>A_CONTROLER</v>
      </c>
      <c r="Z113" t="str">
        <f t="shared" si="17"/>
        <v>A_CONTROLER</v>
      </c>
    </row>
    <row r="114" spans="2:26" x14ac:dyDescent="0.25">
      <c r="B114" t="str">
        <f t="shared" si="9"/>
        <v/>
      </c>
      <c r="C114" t="str">
        <f t="shared" si="10"/>
        <v/>
      </c>
      <c r="K114" t="str">
        <f t="shared" si="11"/>
        <v/>
      </c>
      <c r="N114" t="str">
        <f t="shared" si="12"/>
        <v/>
      </c>
      <c r="O114" t="str">
        <f t="shared" si="13"/>
        <v/>
      </c>
      <c r="Q114" t="str">
        <f t="shared" si="14"/>
        <v/>
      </c>
      <c r="V114" t="str">
        <f t="shared" si="15"/>
        <v/>
      </c>
      <c r="Y114" t="str">
        <f t="shared" si="16"/>
        <v>A_CONTROLER</v>
      </c>
      <c r="Z114" t="str">
        <f t="shared" si="17"/>
        <v>A_CONTROLER</v>
      </c>
    </row>
    <row r="115" spans="2:26" x14ac:dyDescent="0.25">
      <c r="B115" t="str">
        <f t="shared" si="9"/>
        <v/>
      </c>
      <c r="C115" t="str">
        <f t="shared" si="10"/>
        <v/>
      </c>
      <c r="K115" t="str">
        <f t="shared" si="11"/>
        <v/>
      </c>
      <c r="N115" t="str">
        <f t="shared" si="12"/>
        <v/>
      </c>
      <c r="O115" t="str">
        <f t="shared" si="13"/>
        <v/>
      </c>
      <c r="Q115" t="str">
        <f t="shared" si="14"/>
        <v/>
      </c>
      <c r="V115" t="str">
        <f t="shared" si="15"/>
        <v/>
      </c>
      <c r="Y115" t="str">
        <f t="shared" si="16"/>
        <v>A_CONTROLER</v>
      </c>
      <c r="Z115" t="str">
        <f t="shared" si="17"/>
        <v>A_CONTROLER</v>
      </c>
    </row>
    <row r="116" spans="2:26" x14ac:dyDescent="0.25">
      <c r="B116" t="str">
        <f t="shared" si="9"/>
        <v/>
      </c>
      <c r="C116" t="str">
        <f t="shared" si="10"/>
        <v/>
      </c>
      <c r="K116" t="str">
        <f t="shared" si="11"/>
        <v/>
      </c>
      <c r="N116" t="str">
        <f t="shared" si="12"/>
        <v/>
      </c>
      <c r="O116" t="str">
        <f t="shared" si="13"/>
        <v/>
      </c>
      <c r="Q116" t="str">
        <f t="shared" si="14"/>
        <v/>
      </c>
      <c r="V116" t="str">
        <f t="shared" si="15"/>
        <v/>
      </c>
      <c r="Y116" t="str">
        <f t="shared" si="16"/>
        <v>A_CONTROLER</v>
      </c>
      <c r="Z116" t="str">
        <f t="shared" si="17"/>
        <v>A_CONTROLER</v>
      </c>
    </row>
    <row r="117" spans="2:26" x14ac:dyDescent="0.25">
      <c r="B117" t="str">
        <f t="shared" si="9"/>
        <v/>
      </c>
      <c r="C117" t="str">
        <f t="shared" si="10"/>
        <v/>
      </c>
      <c r="K117" t="str">
        <f t="shared" si="11"/>
        <v/>
      </c>
      <c r="N117" t="str">
        <f t="shared" si="12"/>
        <v/>
      </c>
      <c r="O117" t="str">
        <f t="shared" si="13"/>
        <v/>
      </c>
      <c r="Q117" t="str">
        <f t="shared" si="14"/>
        <v/>
      </c>
      <c r="V117" t="str">
        <f t="shared" si="15"/>
        <v/>
      </c>
      <c r="Y117" t="str">
        <f t="shared" si="16"/>
        <v>A_CONTROLER</v>
      </c>
      <c r="Z117" t="str">
        <f t="shared" si="17"/>
        <v>A_CONTROLER</v>
      </c>
    </row>
    <row r="118" spans="2:26" x14ac:dyDescent="0.25">
      <c r="B118" t="str">
        <f t="shared" si="9"/>
        <v/>
      </c>
      <c r="C118" t="str">
        <f t="shared" si="10"/>
        <v/>
      </c>
      <c r="K118" t="str">
        <f t="shared" si="11"/>
        <v/>
      </c>
      <c r="N118" t="str">
        <f t="shared" si="12"/>
        <v/>
      </c>
      <c r="O118" t="str">
        <f t="shared" si="13"/>
        <v/>
      </c>
      <c r="Q118" t="str">
        <f t="shared" si="14"/>
        <v/>
      </c>
      <c r="V118" t="str">
        <f t="shared" si="15"/>
        <v/>
      </c>
      <c r="Y118" t="str">
        <f t="shared" si="16"/>
        <v>A_CONTROLER</v>
      </c>
      <c r="Z118" t="str">
        <f t="shared" si="17"/>
        <v>A_CONTROLER</v>
      </c>
    </row>
    <row r="119" spans="2:26" x14ac:dyDescent="0.25">
      <c r="B119" t="str">
        <f t="shared" si="9"/>
        <v/>
      </c>
      <c r="C119" t="str">
        <f t="shared" si="10"/>
        <v/>
      </c>
      <c r="K119" t="str">
        <f t="shared" si="11"/>
        <v/>
      </c>
      <c r="N119" t="str">
        <f t="shared" si="12"/>
        <v/>
      </c>
      <c r="O119" t="str">
        <f t="shared" si="13"/>
        <v/>
      </c>
      <c r="Q119" t="str">
        <f t="shared" si="14"/>
        <v/>
      </c>
      <c r="V119" t="str">
        <f t="shared" si="15"/>
        <v/>
      </c>
      <c r="Y119" t="str">
        <f t="shared" si="16"/>
        <v>A_CONTROLER</v>
      </c>
      <c r="Z119" t="str">
        <f t="shared" si="17"/>
        <v>A_CONTROLER</v>
      </c>
    </row>
    <row r="120" spans="2:26" x14ac:dyDescent="0.25">
      <c r="B120" t="str">
        <f t="shared" si="9"/>
        <v/>
      </c>
      <c r="C120" t="str">
        <f t="shared" si="10"/>
        <v/>
      </c>
      <c r="K120" t="str">
        <f t="shared" si="11"/>
        <v/>
      </c>
      <c r="N120" t="str">
        <f t="shared" si="12"/>
        <v/>
      </c>
      <c r="O120" t="str">
        <f t="shared" si="13"/>
        <v/>
      </c>
      <c r="Q120" t="str">
        <f t="shared" si="14"/>
        <v/>
      </c>
      <c r="V120" t="str">
        <f t="shared" si="15"/>
        <v/>
      </c>
      <c r="Y120" t="str">
        <f t="shared" si="16"/>
        <v>A_CONTROLER</v>
      </c>
      <c r="Z120" t="str">
        <f t="shared" si="17"/>
        <v>A_CONTROLER</v>
      </c>
    </row>
    <row r="121" spans="2:26" x14ac:dyDescent="0.25">
      <c r="B121" t="str">
        <f t="shared" si="9"/>
        <v/>
      </c>
      <c r="C121" t="str">
        <f t="shared" si="10"/>
        <v/>
      </c>
      <c r="K121" t="str">
        <f t="shared" si="11"/>
        <v/>
      </c>
      <c r="N121" t="str">
        <f t="shared" si="12"/>
        <v/>
      </c>
      <c r="O121" t="str">
        <f t="shared" si="13"/>
        <v/>
      </c>
      <c r="Q121" t="str">
        <f t="shared" si="14"/>
        <v/>
      </c>
      <c r="V121" t="str">
        <f t="shared" si="15"/>
        <v/>
      </c>
      <c r="Y121" t="str">
        <f t="shared" si="16"/>
        <v>A_CONTROLER</v>
      </c>
      <c r="Z121" t="str">
        <f t="shared" si="17"/>
        <v>A_CONTROLER</v>
      </c>
    </row>
    <row r="122" spans="2:26" x14ac:dyDescent="0.25">
      <c r="B122" t="str">
        <f t="shared" si="9"/>
        <v/>
      </c>
      <c r="C122" t="str">
        <f t="shared" si="10"/>
        <v/>
      </c>
      <c r="K122" t="str">
        <f t="shared" si="11"/>
        <v/>
      </c>
      <c r="N122" t="str">
        <f t="shared" si="12"/>
        <v/>
      </c>
      <c r="O122" t="str">
        <f t="shared" si="13"/>
        <v/>
      </c>
      <c r="Q122" t="str">
        <f t="shared" si="14"/>
        <v/>
      </c>
      <c r="V122" t="str">
        <f t="shared" si="15"/>
        <v/>
      </c>
      <c r="Y122" t="str">
        <f t="shared" si="16"/>
        <v>A_CONTROLER</v>
      </c>
      <c r="Z122" t="str">
        <f t="shared" si="17"/>
        <v>A_CONTROLER</v>
      </c>
    </row>
    <row r="123" spans="2:26" x14ac:dyDescent="0.25">
      <c r="B123" t="str">
        <f t="shared" si="9"/>
        <v/>
      </c>
      <c r="C123" t="str">
        <f t="shared" si="10"/>
        <v/>
      </c>
      <c r="K123" t="str">
        <f t="shared" si="11"/>
        <v/>
      </c>
      <c r="N123" t="str">
        <f t="shared" si="12"/>
        <v/>
      </c>
      <c r="O123" t="str">
        <f t="shared" si="13"/>
        <v/>
      </c>
      <c r="Q123" t="str">
        <f t="shared" si="14"/>
        <v/>
      </c>
      <c r="V123" t="str">
        <f t="shared" si="15"/>
        <v/>
      </c>
      <c r="Y123" t="str">
        <f t="shared" si="16"/>
        <v>A_CONTROLER</v>
      </c>
      <c r="Z123" t="str">
        <f t="shared" si="17"/>
        <v>A_CONTROLER</v>
      </c>
    </row>
    <row r="124" spans="2:26" x14ac:dyDescent="0.25">
      <c r="B124" t="str">
        <f t="shared" si="9"/>
        <v/>
      </c>
      <c r="C124" t="str">
        <f t="shared" si="10"/>
        <v/>
      </c>
      <c r="K124" t="str">
        <f t="shared" si="11"/>
        <v/>
      </c>
      <c r="N124" t="str">
        <f t="shared" si="12"/>
        <v/>
      </c>
      <c r="O124" t="str">
        <f t="shared" si="13"/>
        <v/>
      </c>
      <c r="Q124" t="str">
        <f t="shared" si="14"/>
        <v/>
      </c>
      <c r="V124" t="str">
        <f t="shared" si="15"/>
        <v/>
      </c>
      <c r="Y124" t="str">
        <f t="shared" si="16"/>
        <v>A_CONTROLER</v>
      </c>
      <c r="Z124" t="str">
        <f t="shared" si="17"/>
        <v>A_CONTROLER</v>
      </c>
    </row>
    <row r="125" spans="2:26" x14ac:dyDescent="0.25">
      <c r="B125" t="str">
        <f t="shared" si="9"/>
        <v/>
      </c>
      <c r="C125" t="str">
        <f t="shared" si="10"/>
        <v/>
      </c>
      <c r="K125" t="str">
        <f t="shared" si="11"/>
        <v/>
      </c>
      <c r="N125" t="str">
        <f t="shared" si="12"/>
        <v/>
      </c>
      <c r="O125" t="str">
        <f t="shared" si="13"/>
        <v/>
      </c>
      <c r="Q125" t="str">
        <f t="shared" si="14"/>
        <v/>
      </c>
      <c r="V125" t="str">
        <f t="shared" si="15"/>
        <v/>
      </c>
      <c r="Y125" t="str">
        <f t="shared" si="16"/>
        <v>A_CONTROLER</v>
      </c>
      <c r="Z125" t="str">
        <f t="shared" si="17"/>
        <v>A_CONTROLER</v>
      </c>
    </row>
    <row r="126" spans="2:26" x14ac:dyDescent="0.25">
      <c r="B126" t="str">
        <f t="shared" si="9"/>
        <v/>
      </c>
      <c r="C126" t="str">
        <f t="shared" si="10"/>
        <v/>
      </c>
      <c r="K126" t="str">
        <f t="shared" si="11"/>
        <v/>
      </c>
      <c r="N126" t="str">
        <f t="shared" si="12"/>
        <v/>
      </c>
      <c r="O126" t="str">
        <f t="shared" si="13"/>
        <v/>
      </c>
      <c r="Q126" t="str">
        <f t="shared" si="14"/>
        <v/>
      </c>
      <c r="V126" t="str">
        <f t="shared" si="15"/>
        <v/>
      </c>
      <c r="Y126" t="str">
        <f t="shared" si="16"/>
        <v>A_CONTROLER</v>
      </c>
      <c r="Z126" t="str">
        <f t="shared" si="17"/>
        <v>A_CONTROLER</v>
      </c>
    </row>
    <row r="127" spans="2:26" x14ac:dyDescent="0.25">
      <c r="B127" t="str">
        <f t="shared" si="9"/>
        <v/>
      </c>
      <c r="C127" t="str">
        <f t="shared" si="10"/>
        <v/>
      </c>
      <c r="K127" t="str">
        <f t="shared" si="11"/>
        <v/>
      </c>
      <c r="N127" t="str">
        <f t="shared" si="12"/>
        <v/>
      </c>
      <c r="O127" t="str">
        <f t="shared" si="13"/>
        <v/>
      </c>
      <c r="Q127" t="str">
        <f t="shared" si="14"/>
        <v/>
      </c>
      <c r="V127" t="str">
        <f t="shared" si="15"/>
        <v/>
      </c>
      <c r="Y127" t="str">
        <f t="shared" si="16"/>
        <v>A_CONTROLER</v>
      </c>
      <c r="Z127" t="str">
        <f t="shared" si="17"/>
        <v>A_CONTROLER</v>
      </c>
    </row>
    <row r="128" spans="2:26" x14ac:dyDescent="0.25">
      <c r="B128" t="str">
        <f t="shared" si="9"/>
        <v/>
      </c>
      <c r="C128" t="str">
        <f t="shared" si="10"/>
        <v/>
      </c>
      <c r="K128" t="str">
        <f t="shared" si="11"/>
        <v/>
      </c>
      <c r="N128" t="str">
        <f t="shared" si="12"/>
        <v/>
      </c>
      <c r="O128" t="str">
        <f t="shared" si="13"/>
        <v/>
      </c>
      <c r="Q128" t="str">
        <f t="shared" si="14"/>
        <v/>
      </c>
      <c r="V128" t="str">
        <f t="shared" si="15"/>
        <v/>
      </c>
      <c r="Y128" t="str">
        <f t="shared" si="16"/>
        <v>A_CONTROLER</v>
      </c>
      <c r="Z128" t="str">
        <f t="shared" si="17"/>
        <v>A_CONTROLER</v>
      </c>
    </row>
    <row r="129" spans="2:26" x14ac:dyDescent="0.25">
      <c r="B129" t="str">
        <f t="shared" si="9"/>
        <v/>
      </c>
      <c r="C129" t="str">
        <f t="shared" si="10"/>
        <v/>
      </c>
      <c r="K129" t="str">
        <f t="shared" si="11"/>
        <v/>
      </c>
      <c r="N129" t="str">
        <f t="shared" si="12"/>
        <v/>
      </c>
      <c r="O129" t="str">
        <f t="shared" si="13"/>
        <v/>
      </c>
      <c r="Q129" t="str">
        <f t="shared" si="14"/>
        <v/>
      </c>
      <c r="V129" t="str">
        <f t="shared" si="15"/>
        <v/>
      </c>
      <c r="Y129" t="str">
        <f t="shared" si="16"/>
        <v>A_CONTROLER</v>
      </c>
      <c r="Z129" t="str">
        <f t="shared" si="17"/>
        <v>A_CONTROLER</v>
      </c>
    </row>
    <row r="130" spans="2:26" x14ac:dyDescent="0.25">
      <c r="B130" t="str">
        <f t="shared" ref="B130:B193" si="18">IF(A130="","",A130&amp;"|"&amp;D130&amp;"|"&amp;F130&amp;"|"&amp;G130&amp;"|"&amp;IF(I130="","",YEAR(I130)&amp;RIGHT("0"&amp;MONTH(I130),2)&amp;RIGHT("0"&amp;DAY(I130),2))&amp;"|"&amp;IF(L130="","",IF(ROUND(L130*100,0)&lt;0,"-","")&amp;INT(ABS(ROUND(L130*100,0))/100)&amp;"."&amp;RIGHT("0"&amp;MOD(ABS(ROUND(L130*100,0)),100),2)))</f>
        <v/>
      </c>
      <c r="C130" t="str">
        <f t="shared" ref="C130:C193" si="19">IF(I130="","",YEAR(I130)&amp;"-"&amp;RIGHT("0"&amp;MONTH(I130),2))</f>
        <v/>
      </c>
      <c r="K130" t="str">
        <f t="shared" ref="K130:K193" si="20">IF(OR(I130="",J130=""),"",J130-I130)</f>
        <v/>
      </c>
      <c r="N130" t="str">
        <f t="shared" ref="N130:N193" si="21">IF(F130="","",IFERROR(VLOOKUP(F130,lst_PropTauxLookup,2,0),""))</f>
        <v/>
      </c>
      <c r="O130" t="str">
        <f t="shared" ref="O130:O193" si="22">IF(F130="","",IF(ISNUMBER(IFERROR(VLOOKUP(F130,lst_PropTauxLookup,2,0),"")),"REF_PROPRIETAIRE","A_CONTROLER"))</f>
        <v/>
      </c>
      <c r="Q130" t="str">
        <f t="shared" ref="Q130:Q193" si="23">IF(OR(L130="",N130=""),"",IFERROR((L130-IF(M130="",0,M130))*N130,0))</f>
        <v/>
      </c>
      <c r="V130" t="str">
        <f t="shared" ref="V130:V193" si="24">IF(L130="","",L130-IF(M130="",0,M130)-IF(Q130="",0,Q130)-IF(T130="",0,T130))</f>
        <v/>
      </c>
      <c r="Y130" t="str">
        <f t="shared" ref="Y130:Y193" si="25">IF(W130="IC","OUI",IF(W130="HC","OUI",IF(W130="HR","NON","A_CONTROLER")))</f>
        <v>A_CONTROLER</v>
      </c>
      <c r="Z130" t="str">
        <f t="shared" ref="Z130:Z193" si="26">IF(W130="IC","OUI",IF(W130="HC","NON",IF(W130="HR","NON","A_CONTROLER")))</f>
        <v>A_CONTROLER</v>
      </c>
    </row>
    <row r="131" spans="2:26" x14ac:dyDescent="0.25">
      <c r="B131" t="str">
        <f t="shared" si="18"/>
        <v/>
      </c>
      <c r="C131" t="str">
        <f t="shared" si="19"/>
        <v/>
      </c>
      <c r="K131" t="str">
        <f t="shared" si="20"/>
        <v/>
      </c>
      <c r="N131" t="str">
        <f t="shared" si="21"/>
        <v/>
      </c>
      <c r="O131" t="str">
        <f t="shared" si="22"/>
        <v/>
      </c>
      <c r="Q131" t="str">
        <f t="shared" si="23"/>
        <v/>
      </c>
      <c r="V131" t="str">
        <f t="shared" si="24"/>
        <v/>
      </c>
      <c r="Y131" t="str">
        <f t="shared" si="25"/>
        <v>A_CONTROLER</v>
      </c>
      <c r="Z131" t="str">
        <f t="shared" si="26"/>
        <v>A_CONTROLER</v>
      </c>
    </row>
    <row r="132" spans="2:26" x14ac:dyDescent="0.25">
      <c r="B132" t="str">
        <f t="shared" si="18"/>
        <v/>
      </c>
      <c r="C132" t="str">
        <f t="shared" si="19"/>
        <v/>
      </c>
      <c r="K132" t="str">
        <f t="shared" si="20"/>
        <v/>
      </c>
      <c r="N132" t="str">
        <f t="shared" si="21"/>
        <v/>
      </c>
      <c r="O132" t="str">
        <f t="shared" si="22"/>
        <v/>
      </c>
      <c r="Q132" t="str">
        <f t="shared" si="23"/>
        <v/>
      </c>
      <c r="V132" t="str">
        <f t="shared" si="24"/>
        <v/>
      </c>
      <c r="Y132" t="str">
        <f t="shared" si="25"/>
        <v>A_CONTROLER</v>
      </c>
      <c r="Z132" t="str">
        <f t="shared" si="26"/>
        <v>A_CONTROLER</v>
      </c>
    </row>
    <row r="133" spans="2:26" x14ac:dyDescent="0.25">
      <c r="B133" t="str">
        <f t="shared" si="18"/>
        <v/>
      </c>
      <c r="C133" t="str">
        <f t="shared" si="19"/>
        <v/>
      </c>
      <c r="K133" t="str">
        <f t="shared" si="20"/>
        <v/>
      </c>
      <c r="N133" t="str">
        <f t="shared" si="21"/>
        <v/>
      </c>
      <c r="O133" t="str">
        <f t="shared" si="22"/>
        <v/>
      </c>
      <c r="Q133" t="str">
        <f t="shared" si="23"/>
        <v/>
      </c>
      <c r="V133" t="str">
        <f t="shared" si="24"/>
        <v/>
      </c>
      <c r="Y133" t="str">
        <f t="shared" si="25"/>
        <v>A_CONTROLER</v>
      </c>
      <c r="Z133" t="str">
        <f t="shared" si="26"/>
        <v>A_CONTROLER</v>
      </c>
    </row>
    <row r="134" spans="2:26" x14ac:dyDescent="0.25">
      <c r="B134" t="str">
        <f t="shared" si="18"/>
        <v/>
      </c>
      <c r="C134" t="str">
        <f t="shared" si="19"/>
        <v/>
      </c>
      <c r="K134" t="str">
        <f t="shared" si="20"/>
        <v/>
      </c>
      <c r="N134" t="str">
        <f t="shared" si="21"/>
        <v/>
      </c>
      <c r="O134" t="str">
        <f t="shared" si="22"/>
        <v/>
      </c>
      <c r="Q134" t="str">
        <f t="shared" si="23"/>
        <v/>
      </c>
      <c r="V134" t="str">
        <f t="shared" si="24"/>
        <v/>
      </c>
      <c r="Y134" t="str">
        <f t="shared" si="25"/>
        <v>A_CONTROLER</v>
      </c>
      <c r="Z134" t="str">
        <f t="shared" si="26"/>
        <v>A_CONTROLER</v>
      </c>
    </row>
    <row r="135" spans="2:26" x14ac:dyDescent="0.25">
      <c r="B135" t="str">
        <f t="shared" si="18"/>
        <v/>
      </c>
      <c r="C135" t="str">
        <f t="shared" si="19"/>
        <v/>
      </c>
      <c r="K135" t="str">
        <f t="shared" si="20"/>
        <v/>
      </c>
      <c r="N135" t="str">
        <f t="shared" si="21"/>
        <v/>
      </c>
      <c r="O135" t="str">
        <f t="shared" si="22"/>
        <v/>
      </c>
      <c r="Q135" t="str">
        <f t="shared" si="23"/>
        <v/>
      </c>
      <c r="V135" t="str">
        <f t="shared" si="24"/>
        <v/>
      </c>
      <c r="Y135" t="str">
        <f t="shared" si="25"/>
        <v>A_CONTROLER</v>
      </c>
      <c r="Z135" t="str">
        <f t="shared" si="26"/>
        <v>A_CONTROLER</v>
      </c>
    </row>
    <row r="136" spans="2:26" x14ac:dyDescent="0.25">
      <c r="B136" t="str">
        <f t="shared" si="18"/>
        <v/>
      </c>
      <c r="C136" t="str">
        <f t="shared" si="19"/>
        <v/>
      </c>
      <c r="K136" t="str">
        <f t="shared" si="20"/>
        <v/>
      </c>
      <c r="N136" t="str">
        <f t="shared" si="21"/>
        <v/>
      </c>
      <c r="O136" t="str">
        <f t="shared" si="22"/>
        <v/>
      </c>
      <c r="Q136" t="str">
        <f t="shared" si="23"/>
        <v/>
      </c>
      <c r="V136" t="str">
        <f t="shared" si="24"/>
        <v/>
      </c>
      <c r="Y136" t="str">
        <f t="shared" si="25"/>
        <v>A_CONTROLER</v>
      </c>
      <c r="Z136" t="str">
        <f t="shared" si="26"/>
        <v>A_CONTROLER</v>
      </c>
    </row>
    <row r="137" spans="2:26" x14ac:dyDescent="0.25">
      <c r="B137" t="str">
        <f t="shared" si="18"/>
        <v/>
      </c>
      <c r="C137" t="str">
        <f t="shared" si="19"/>
        <v/>
      </c>
      <c r="K137" t="str">
        <f t="shared" si="20"/>
        <v/>
      </c>
      <c r="N137" t="str">
        <f t="shared" si="21"/>
        <v/>
      </c>
      <c r="O137" t="str">
        <f t="shared" si="22"/>
        <v/>
      </c>
      <c r="Q137" t="str">
        <f t="shared" si="23"/>
        <v/>
      </c>
      <c r="V137" t="str">
        <f t="shared" si="24"/>
        <v/>
      </c>
      <c r="Y137" t="str">
        <f t="shared" si="25"/>
        <v>A_CONTROLER</v>
      </c>
      <c r="Z137" t="str">
        <f t="shared" si="26"/>
        <v>A_CONTROLER</v>
      </c>
    </row>
    <row r="138" spans="2:26" x14ac:dyDescent="0.25">
      <c r="B138" t="str">
        <f t="shared" si="18"/>
        <v/>
      </c>
      <c r="C138" t="str">
        <f t="shared" si="19"/>
        <v/>
      </c>
      <c r="K138" t="str">
        <f t="shared" si="20"/>
        <v/>
      </c>
      <c r="N138" t="str">
        <f t="shared" si="21"/>
        <v/>
      </c>
      <c r="O138" t="str">
        <f t="shared" si="22"/>
        <v/>
      </c>
      <c r="Q138" t="str">
        <f t="shared" si="23"/>
        <v/>
      </c>
      <c r="V138" t="str">
        <f t="shared" si="24"/>
        <v/>
      </c>
      <c r="Y138" t="str">
        <f t="shared" si="25"/>
        <v>A_CONTROLER</v>
      </c>
      <c r="Z138" t="str">
        <f t="shared" si="26"/>
        <v>A_CONTROLER</v>
      </c>
    </row>
    <row r="139" spans="2:26" x14ac:dyDescent="0.25">
      <c r="B139" t="str">
        <f t="shared" si="18"/>
        <v/>
      </c>
      <c r="C139" t="str">
        <f t="shared" si="19"/>
        <v/>
      </c>
      <c r="K139" t="str">
        <f t="shared" si="20"/>
        <v/>
      </c>
      <c r="N139" t="str">
        <f t="shared" si="21"/>
        <v/>
      </c>
      <c r="O139" t="str">
        <f t="shared" si="22"/>
        <v/>
      </c>
      <c r="Q139" t="str">
        <f t="shared" si="23"/>
        <v/>
      </c>
      <c r="V139" t="str">
        <f t="shared" si="24"/>
        <v/>
      </c>
      <c r="Y139" t="str">
        <f t="shared" si="25"/>
        <v>A_CONTROLER</v>
      </c>
      <c r="Z139" t="str">
        <f t="shared" si="26"/>
        <v>A_CONTROLER</v>
      </c>
    </row>
    <row r="140" spans="2:26" x14ac:dyDescent="0.25">
      <c r="B140" t="str">
        <f t="shared" si="18"/>
        <v/>
      </c>
      <c r="C140" t="str">
        <f t="shared" si="19"/>
        <v/>
      </c>
      <c r="K140" t="str">
        <f t="shared" si="20"/>
        <v/>
      </c>
      <c r="N140" t="str">
        <f t="shared" si="21"/>
        <v/>
      </c>
      <c r="O140" t="str">
        <f t="shared" si="22"/>
        <v/>
      </c>
      <c r="Q140" t="str">
        <f t="shared" si="23"/>
        <v/>
      </c>
      <c r="V140" t="str">
        <f t="shared" si="24"/>
        <v/>
      </c>
      <c r="Y140" t="str">
        <f t="shared" si="25"/>
        <v>A_CONTROLER</v>
      </c>
      <c r="Z140" t="str">
        <f t="shared" si="26"/>
        <v>A_CONTROLER</v>
      </c>
    </row>
    <row r="141" spans="2:26" x14ac:dyDescent="0.25">
      <c r="B141" t="str">
        <f t="shared" si="18"/>
        <v/>
      </c>
      <c r="C141" t="str">
        <f t="shared" si="19"/>
        <v/>
      </c>
      <c r="K141" t="str">
        <f t="shared" si="20"/>
        <v/>
      </c>
      <c r="N141" t="str">
        <f t="shared" si="21"/>
        <v/>
      </c>
      <c r="O141" t="str">
        <f t="shared" si="22"/>
        <v/>
      </c>
      <c r="Q141" t="str">
        <f t="shared" si="23"/>
        <v/>
      </c>
      <c r="V141" t="str">
        <f t="shared" si="24"/>
        <v/>
      </c>
      <c r="Y141" t="str">
        <f t="shared" si="25"/>
        <v>A_CONTROLER</v>
      </c>
      <c r="Z141" t="str">
        <f t="shared" si="26"/>
        <v>A_CONTROLER</v>
      </c>
    </row>
    <row r="142" spans="2:26" x14ac:dyDescent="0.25">
      <c r="B142" t="str">
        <f t="shared" si="18"/>
        <v/>
      </c>
      <c r="C142" t="str">
        <f t="shared" si="19"/>
        <v/>
      </c>
      <c r="K142" t="str">
        <f t="shared" si="20"/>
        <v/>
      </c>
      <c r="N142" t="str">
        <f t="shared" si="21"/>
        <v/>
      </c>
      <c r="O142" t="str">
        <f t="shared" si="22"/>
        <v/>
      </c>
      <c r="Q142" t="str">
        <f t="shared" si="23"/>
        <v/>
      </c>
      <c r="V142" t="str">
        <f t="shared" si="24"/>
        <v/>
      </c>
      <c r="Y142" t="str">
        <f t="shared" si="25"/>
        <v>A_CONTROLER</v>
      </c>
      <c r="Z142" t="str">
        <f t="shared" si="26"/>
        <v>A_CONTROLER</v>
      </c>
    </row>
    <row r="143" spans="2:26" x14ac:dyDescent="0.25">
      <c r="B143" t="str">
        <f t="shared" si="18"/>
        <v/>
      </c>
      <c r="C143" t="str">
        <f t="shared" si="19"/>
        <v/>
      </c>
      <c r="K143" t="str">
        <f t="shared" si="20"/>
        <v/>
      </c>
      <c r="N143" t="str">
        <f t="shared" si="21"/>
        <v/>
      </c>
      <c r="O143" t="str">
        <f t="shared" si="22"/>
        <v/>
      </c>
      <c r="Q143" t="str">
        <f t="shared" si="23"/>
        <v/>
      </c>
      <c r="V143" t="str">
        <f t="shared" si="24"/>
        <v/>
      </c>
      <c r="Y143" t="str">
        <f t="shared" si="25"/>
        <v>A_CONTROLER</v>
      </c>
      <c r="Z143" t="str">
        <f t="shared" si="26"/>
        <v>A_CONTROLER</v>
      </c>
    </row>
    <row r="144" spans="2:26" x14ac:dyDescent="0.25">
      <c r="B144" t="str">
        <f t="shared" si="18"/>
        <v/>
      </c>
      <c r="C144" t="str">
        <f t="shared" si="19"/>
        <v/>
      </c>
      <c r="K144" t="str">
        <f t="shared" si="20"/>
        <v/>
      </c>
      <c r="N144" t="str">
        <f t="shared" si="21"/>
        <v/>
      </c>
      <c r="O144" t="str">
        <f t="shared" si="22"/>
        <v/>
      </c>
      <c r="Q144" t="str">
        <f t="shared" si="23"/>
        <v/>
      </c>
      <c r="V144" t="str">
        <f t="shared" si="24"/>
        <v/>
      </c>
      <c r="Y144" t="str">
        <f t="shared" si="25"/>
        <v>A_CONTROLER</v>
      </c>
      <c r="Z144" t="str">
        <f t="shared" si="26"/>
        <v>A_CONTROLER</v>
      </c>
    </row>
    <row r="145" spans="2:26" x14ac:dyDescent="0.25">
      <c r="B145" t="str">
        <f t="shared" si="18"/>
        <v/>
      </c>
      <c r="C145" t="str">
        <f t="shared" si="19"/>
        <v/>
      </c>
      <c r="K145" t="str">
        <f t="shared" si="20"/>
        <v/>
      </c>
      <c r="N145" t="str">
        <f t="shared" si="21"/>
        <v/>
      </c>
      <c r="O145" t="str">
        <f t="shared" si="22"/>
        <v/>
      </c>
      <c r="Q145" t="str">
        <f t="shared" si="23"/>
        <v/>
      </c>
      <c r="V145" t="str">
        <f t="shared" si="24"/>
        <v/>
      </c>
      <c r="Y145" t="str">
        <f t="shared" si="25"/>
        <v>A_CONTROLER</v>
      </c>
      <c r="Z145" t="str">
        <f t="shared" si="26"/>
        <v>A_CONTROLER</v>
      </c>
    </row>
    <row r="146" spans="2:26" x14ac:dyDescent="0.25">
      <c r="B146" t="str">
        <f t="shared" si="18"/>
        <v/>
      </c>
      <c r="C146" t="str">
        <f t="shared" si="19"/>
        <v/>
      </c>
      <c r="K146" t="str">
        <f t="shared" si="20"/>
        <v/>
      </c>
      <c r="N146" t="str">
        <f t="shared" si="21"/>
        <v/>
      </c>
      <c r="O146" t="str">
        <f t="shared" si="22"/>
        <v/>
      </c>
      <c r="Q146" t="str">
        <f t="shared" si="23"/>
        <v/>
      </c>
      <c r="V146" t="str">
        <f t="shared" si="24"/>
        <v/>
      </c>
      <c r="Y146" t="str">
        <f t="shared" si="25"/>
        <v>A_CONTROLER</v>
      </c>
      <c r="Z146" t="str">
        <f t="shared" si="26"/>
        <v>A_CONTROLER</v>
      </c>
    </row>
    <row r="147" spans="2:26" x14ac:dyDescent="0.25">
      <c r="B147" t="str">
        <f t="shared" si="18"/>
        <v/>
      </c>
      <c r="C147" t="str">
        <f t="shared" si="19"/>
        <v/>
      </c>
      <c r="K147" t="str">
        <f t="shared" si="20"/>
        <v/>
      </c>
      <c r="N147" t="str">
        <f t="shared" si="21"/>
        <v/>
      </c>
      <c r="O147" t="str">
        <f t="shared" si="22"/>
        <v/>
      </c>
      <c r="Q147" t="str">
        <f t="shared" si="23"/>
        <v/>
      </c>
      <c r="V147" t="str">
        <f t="shared" si="24"/>
        <v/>
      </c>
      <c r="Y147" t="str">
        <f t="shared" si="25"/>
        <v>A_CONTROLER</v>
      </c>
      <c r="Z147" t="str">
        <f t="shared" si="26"/>
        <v>A_CONTROLER</v>
      </c>
    </row>
    <row r="148" spans="2:26" x14ac:dyDescent="0.25">
      <c r="B148" t="str">
        <f t="shared" si="18"/>
        <v/>
      </c>
      <c r="C148" t="str">
        <f t="shared" si="19"/>
        <v/>
      </c>
      <c r="K148" t="str">
        <f t="shared" si="20"/>
        <v/>
      </c>
      <c r="N148" t="str">
        <f t="shared" si="21"/>
        <v/>
      </c>
      <c r="O148" t="str">
        <f t="shared" si="22"/>
        <v/>
      </c>
      <c r="Q148" t="str">
        <f t="shared" si="23"/>
        <v/>
      </c>
      <c r="V148" t="str">
        <f t="shared" si="24"/>
        <v/>
      </c>
      <c r="Y148" t="str">
        <f t="shared" si="25"/>
        <v>A_CONTROLER</v>
      </c>
      <c r="Z148" t="str">
        <f t="shared" si="26"/>
        <v>A_CONTROLER</v>
      </c>
    </row>
    <row r="149" spans="2:26" x14ac:dyDescent="0.25">
      <c r="B149" t="str">
        <f t="shared" si="18"/>
        <v/>
      </c>
      <c r="C149" t="str">
        <f t="shared" si="19"/>
        <v/>
      </c>
      <c r="K149" t="str">
        <f t="shared" si="20"/>
        <v/>
      </c>
      <c r="N149" t="str">
        <f t="shared" si="21"/>
        <v/>
      </c>
      <c r="O149" t="str">
        <f t="shared" si="22"/>
        <v/>
      </c>
      <c r="Q149" t="str">
        <f t="shared" si="23"/>
        <v/>
      </c>
      <c r="V149" t="str">
        <f t="shared" si="24"/>
        <v/>
      </c>
      <c r="Y149" t="str">
        <f t="shared" si="25"/>
        <v>A_CONTROLER</v>
      </c>
      <c r="Z149" t="str">
        <f t="shared" si="26"/>
        <v>A_CONTROLER</v>
      </c>
    </row>
    <row r="150" spans="2:26" x14ac:dyDescent="0.25">
      <c r="B150" t="str">
        <f t="shared" si="18"/>
        <v/>
      </c>
      <c r="C150" t="str">
        <f t="shared" si="19"/>
        <v/>
      </c>
      <c r="K150" t="str">
        <f t="shared" si="20"/>
        <v/>
      </c>
      <c r="N150" t="str">
        <f t="shared" si="21"/>
        <v/>
      </c>
      <c r="O150" t="str">
        <f t="shared" si="22"/>
        <v/>
      </c>
      <c r="Q150" t="str">
        <f t="shared" si="23"/>
        <v/>
      </c>
      <c r="V150" t="str">
        <f t="shared" si="24"/>
        <v/>
      </c>
      <c r="Y150" t="str">
        <f t="shared" si="25"/>
        <v>A_CONTROLER</v>
      </c>
      <c r="Z150" t="str">
        <f t="shared" si="26"/>
        <v>A_CONTROLER</v>
      </c>
    </row>
    <row r="151" spans="2:26" x14ac:dyDescent="0.25">
      <c r="B151" t="str">
        <f t="shared" si="18"/>
        <v/>
      </c>
      <c r="C151" t="str">
        <f t="shared" si="19"/>
        <v/>
      </c>
      <c r="K151" t="str">
        <f t="shared" si="20"/>
        <v/>
      </c>
      <c r="N151" t="str">
        <f t="shared" si="21"/>
        <v/>
      </c>
      <c r="O151" t="str">
        <f t="shared" si="22"/>
        <v/>
      </c>
      <c r="Q151" t="str">
        <f t="shared" si="23"/>
        <v/>
      </c>
      <c r="V151" t="str">
        <f t="shared" si="24"/>
        <v/>
      </c>
      <c r="Y151" t="str">
        <f t="shared" si="25"/>
        <v>A_CONTROLER</v>
      </c>
      <c r="Z151" t="str">
        <f t="shared" si="26"/>
        <v>A_CONTROLER</v>
      </c>
    </row>
    <row r="152" spans="2:26" x14ac:dyDescent="0.25">
      <c r="B152" t="str">
        <f t="shared" si="18"/>
        <v/>
      </c>
      <c r="C152" t="str">
        <f t="shared" si="19"/>
        <v/>
      </c>
      <c r="K152" t="str">
        <f t="shared" si="20"/>
        <v/>
      </c>
      <c r="N152" t="str">
        <f t="shared" si="21"/>
        <v/>
      </c>
      <c r="O152" t="str">
        <f t="shared" si="22"/>
        <v/>
      </c>
      <c r="Q152" t="str">
        <f t="shared" si="23"/>
        <v/>
      </c>
      <c r="V152" t="str">
        <f t="shared" si="24"/>
        <v/>
      </c>
      <c r="Y152" t="str">
        <f t="shared" si="25"/>
        <v>A_CONTROLER</v>
      </c>
      <c r="Z152" t="str">
        <f t="shared" si="26"/>
        <v>A_CONTROLER</v>
      </c>
    </row>
    <row r="153" spans="2:26" x14ac:dyDescent="0.25">
      <c r="B153" t="str">
        <f t="shared" si="18"/>
        <v/>
      </c>
      <c r="C153" t="str">
        <f t="shared" si="19"/>
        <v/>
      </c>
      <c r="K153" t="str">
        <f t="shared" si="20"/>
        <v/>
      </c>
      <c r="N153" t="str">
        <f t="shared" si="21"/>
        <v/>
      </c>
      <c r="O153" t="str">
        <f t="shared" si="22"/>
        <v/>
      </c>
      <c r="Q153" t="str">
        <f t="shared" si="23"/>
        <v/>
      </c>
      <c r="V153" t="str">
        <f t="shared" si="24"/>
        <v/>
      </c>
      <c r="Y153" t="str">
        <f t="shared" si="25"/>
        <v>A_CONTROLER</v>
      </c>
      <c r="Z153" t="str">
        <f t="shared" si="26"/>
        <v>A_CONTROLER</v>
      </c>
    </row>
    <row r="154" spans="2:26" x14ac:dyDescent="0.25">
      <c r="B154" t="str">
        <f t="shared" si="18"/>
        <v/>
      </c>
      <c r="C154" t="str">
        <f t="shared" si="19"/>
        <v/>
      </c>
      <c r="K154" t="str">
        <f t="shared" si="20"/>
        <v/>
      </c>
      <c r="N154" t="str">
        <f t="shared" si="21"/>
        <v/>
      </c>
      <c r="O154" t="str">
        <f t="shared" si="22"/>
        <v/>
      </c>
      <c r="Q154" t="str">
        <f t="shared" si="23"/>
        <v/>
      </c>
      <c r="V154" t="str">
        <f t="shared" si="24"/>
        <v/>
      </c>
      <c r="Y154" t="str">
        <f t="shared" si="25"/>
        <v>A_CONTROLER</v>
      </c>
      <c r="Z154" t="str">
        <f t="shared" si="26"/>
        <v>A_CONTROLER</v>
      </c>
    </row>
    <row r="155" spans="2:26" x14ac:dyDescent="0.25">
      <c r="B155" t="str">
        <f t="shared" si="18"/>
        <v/>
      </c>
      <c r="C155" t="str">
        <f t="shared" si="19"/>
        <v/>
      </c>
      <c r="K155" t="str">
        <f t="shared" si="20"/>
        <v/>
      </c>
      <c r="N155" t="str">
        <f t="shared" si="21"/>
        <v/>
      </c>
      <c r="O155" t="str">
        <f t="shared" si="22"/>
        <v/>
      </c>
      <c r="Q155" t="str">
        <f t="shared" si="23"/>
        <v/>
      </c>
      <c r="V155" t="str">
        <f t="shared" si="24"/>
        <v/>
      </c>
      <c r="Y155" t="str">
        <f t="shared" si="25"/>
        <v>A_CONTROLER</v>
      </c>
      <c r="Z155" t="str">
        <f t="shared" si="26"/>
        <v>A_CONTROLER</v>
      </c>
    </row>
    <row r="156" spans="2:26" x14ac:dyDescent="0.25">
      <c r="B156" t="str">
        <f t="shared" si="18"/>
        <v/>
      </c>
      <c r="C156" t="str">
        <f t="shared" si="19"/>
        <v/>
      </c>
      <c r="K156" t="str">
        <f t="shared" si="20"/>
        <v/>
      </c>
      <c r="N156" t="str">
        <f t="shared" si="21"/>
        <v/>
      </c>
      <c r="O156" t="str">
        <f t="shared" si="22"/>
        <v/>
      </c>
      <c r="Q156" t="str">
        <f t="shared" si="23"/>
        <v/>
      </c>
      <c r="V156" t="str">
        <f t="shared" si="24"/>
        <v/>
      </c>
      <c r="Y156" t="str">
        <f t="shared" si="25"/>
        <v>A_CONTROLER</v>
      </c>
      <c r="Z156" t="str">
        <f t="shared" si="26"/>
        <v>A_CONTROLER</v>
      </c>
    </row>
    <row r="157" spans="2:26" x14ac:dyDescent="0.25">
      <c r="B157" t="str">
        <f t="shared" si="18"/>
        <v/>
      </c>
      <c r="C157" t="str">
        <f t="shared" si="19"/>
        <v/>
      </c>
      <c r="K157" t="str">
        <f t="shared" si="20"/>
        <v/>
      </c>
      <c r="N157" t="str">
        <f t="shared" si="21"/>
        <v/>
      </c>
      <c r="O157" t="str">
        <f t="shared" si="22"/>
        <v/>
      </c>
      <c r="Q157" t="str">
        <f t="shared" si="23"/>
        <v/>
      </c>
      <c r="V157" t="str">
        <f t="shared" si="24"/>
        <v/>
      </c>
      <c r="Y157" t="str">
        <f t="shared" si="25"/>
        <v>A_CONTROLER</v>
      </c>
      <c r="Z157" t="str">
        <f t="shared" si="26"/>
        <v>A_CONTROLER</v>
      </c>
    </row>
    <row r="158" spans="2:26" x14ac:dyDescent="0.25">
      <c r="B158" t="str">
        <f t="shared" si="18"/>
        <v/>
      </c>
      <c r="C158" t="str">
        <f t="shared" si="19"/>
        <v/>
      </c>
      <c r="K158" t="str">
        <f t="shared" si="20"/>
        <v/>
      </c>
      <c r="N158" t="str">
        <f t="shared" si="21"/>
        <v/>
      </c>
      <c r="O158" t="str">
        <f t="shared" si="22"/>
        <v/>
      </c>
      <c r="Q158" t="str">
        <f t="shared" si="23"/>
        <v/>
      </c>
      <c r="V158" t="str">
        <f t="shared" si="24"/>
        <v/>
      </c>
      <c r="Y158" t="str">
        <f t="shared" si="25"/>
        <v>A_CONTROLER</v>
      </c>
      <c r="Z158" t="str">
        <f t="shared" si="26"/>
        <v>A_CONTROLER</v>
      </c>
    </row>
    <row r="159" spans="2:26" x14ac:dyDescent="0.25">
      <c r="B159" t="str">
        <f t="shared" si="18"/>
        <v/>
      </c>
      <c r="C159" t="str">
        <f t="shared" si="19"/>
        <v/>
      </c>
      <c r="K159" t="str">
        <f t="shared" si="20"/>
        <v/>
      </c>
      <c r="N159" t="str">
        <f t="shared" si="21"/>
        <v/>
      </c>
      <c r="O159" t="str">
        <f t="shared" si="22"/>
        <v/>
      </c>
      <c r="Q159" t="str">
        <f t="shared" si="23"/>
        <v/>
      </c>
      <c r="V159" t="str">
        <f t="shared" si="24"/>
        <v/>
      </c>
      <c r="Y159" t="str">
        <f t="shared" si="25"/>
        <v>A_CONTROLER</v>
      </c>
      <c r="Z159" t="str">
        <f t="shared" si="26"/>
        <v>A_CONTROLER</v>
      </c>
    </row>
    <row r="160" spans="2:26" x14ac:dyDescent="0.25">
      <c r="B160" t="str">
        <f t="shared" si="18"/>
        <v/>
      </c>
      <c r="C160" t="str">
        <f t="shared" si="19"/>
        <v/>
      </c>
      <c r="K160" t="str">
        <f t="shared" si="20"/>
        <v/>
      </c>
      <c r="N160" t="str">
        <f t="shared" si="21"/>
        <v/>
      </c>
      <c r="O160" t="str">
        <f t="shared" si="22"/>
        <v/>
      </c>
      <c r="Q160" t="str">
        <f t="shared" si="23"/>
        <v/>
      </c>
      <c r="V160" t="str">
        <f t="shared" si="24"/>
        <v/>
      </c>
      <c r="Y160" t="str">
        <f t="shared" si="25"/>
        <v>A_CONTROLER</v>
      </c>
      <c r="Z160" t="str">
        <f t="shared" si="26"/>
        <v>A_CONTROLER</v>
      </c>
    </row>
    <row r="161" spans="2:26" x14ac:dyDescent="0.25">
      <c r="B161" t="str">
        <f t="shared" si="18"/>
        <v/>
      </c>
      <c r="C161" t="str">
        <f t="shared" si="19"/>
        <v/>
      </c>
      <c r="K161" t="str">
        <f t="shared" si="20"/>
        <v/>
      </c>
      <c r="N161" t="str">
        <f t="shared" si="21"/>
        <v/>
      </c>
      <c r="O161" t="str">
        <f t="shared" si="22"/>
        <v/>
      </c>
      <c r="Q161" t="str">
        <f t="shared" si="23"/>
        <v/>
      </c>
      <c r="V161" t="str">
        <f t="shared" si="24"/>
        <v/>
      </c>
      <c r="Y161" t="str">
        <f t="shared" si="25"/>
        <v>A_CONTROLER</v>
      </c>
      <c r="Z161" t="str">
        <f t="shared" si="26"/>
        <v>A_CONTROLER</v>
      </c>
    </row>
    <row r="162" spans="2:26" x14ac:dyDescent="0.25">
      <c r="B162" t="str">
        <f t="shared" si="18"/>
        <v/>
      </c>
      <c r="C162" t="str">
        <f t="shared" si="19"/>
        <v/>
      </c>
      <c r="K162" t="str">
        <f t="shared" si="20"/>
        <v/>
      </c>
      <c r="N162" t="str">
        <f t="shared" si="21"/>
        <v/>
      </c>
      <c r="O162" t="str">
        <f t="shared" si="22"/>
        <v/>
      </c>
      <c r="Q162" t="str">
        <f t="shared" si="23"/>
        <v/>
      </c>
      <c r="V162" t="str">
        <f t="shared" si="24"/>
        <v/>
      </c>
      <c r="Y162" t="str">
        <f t="shared" si="25"/>
        <v>A_CONTROLER</v>
      </c>
      <c r="Z162" t="str">
        <f t="shared" si="26"/>
        <v>A_CONTROLER</v>
      </c>
    </row>
    <row r="163" spans="2:26" x14ac:dyDescent="0.25">
      <c r="B163" t="str">
        <f t="shared" si="18"/>
        <v/>
      </c>
      <c r="C163" t="str">
        <f t="shared" si="19"/>
        <v/>
      </c>
      <c r="K163" t="str">
        <f t="shared" si="20"/>
        <v/>
      </c>
      <c r="N163" t="str">
        <f t="shared" si="21"/>
        <v/>
      </c>
      <c r="O163" t="str">
        <f t="shared" si="22"/>
        <v/>
      </c>
      <c r="Q163" t="str">
        <f t="shared" si="23"/>
        <v/>
      </c>
      <c r="V163" t="str">
        <f t="shared" si="24"/>
        <v/>
      </c>
      <c r="Y163" t="str">
        <f t="shared" si="25"/>
        <v>A_CONTROLER</v>
      </c>
      <c r="Z163" t="str">
        <f t="shared" si="26"/>
        <v>A_CONTROLER</v>
      </c>
    </row>
    <row r="164" spans="2:26" x14ac:dyDescent="0.25">
      <c r="B164" t="str">
        <f t="shared" si="18"/>
        <v/>
      </c>
      <c r="C164" t="str">
        <f t="shared" si="19"/>
        <v/>
      </c>
      <c r="K164" t="str">
        <f t="shared" si="20"/>
        <v/>
      </c>
      <c r="N164" t="str">
        <f t="shared" si="21"/>
        <v/>
      </c>
      <c r="O164" t="str">
        <f t="shared" si="22"/>
        <v/>
      </c>
      <c r="Q164" t="str">
        <f t="shared" si="23"/>
        <v/>
      </c>
      <c r="V164" t="str">
        <f t="shared" si="24"/>
        <v/>
      </c>
      <c r="Y164" t="str">
        <f t="shared" si="25"/>
        <v>A_CONTROLER</v>
      </c>
      <c r="Z164" t="str">
        <f t="shared" si="26"/>
        <v>A_CONTROLER</v>
      </c>
    </row>
    <row r="165" spans="2:26" x14ac:dyDescent="0.25">
      <c r="B165" t="str">
        <f t="shared" si="18"/>
        <v/>
      </c>
      <c r="C165" t="str">
        <f t="shared" si="19"/>
        <v/>
      </c>
      <c r="K165" t="str">
        <f t="shared" si="20"/>
        <v/>
      </c>
      <c r="N165" t="str">
        <f t="shared" si="21"/>
        <v/>
      </c>
      <c r="O165" t="str">
        <f t="shared" si="22"/>
        <v/>
      </c>
      <c r="Q165" t="str">
        <f t="shared" si="23"/>
        <v/>
      </c>
      <c r="V165" t="str">
        <f t="shared" si="24"/>
        <v/>
      </c>
      <c r="Y165" t="str">
        <f t="shared" si="25"/>
        <v>A_CONTROLER</v>
      </c>
      <c r="Z165" t="str">
        <f t="shared" si="26"/>
        <v>A_CONTROLER</v>
      </c>
    </row>
    <row r="166" spans="2:26" x14ac:dyDescent="0.25">
      <c r="B166" t="str">
        <f t="shared" si="18"/>
        <v/>
      </c>
      <c r="C166" t="str">
        <f t="shared" si="19"/>
        <v/>
      </c>
      <c r="K166" t="str">
        <f t="shared" si="20"/>
        <v/>
      </c>
      <c r="N166" t="str">
        <f t="shared" si="21"/>
        <v/>
      </c>
      <c r="O166" t="str">
        <f t="shared" si="22"/>
        <v/>
      </c>
      <c r="Q166" t="str">
        <f t="shared" si="23"/>
        <v/>
      </c>
      <c r="V166" t="str">
        <f t="shared" si="24"/>
        <v/>
      </c>
      <c r="Y166" t="str">
        <f t="shared" si="25"/>
        <v>A_CONTROLER</v>
      </c>
      <c r="Z166" t="str">
        <f t="shared" si="26"/>
        <v>A_CONTROLER</v>
      </c>
    </row>
    <row r="167" spans="2:26" x14ac:dyDescent="0.25">
      <c r="B167" t="str">
        <f t="shared" si="18"/>
        <v/>
      </c>
      <c r="C167" t="str">
        <f t="shared" si="19"/>
        <v/>
      </c>
      <c r="K167" t="str">
        <f t="shared" si="20"/>
        <v/>
      </c>
      <c r="N167" t="str">
        <f t="shared" si="21"/>
        <v/>
      </c>
      <c r="O167" t="str">
        <f t="shared" si="22"/>
        <v/>
      </c>
      <c r="Q167" t="str">
        <f t="shared" si="23"/>
        <v/>
      </c>
      <c r="V167" t="str">
        <f t="shared" si="24"/>
        <v/>
      </c>
      <c r="Y167" t="str">
        <f t="shared" si="25"/>
        <v>A_CONTROLER</v>
      </c>
      <c r="Z167" t="str">
        <f t="shared" si="26"/>
        <v>A_CONTROLER</v>
      </c>
    </row>
    <row r="168" spans="2:26" x14ac:dyDescent="0.25">
      <c r="B168" t="str">
        <f t="shared" si="18"/>
        <v/>
      </c>
      <c r="C168" t="str">
        <f t="shared" si="19"/>
        <v/>
      </c>
      <c r="K168" t="str">
        <f t="shared" si="20"/>
        <v/>
      </c>
      <c r="N168" t="str">
        <f t="shared" si="21"/>
        <v/>
      </c>
      <c r="O168" t="str">
        <f t="shared" si="22"/>
        <v/>
      </c>
      <c r="Q168" t="str">
        <f t="shared" si="23"/>
        <v/>
      </c>
      <c r="V168" t="str">
        <f t="shared" si="24"/>
        <v/>
      </c>
      <c r="Y168" t="str">
        <f t="shared" si="25"/>
        <v>A_CONTROLER</v>
      </c>
      <c r="Z168" t="str">
        <f t="shared" si="26"/>
        <v>A_CONTROLER</v>
      </c>
    </row>
    <row r="169" spans="2:26" x14ac:dyDescent="0.25">
      <c r="B169" t="str">
        <f t="shared" si="18"/>
        <v/>
      </c>
      <c r="C169" t="str">
        <f t="shared" si="19"/>
        <v/>
      </c>
      <c r="K169" t="str">
        <f t="shared" si="20"/>
        <v/>
      </c>
      <c r="N169" t="str">
        <f t="shared" si="21"/>
        <v/>
      </c>
      <c r="O169" t="str">
        <f t="shared" si="22"/>
        <v/>
      </c>
      <c r="Q169" t="str">
        <f t="shared" si="23"/>
        <v/>
      </c>
      <c r="V169" t="str">
        <f t="shared" si="24"/>
        <v/>
      </c>
      <c r="Y169" t="str">
        <f t="shared" si="25"/>
        <v>A_CONTROLER</v>
      </c>
      <c r="Z169" t="str">
        <f t="shared" si="26"/>
        <v>A_CONTROLER</v>
      </c>
    </row>
    <row r="170" spans="2:26" x14ac:dyDescent="0.25">
      <c r="B170" t="str">
        <f t="shared" si="18"/>
        <v/>
      </c>
      <c r="C170" t="str">
        <f t="shared" si="19"/>
        <v/>
      </c>
      <c r="K170" t="str">
        <f t="shared" si="20"/>
        <v/>
      </c>
      <c r="N170" t="str">
        <f t="shared" si="21"/>
        <v/>
      </c>
      <c r="O170" t="str">
        <f t="shared" si="22"/>
        <v/>
      </c>
      <c r="Q170" t="str">
        <f t="shared" si="23"/>
        <v/>
      </c>
      <c r="V170" t="str">
        <f t="shared" si="24"/>
        <v/>
      </c>
      <c r="Y170" t="str">
        <f t="shared" si="25"/>
        <v>A_CONTROLER</v>
      </c>
      <c r="Z170" t="str">
        <f t="shared" si="26"/>
        <v>A_CONTROLER</v>
      </c>
    </row>
    <row r="171" spans="2:26" x14ac:dyDescent="0.25">
      <c r="B171" t="str">
        <f t="shared" si="18"/>
        <v/>
      </c>
      <c r="C171" t="str">
        <f t="shared" si="19"/>
        <v/>
      </c>
      <c r="K171" t="str">
        <f t="shared" si="20"/>
        <v/>
      </c>
      <c r="N171" t="str">
        <f t="shared" si="21"/>
        <v/>
      </c>
      <c r="O171" t="str">
        <f t="shared" si="22"/>
        <v/>
      </c>
      <c r="Q171" t="str">
        <f t="shared" si="23"/>
        <v/>
      </c>
      <c r="V171" t="str">
        <f t="shared" si="24"/>
        <v/>
      </c>
      <c r="Y171" t="str">
        <f t="shared" si="25"/>
        <v>A_CONTROLER</v>
      </c>
      <c r="Z171" t="str">
        <f t="shared" si="26"/>
        <v>A_CONTROLER</v>
      </c>
    </row>
    <row r="172" spans="2:26" x14ac:dyDescent="0.25">
      <c r="B172" t="str">
        <f t="shared" si="18"/>
        <v/>
      </c>
      <c r="C172" t="str">
        <f t="shared" si="19"/>
        <v/>
      </c>
      <c r="K172" t="str">
        <f t="shared" si="20"/>
        <v/>
      </c>
      <c r="N172" t="str">
        <f t="shared" si="21"/>
        <v/>
      </c>
      <c r="O172" t="str">
        <f t="shared" si="22"/>
        <v/>
      </c>
      <c r="Q172" t="str">
        <f t="shared" si="23"/>
        <v/>
      </c>
      <c r="V172" t="str">
        <f t="shared" si="24"/>
        <v/>
      </c>
      <c r="Y172" t="str">
        <f t="shared" si="25"/>
        <v>A_CONTROLER</v>
      </c>
      <c r="Z172" t="str">
        <f t="shared" si="26"/>
        <v>A_CONTROLER</v>
      </c>
    </row>
    <row r="173" spans="2:26" x14ac:dyDescent="0.25">
      <c r="B173" t="str">
        <f t="shared" si="18"/>
        <v/>
      </c>
      <c r="C173" t="str">
        <f t="shared" si="19"/>
        <v/>
      </c>
      <c r="K173" t="str">
        <f t="shared" si="20"/>
        <v/>
      </c>
      <c r="N173" t="str">
        <f t="shared" si="21"/>
        <v/>
      </c>
      <c r="O173" t="str">
        <f t="shared" si="22"/>
        <v/>
      </c>
      <c r="Q173" t="str">
        <f t="shared" si="23"/>
        <v/>
      </c>
      <c r="V173" t="str">
        <f t="shared" si="24"/>
        <v/>
      </c>
      <c r="Y173" t="str">
        <f t="shared" si="25"/>
        <v>A_CONTROLER</v>
      </c>
      <c r="Z173" t="str">
        <f t="shared" si="26"/>
        <v>A_CONTROLER</v>
      </c>
    </row>
    <row r="174" spans="2:26" x14ac:dyDescent="0.25">
      <c r="B174" t="str">
        <f t="shared" si="18"/>
        <v/>
      </c>
      <c r="C174" t="str">
        <f t="shared" si="19"/>
        <v/>
      </c>
      <c r="K174" t="str">
        <f t="shared" si="20"/>
        <v/>
      </c>
      <c r="N174" t="str">
        <f t="shared" si="21"/>
        <v/>
      </c>
      <c r="O174" t="str">
        <f t="shared" si="22"/>
        <v/>
      </c>
      <c r="Q174" t="str">
        <f t="shared" si="23"/>
        <v/>
      </c>
      <c r="V174" t="str">
        <f t="shared" si="24"/>
        <v/>
      </c>
      <c r="Y174" t="str">
        <f t="shared" si="25"/>
        <v>A_CONTROLER</v>
      </c>
      <c r="Z174" t="str">
        <f t="shared" si="26"/>
        <v>A_CONTROLER</v>
      </c>
    </row>
    <row r="175" spans="2:26" x14ac:dyDescent="0.25">
      <c r="B175" t="str">
        <f t="shared" si="18"/>
        <v/>
      </c>
      <c r="C175" t="str">
        <f t="shared" si="19"/>
        <v/>
      </c>
      <c r="K175" t="str">
        <f t="shared" si="20"/>
        <v/>
      </c>
      <c r="N175" t="str">
        <f t="shared" si="21"/>
        <v/>
      </c>
      <c r="O175" t="str">
        <f t="shared" si="22"/>
        <v/>
      </c>
      <c r="Q175" t="str">
        <f t="shared" si="23"/>
        <v/>
      </c>
      <c r="V175" t="str">
        <f t="shared" si="24"/>
        <v/>
      </c>
      <c r="Y175" t="str">
        <f t="shared" si="25"/>
        <v>A_CONTROLER</v>
      </c>
      <c r="Z175" t="str">
        <f t="shared" si="26"/>
        <v>A_CONTROLER</v>
      </c>
    </row>
    <row r="176" spans="2:26" x14ac:dyDescent="0.25">
      <c r="B176" t="str">
        <f t="shared" si="18"/>
        <v/>
      </c>
      <c r="C176" t="str">
        <f t="shared" si="19"/>
        <v/>
      </c>
      <c r="K176" t="str">
        <f t="shared" si="20"/>
        <v/>
      </c>
      <c r="N176" t="str">
        <f t="shared" si="21"/>
        <v/>
      </c>
      <c r="O176" t="str">
        <f t="shared" si="22"/>
        <v/>
      </c>
      <c r="Q176" t="str">
        <f t="shared" si="23"/>
        <v/>
      </c>
      <c r="V176" t="str">
        <f t="shared" si="24"/>
        <v/>
      </c>
      <c r="Y176" t="str">
        <f t="shared" si="25"/>
        <v>A_CONTROLER</v>
      </c>
      <c r="Z176" t="str">
        <f t="shared" si="26"/>
        <v>A_CONTROLER</v>
      </c>
    </row>
    <row r="177" spans="2:26" x14ac:dyDescent="0.25">
      <c r="B177" t="str">
        <f t="shared" si="18"/>
        <v/>
      </c>
      <c r="C177" t="str">
        <f t="shared" si="19"/>
        <v/>
      </c>
      <c r="K177" t="str">
        <f t="shared" si="20"/>
        <v/>
      </c>
      <c r="N177" t="str">
        <f t="shared" si="21"/>
        <v/>
      </c>
      <c r="O177" t="str">
        <f t="shared" si="22"/>
        <v/>
      </c>
      <c r="Q177" t="str">
        <f t="shared" si="23"/>
        <v/>
      </c>
      <c r="V177" t="str">
        <f t="shared" si="24"/>
        <v/>
      </c>
      <c r="Y177" t="str">
        <f t="shared" si="25"/>
        <v>A_CONTROLER</v>
      </c>
      <c r="Z177" t="str">
        <f t="shared" si="26"/>
        <v>A_CONTROLER</v>
      </c>
    </row>
    <row r="178" spans="2:26" x14ac:dyDescent="0.25">
      <c r="B178" t="str">
        <f t="shared" si="18"/>
        <v/>
      </c>
      <c r="C178" t="str">
        <f t="shared" si="19"/>
        <v/>
      </c>
      <c r="K178" t="str">
        <f t="shared" si="20"/>
        <v/>
      </c>
      <c r="N178" t="str">
        <f t="shared" si="21"/>
        <v/>
      </c>
      <c r="O178" t="str">
        <f t="shared" si="22"/>
        <v/>
      </c>
      <c r="Q178" t="str">
        <f t="shared" si="23"/>
        <v/>
      </c>
      <c r="V178" t="str">
        <f t="shared" si="24"/>
        <v/>
      </c>
      <c r="Y178" t="str">
        <f t="shared" si="25"/>
        <v>A_CONTROLER</v>
      </c>
      <c r="Z178" t="str">
        <f t="shared" si="26"/>
        <v>A_CONTROLER</v>
      </c>
    </row>
    <row r="179" spans="2:26" x14ac:dyDescent="0.25">
      <c r="B179" t="str">
        <f t="shared" si="18"/>
        <v/>
      </c>
      <c r="C179" t="str">
        <f t="shared" si="19"/>
        <v/>
      </c>
      <c r="K179" t="str">
        <f t="shared" si="20"/>
        <v/>
      </c>
      <c r="N179" t="str">
        <f t="shared" si="21"/>
        <v/>
      </c>
      <c r="O179" t="str">
        <f t="shared" si="22"/>
        <v/>
      </c>
      <c r="Q179" t="str">
        <f t="shared" si="23"/>
        <v/>
      </c>
      <c r="V179" t="str">
        <f t="shared" si="24"/>
        <v/>
      </c>
      <c r="Y179" t="str">
        <f t="shared" si="25"/>
        <v>A_CONTROLER</v>
      </c>
      <c r="Z179" t="str">
        <f t="shared" si="26"/>
        <v>A_CONTROLER</v>
      </c>
    </row>
    <row r="180" spans="2:26" x14ac:dyDescent="0.25">
      <c r="B180" t="str">
        <f t="shared" si="18"/>
        <v/>
      </c>
      <c r="C180" t="str">
        <f t="shared" si="19"/>
        <v/>
      </c>
      <c r="K180" t="str">
        <f t="shared" si="20"/>
        <v/>
      </c>
      <c r="N180" t="str">
        <f t="shared" si="21"/>
        <v/>
      </c>
      <c r="O180" t="str">
        <f t="shared" si="22"/>
        <v/>
      </c>
      <c r="Q180" t="str">
        <f t="shared" si="23"/>
        <v/>
      </c>
      <c r="V180" t="str">
        <f t="shared" si="24"/>
        <v/>
      </c>
      <c r="Y180" t="str">
        <f t="shared" si="25"/>
        <v>A_CONTROLER</v>
      </c>
      <c r="Z180" t="str">
        <f t="shared" si="26"/>
        <v>A_CONTROLER</v>
      </c>
    </row>
    <row r="181" spans="2:26" x14ac:dyDescent="0.25">
      <c r="B181" t="str">
        <f t="shared" si="18"/>
        <v/>
      </c>
      <c r="C181" t="str">
        <f t="shared" si="19"/>
        <v/>
      </c>
      <c r="K181" t="str">
        <f t="shared" si="20"/>
        <v/>
      </c>
      <c r="N181" t="str">
        <f t="shared" si="21"/>
        <v/>
      </c>
      <c r="O181" t="str">
        <f t="shared" si="22"/>
        <v/>
      </c>
      <c r="Q181" t="str">
        <f t="shared" si="23"/>
        <v/>
      </c>
      <c r="V181" t="str">
        <f t="shared" si="24"/>
        <v/>
      </c>
      <c r="Y181" t="str">
        <f t="shared" si="25"/>
        <v>A_CONTROLER</v>
      </c>
      <c r="Z181" t="str">
        <f t="shared" si="26"/>
        <v>A_CONTROLER</v>
      </c>
    </row>
    <row r="182" spans="2:26" x14ac:dyDescent="0.25">
      <c r="B182" t="str">
        <f t="shared" si="18"/>
        <v/>
      </c>
      <c r="C182" t="str">
        <f t="shared" si="19"/>
        <v/>
      </c>
      <c r="K182" t="str">
        <f t="shared" si="20"/>
        <v/>
      </c>
      <c r="N182" t="str">
        <f t="shared" si="21"/>
        <v/>
      </c>
      <c r="O182" t="str">
        <f t="shared" si="22"/>
        <v/>
      </c>
      <c r="Q182" t="str">
        <f t="shared" si="23"/>
        <v/>
      </c>
      <c r="V182" t="str">
        <f t="shared" si="24"/>
        <v/>
      </c>
      <c r="Y182" t="str">
        <f t="shared" si="25"/>
        <v>A_CONTROLER</v>
      </c>
      <c r="Z182" t="str">
        <f t="shared" si="26"/>
        <v>A_CONTROLER</v>
      </c>
    </row>
    <row r="183" spans="2:26" x14ac:dyDescent="0.25">
      <c r="B183" t="str">
        <f t="shared" si="18"/>
        <v/>
      </c>
      <c r="C183" t="str">
        <f t="shared" si="19"/>
        <v/>
      </c>
      <c r="K183" t="str">
        <f t="shared" si="20"/>
        <v/>
      </c>
      <c r="N183" t="str">
        <f t="shared" si="21"/>
        <v/>
      </c>
      <c r="O183" t="str">
        <f t="shared" si="22"/>
        <v/>
      </c>
      <c r="Q183" t="str">
        <f t="shared" si="23"/>
        <v/>
      </c>
      <c r="V183" t="str">
        <f t="shared" si="24"/>
        <v/>
      </c>
      <c r="Y183" t="str">
        <f t="shared" si="25"/>
        <v>A_CONTROLER</v>
      </c>
      <c r="Z183" t="str">
        <f t="shared" si="26"/>
        <v>A_CONTROLER</v>
      </c>
    </row>
    <row r="184" spans="2:26" x14ac:dyDescent="0.25">
      <c r="B184" t="str">
        <f t="shared" si="18"/>
        <v/>
      </c>
      <c r="C184" t="str">
        <f t="shared" si="19"/>
        <v/>
      </c>
      <c r="K184" t="str">
        <f t="shared" si="20"/>
        <v/>
      </c>
      <c r="N184" t="str">
        <f t="shared" si="21"/>
        <v/>
      </c>
      <c r="O184" t="str">
        <f t="shared" si="22"/>
        <v/>
      </c>
      <c r="Q184" t="str">
        <f t="shared" si="23"/>
        <v/>
      </c>
      <c r="V184" t="str">
        <f t="shared" si="24"/>
        <v/>
      </c>
      <c r="Y184" t="str">
        <f t="shared" si="25"/>
        <v>A_CONTROLER</v>
      </c>
      <c r="Z184" t="str">
        <f t="shared" si="26"/>
        <v>A_CONTROLER</v>
      </c>
    </row>
    <row r="185" spans="2:26" x14ac:dyDescent="0.25">
      <c r="B185" t="str">
        <f t="shared" si="18"/>
        <v/>
      </c>
      <c r="C185" t="str">
        <f t="shared" si="19"/>
        <v/>
      </c>
      <c r="K185" t="str">
        <f t="shared" si="20"/>
        <v/>
      </c>
      <c r="N185" t="str">
        <f t="shared" si="21"/>
        <v/>
      </c>
      <c r="O185" t="str">
        <f t="shared" si="22"/>
        <v/>
      </c>
      <c r="Q185" t="str">
        <f t="shared" si="23"/>
        <v/>
      </c>
      <c r="V185" t="str">
        <f t="shared" si="24"/>
        <v/>
      </c>
      <c r="Y185" t="str">
        <f t="shared" si="25"/>
        <v>A_CONTROLER</v>
      </c>
      <c r="Z185" t="str">
        <f t="shared" si="26"/>
        <v>A_CONTROLER</v>
      </c>
    </row>
    <row r="186" spans="2:26" x14ac:dyDescent="0.25">
      <c r="B186" t="str">
        <f t="shared" si="18"/>
        <v/>
      </c>
      <c r="C186" t="str">
        <f t="shared" si="19"/>
        <v/>
      </c>
      <c r="K186" t="str">
        <f t="shared" si="20"/>
        <v/>
      </c>
      <c r="N186" t="str">
        <f t="shared" si="21"/>
        <v/>
      </c>
      <c r="O186" t="str">
        <f t="shared" si="22"/>
        <v/>
      </c>
      <c r="Q186" t="str">
        <f t="shared" si="23"/>
        <v/>
      </c>
      <c r="V186" t="str">
        <f t="shared" si="24"/>
        <v/>
      </c>
      <c r="Y186" t="str">
        <f t="shared" si="25"/>
        <v>A_CONTROLER</v>
      </c>
      <c r="Z186" t="str">
        <f t="shared" si="26"/>
        <v>A_CONTROLER</v>
      </c>
    </row>
    <row r="187" spans="2:26" x14ac:dyDescent="0.25">
      <c r="B187" t="str">
        <f t="shared" si="18"/>
        <v/>
      </c>
      <c r="C187" t="str">
        <f t="shared" si="19"/>
        <v/>
      </c>
      <c r="K187" t="str">
        <f t="shared" si="20"/>
        <v/>
      </c>
      <c r="N187" t="str">
        <f t="shared" si="21"/>
        <v/>
      </c>
      <c r="O187" t="str">
        <f t="shared" si="22"/>
        <v/>
      </c>
      <c r="Q187" t="str">
        <f t="shared" si="23"/>
        <v/>
      </c>
      <c r="V187" t="str">
        <f t="shared" si="24"/>
        <v/>
      </c>
      <c r="Y187" t="str">
        <f t="shared" si="25"/>
        <v>A_CONTROLER</v>
      </c>
      <c r="Z187" t="str">
        <f t="shared" si="26"/>
        <v>A_CONTROLER</v>
      </c>
    </row>
    <row r="188" spans="2:26" x14ac:dyDescent="0.25">
      <c r="B188" t="str">
        <f t="shared" si="18"/>
        <v/>
      </c>
      <c r="C188" t="str">
        <f t="shared" si="19"/>
        <v/>
      </c>
      <c r="K188" t="str">
        <f t="shared" si="20"/>
        <v/>
      </c>
      <c r="N188" t="str">
        <f t="shared" si="21"/>
        <v/>
      </c>
      <c r="O188" t="str">
        <f t="shared" si="22"/>
        <v/>
      </c>
      <c r="Q188" t="str">
        <f t="shared" si="23"/>
        <v/>
      </c>
      <c r="V188" t="str">
        <f t="shared" si="24"/>
        <v/>
      </c>
      <c r="Y188" t="str">
        <f t="shared" si="25"/>
        <v>A_CONTROLER</v>
      </c>
      <c r="Z188" t="str">
        <f t="shared" si="26"/>
        <v>A_CONTROLER</v>
      </c>
    </row>
    <row r="189" spans="2:26" x14ac:dyDescent="0.25">
      <c r="B189" t="str">
        <f t="shared" si="18"/>
        <v/>
      </c>
      <c r="C189" t="str">
        <f t="shared" si="19"/>
        <v/>
      </c>
      <c r="K189" t="str">
        <f t="shared" si="20"/>
        <v/>
      </c>
      <c r="N189" t="str">
        <f t="shared" si="21"/>
        <v/>
      </c>
      <c r="O189" t="str">
        <f t="shared" si="22"/>
        <v/>
      </c>
      <c r="Q189" t="str">
        <f t="shared" si="23"/>
        <v/>
      </c>
      <c r="V189" t="str">
        <f t="shared" si="24"/>
        <v/>
      </c>
      <c r="Y189" t="str">
        <f t="shared" si="25"/>
        <v>A_CONTROLER</v>
      </c>
      <c r="Z189" t="str">
        <f t="shared" si="26"/>
        <v>A_CONTROLER</v>
      </c>
    </row>
    <row r="190" spans="2:26" x14ac:dyDescent="0.25">
      <c r="B190" t="str">
        <f t="shared" si="18"/>
        <v/>
      </c>
      <c r="C190" t="str">
        <f t="shared" si="19"/>
        <v/>
      </c>
      <c r="K190" t="str">
        <f t="shared" si="20"/>
        <v/>
      </c>
      <c r="N190" t="str">
        <f t="shared" si="21"/>
        <v/>
      </c>
      <c r="O190" t="str">
        <f t="shared" si="22"/>
        <v/>
      </c>
      <c r="Q190" t="str">
        <f t="shared" si="23"/>
        <v/>
      </c>
      <c r="V190" t="str">
        <f t="shared" si="24"/>
        <v/>
      </c>
      <c r="Y190" t="str">
        <f t="shared" si="25"/>
        <v>A_CONTROLER</v>
      </c>
      <c r="Z190" t="str">
        <f t="shared" si="26"/>
        <v>A_CONTROLER</v>
      </c>
    </row>
    <row r="191" spans="2:26" x14ac:dyDescent="0.25">
      <c r="B191" t="str">
        <f t="shared" si="18"/>
        <v/>
      </c>
      <c r="C191" t="str">
        <f t="shared" si="19"/>
        <v/>
      </c>
      <c r="K191" t="str">
        <f t="shared" si="20"/>
        <v/>
      </c>
      <c r="N191" t="str">
        <f t="shared" si="21"/>
        <v/>
      </c>
      <c r="O191" t="str">
        <f t="shared" si="22"/>
        <v/>
      </c>
      <c r="Q191" t="str">
        <f t="shared" si="23"/>
        <v/>
      </c>
      <c r="V191" t="str">
        <f t="shared" si="24"/>
        <v/>
      </c>
      <c r="Y191" t="str">
        <f t="shared" si="25"/>
        <v>A_CONTROLER</v>
      </c>
      <c r="Z191" t="str">
        <f t="shared" si="26"/>
        <v>A_CONTROLER</v>
      </c>
    </row>
    <row r="192" spans="2:26" x14ac:dyDescent="0.25">
      <c r="B192" t="str">
        <f t="shared" si="18"/>
        <v/>
      </c>
      <c r="C192" t="str">
        <f t="shared" si="19"/>
        <v/>
      </c>
      <c r="K192" t="str">
        <f t="shared" si="20"/>
        <v/>
      </c>
      <c r="N192" t="str">
        <f t="shared" si="21"/>
        <v/>
      </c>
      <c r="O192" t="str">
        <f t="shared" si="22"/>
        <v/>
      </c>
      <c r="Q192" t="str">
        <f t="shared" si="23"/>
        <v/>
      </c>
      <c r="V192" t="str">
        <f t="shared" si="24"/>
        <v/>
      </c>
      <c r="Y192" t="str">
        <f t="shared" si="25"/>
        <v>A_CONTROLER</v>
      </c>
      <c r="Z192" t="str">
        <f t="shared" si="26"/>
        <v>A_CONTROLER</v>
      </c>
    </row>
    <row r="193" spans="2:26" x14ac:dyDescent="0.25">
      <c r="B193" t="str">
        <f t="shared" si="18"/>
        <v/>
      </c>
      <c r="C193" t="str">
        <f t="shared" si="19"/>
        <v/>
      </c>
      <c r="K193" t="str">
        <f t="shared" si="20"/>
        <v/>
      </c>
      <c r="N193" t="str">
        <f t="shared" si="21"/>
        <v/>
      </c>
      <c r="O193" t="str">
        <f t="shared" si="22"/>
        <v/>
      </c>
      <c r="Q193" t="str">
        <f t="shared" si="23"/>
        <v/>
      </c>
      <c r="V193" t="str">
        <f t="shared" si="24"/>
        <v/>
      </c>
      <c r="Y193" t="str">
        <f t="shared" si="25"/>
        <v>A_CONTROLER</v>
      </c>
      <c r="Z193" t="str">
        <f t="shared" si="26"/>
        <v>A_CONTROLER</v>
      </c>
    </row>
    <row r="194" spans="2:26" x14ac:dyDescent="0.25">
      <c r="B194" t="str">
        <f t="shared" ref="B194:B257" si="27">IF(A194="","",A194&amp;"|"&amp;D194&amp;"|"&amp;F194&amp;"|"&amp;G194&amp;"|"&amp;IF(I194="","",YEAR(I194)&amp;RIGHT("0"&amp;MONTH(I194),2)&amp;RIGHT("0"&amp;DAY(I194),2))&amp;"|"&amp;IF(L194="","",IF(ROUND(L194*100,0)&lt;0,"-","")&amp;INT(ABS(ROUND(L194*100,0))/100)&amp;"."&amp;RIGHT("0"&amp;MOD(ABS(ROUND(L194*100,0)),100),2)))</f>
        <v/>
      </c>
      <c r="C194" t="str">
        <f t="shared" ref="C194:C257" si="28">IF(I194="","",YEAR(I194)&amp;"-"&amp;RIGHT("0"&amp;MONTH(I194),2))</f>
        <v/>
      </c>
      <c r="K194" t="str">
        <f t="shared" ref="K194:K257" si="29">IF(OR(I194="",J194=""),"",J194-I194)</f>
        <v/>
      </c>
      <c r="N194" t="str">
        <f t="shared" ref="N194:N257" si="30">IF(F194="","",IFERROR(VLOOKUP(F194,lst_PropTauxLookup,2,0),""))</f>
        <v/>
      </c>
      <c r="O194" t="str">
        <f t="shared" ref="O194:O257" si="31">IF(F194="","",IF(ISNUMBER(IFERROR(VLOOKUP(F194,lst_PropTauxLookup,2,0),"")),"REF_PROPRIETAIRE","A_CONTROLER"))</f>
        <v/>
      </c>
      <c r="Q194" t="str">
        <f t="shared" ref="Q194:Q257" si="32">IF(OR(L194="",N194=""),"",IFERROR((L194-IF(M194="",0,M194))*N194,0))</f>
        <v/>
      </c>
      <c r="V194" t="str">
        <f t="shared" ref="V194:V257" si="33">IF(L194="","",L194-IF(M194="",0,M194)-IF(Q194="",0,Q194)-IF(T194="",0,T194))</f>
        <v/>
      </c>
      <c r="Y194" t="str">
        <f t="shared" ref="Y194:Y257" si="34">IF(W194="IC","OUI",IF(W194="HC","OUI",IF(W194="HR","NON","A_CONTROLER")))</f>
        <v>A_CONTROLER</v>
      </c>
      <c r="Z194" t="str">
        <f t="shared" ref="Z194:Z257" si="35">IF(W194="IC","OUI",IF(W194="HC","NON",IF(W194="HR","NON","A_CONTROLER")))</f>
        <v>A_CONTROLER</v>
      </c>
    </row>
    <row r="195" spans="2:26" x14ac:dyDescent="0.25">
      <c r="B195" t="str">
        <f t="shared" si="27"/>
        <v/>
      </c>
      <c r="C195" t="str">
        <f t="shared" si="28"/>
        <v/>
      </c>
      <c r="K195" t="str">
        <f t="shared" si="29"/>
        <v/>
      </c>
      <c r="N195" t="str">
        <f t="shared" si="30"/>
        <v/>
      </c>
      <c r="O195" t="str">
        <f t="shared" si="31"/>
        <v/>
      </c>
      <c r="Q195" t="str">
        <f t="shared" si="32"/>
        <v/>
      </c>
      <c r="V195" t="str">
        <f t="shared" si="33"/>
        <v/>
      </c>
      <c r="Y195" t="str">
        <f t="shared" si="34"/>
        <v>A_CONTROLER</v>
      </c>
      <c r="Z195" t="str">
        <f t="shared" si="35"/>
        <v>A_CONTROLER</v>
      </c>
    </row>
    <row r="196" spans="2:26" x14ac:dyDescent="0.25">
      <c r="B196" t="str">
        <f t="shared" si="27"/>
        <v/>
      </c>
      <c r="C196" t="str">
        <f t="shared" si="28"/>
        <v/>
      </c>
      <c r="K196" t="str">
        <f t="shared" si="29"/>
        <v/>
      </c>
      <c r="N196" t="str">
        <f t="shared" si="30"/>
        <v/>
      </c>
      <c r="O196" t="str">
        <f t="shared" si="31"/>
        <v/>
      </c>
      <c r="Q196" t="str">
        <f t="shared" si="32"/>
        <v/>
      </c>
      <c r="V196" t="str">
        <f t="shared" si="33"/>
        <v/>
      </c>
      <c r="Y196" t="str">
        <f t="shared" si="34"/>
        <v>A_CONTROLER</v>
      </c>
      <c r="Z196" t="str">
        <f t="shared" si="35"/>
        <v>A_CONTROLER</v>
      </c>
    </row>
    <row r="197" spans="2:26" x14ac:dyDescent="0.25">
      <c r="B197" t="str">
        <f t="shared" si="27"/>
        <v/>
      </c>
      <c r="C197" t="str">
        <f t="shared" si="28"/>
        <v/>
      </c>
      <c r="K197" t="str">
        <f t="shared" si="29"/>
        <v/>
      </c>
      <c r="N197" t="str">
        <f t="shared" si="30"/>
        <v/>
      </c>
      <c r="O197" t="str">
        <f t="shared" si="31"/>
        <v/>
      </c>
      <c r="Q197" t="str">
        <f t="shared" si="32"/>
        <v/>
      </c>
      <c r="V197" t="str">
        <f t="shared" si="33"/>
        <v/>
      </c>
      <c r="Y197" t="str">
        <f t="shared" si="34"/>
        <v>A_CONTROLER</v>
      </c>
      <c r="Z197" t="str">
        <f t="shared" si="35"/>
        <v>A_CONTROLER</v>
      </c>
    </row>
    <row r="198" spans="2:26" x14ac:dyDescent="0.25">
      <c r="B198" t="str">
        <f t="shared" si="27"/>
        <v/>
      </c>
      <c r="C198" t="str">
        <f t="shared" si="28"/>
        <v/>
      </c>
      <c r="K198" t="str">
        <f t="shared" si="29"/>
        <v/>
      </c>
      <c r="N198" t="str">
        <f t="shared" si="30"/>
        <v/>
      </c>
      <c r="O198" t="str">
        <f t="shared" si="31"/>
        <v/>
      </c>
      <c r="Q198" t="str">
        <f t="shared" si="32"/>
        <v/>
      </c>
      <c r="V198" t="str">
        <f t="shared" si="33"/>
        <v/>
      </c>
      <c r="Y198" t="str">
        <f t="shared" si="34"/>
        <v>A_CONTROLER</v>
      </c>
      <c r="Z198" t="str">
        <f t="shared" si="35"/>
        <v>A_CONTROLER</v>
      </c>
    </row>
    <row r="199" spans="2:26" x14ac:dyDescent="0.25">
      <c r="B199" t="str">
        <f t="shared" si="27"/>
        <v/>
      </c>
      <c r="C199" t="str">
        <f t="shared" si="28"/>
        <v/>
      </c>
      <c r="K199" t="str">
        <f t="shared" si="29"/>
        <v/>
      </c>
      <c r="N199" t="str">
        <f t="shared" si="30"/>
        <v/>
      </c>
      <c r="O199" t="str">
        <f t="shared" si="31"/>
        <v/>
      </c>
      <c r="Q199" t="str">
        <f t="shared" si="32"/>
        <v/>
      </c>
      <c r="V199" t="str">
        <f t="shared" si="33"/>
        <v/>
      </c>
      <c r="Y199" t="str">
        <f t="shared" si="34"/>
        <v>A_CONTROLER</v>
      </c>
      <c r="Z199" t="str">
        <f t="shared" si="35"/>
        <v>A_CONTROLER</v>
      </c>
    </row>
    <row r="200" spans="2:26" x14ac:dyDescent="0.25">
      <c r="B200" t="str">
        <f t="shared" si="27"/>
        <v/>
      </c>
      <c r="C200" t="str">
        <f t="shared" si="28"/>
        <v/>
      </c>
      <c r="K200" t="str">
        <f t="shared" si="29"/>
        <v/>
      </c>
      <c r="N200" t="str">
        <f t="shared" si="30"/>
        <v/>
      </c>
      <c r="O200" t="str">
        <f t="shared" si="31"/>
        <v/>
      </c>
      <c r="Q200" t="str">
        <f t="shared" si="32"/>
        <v/>
      </c>
      <c r="V200" t="str">
        <f t="shared" si="33"/>
        <v/>
      </c>
      <c r="Y200" t="str">
        <f t="shared" si="34"/>
        <v>A_CONTROLER</v>
      </c>
      <c r="Z200" t="str">
        <f t="shared" si="35"/>
        <v>A_CONTROLER</v>
      </c>
    </row>
    <row r="201" spans="2:26" x14ac:dyDescent="0.25">
      <c r="B201" t="str">
        <f t="shared" si="27"/>
        <v/>
      </c>
      <c r="C201" t="str">
        <f t="shared" si="28"/>
        <v/>
      </c>
      <c r="K201" t="str">
        <f t="shared" si="29"/>
        <v/>
      </c>
      <c r="N201" t="str">
        <f t="shared" si="30"/>
        <v/>
      </c>
      <c r="O201" t="str">
        <f t="shared" si="31"/>
        <v/>
      </c>
      <c r="Q201" t="str">
        <f t="shared" si="32"/>
        <v/>
      </c>
      <c r="V201" t="str">
        <f t="shared" si="33"/>
        <v/>
      </c>
      <c r="Y201" t="str">
        <f t="shared" si="34"/>
        <v>A_CONTROLER</v>
      </c>
      <c r="Z201" t="str">
        <f t="shared" si="35"/>
        <v>A_CONTROLER</v>
      </c>
    </row>
    <row r="202" spans="2:26" x14ac:dyDescent="0.25">
      <c r="B202" t="str">
        <f t="shared" si="27"/>
        <v/>
      </c>
      <c r="C202" t="str">
        <f t="shared" si="28"/>
        <v/>
      </c>
      <c r="K202" t="str">
        <f t="shared" si="29"/>
        <v/>
      </c>
      <c r="N202" t="str">
        <f t="shared" si="30"/>
        <v/>
      </c>
      <c r="O202" t="str">
        <f t="shared" si="31"/>
        <v/>
      </c>
      <c r="Q202" t="str">
        <f t="shared" si="32"/>
        <v/>
      </c>
      <c r="V202" t="str">
        <f t="shared" si="33"/>
        <v/>
      </c>
      <c r="Y202" t="str">
        <f t="shared" si="34"/>
        <v>A_CONTROLER</v>
      </c>
      <c r="Z202" t="str">
        <f t="shared" si="35"/>
        <v>A_CONTROLER</v>
      </c>
    </row>
    <row r="203" spans="2:26" x14ac:dyDescent="0.25">
      <c r="B203" t="str">
        <f t="shared" si="27"/>
        <v/>
      </c>
      <c r="C203" t="str">
        <f t="shared" si="28"/>
        <v/>
      </c>
      <c r="K203" t="str">
        <f t="shared" si="29"/>
        <v/>
      </c>
      <c r="N203" t="str">
        <f t="shared" si="30"/>
        <v/>
      </c>
      <c r="O203" t="str">
        <f t="shared" si="31"/>
        <v/>
      </c>
      <c r="Q203" t="str">
        <f t="shared" si="32"/>
        <v/>
      </c>
      <c r="V203" t="str">
        <f t="shared" si="33"/>
        <v/>
      </c>
      <c r="Y203" t="str">
        <f t="shared" si="34"/>
        <v>A_CONTROLER</v>
      </c>
      <c r="Z203" t="str">
        <f t="shared" si="35"/>
        <v>A_CONTROLER</v>
      </c>
    </row>
    <row r="204" spans="2:26" x14ac:dyDescent="0.25">
      <c r="B204" t="str">
        <f t="shared" si="27"/>
        <v/>
      </c>
      <c r="C204" t="str">
        <f t="shared" si="28"/>
        <v/>
      </c>
      <c r="K204" t="str">
        <f t="shared" si="29"/>
        <v/>
      </c>
      <c r="N204" t="str">
        <f t="shared" si="30"/>
        <v/>
      </c>
      <c r="O204" t="str">
        <f t="shared" si="31"/>
        <v/>
      </c>
      <c r="Q204" t="str">
        <f t="shared" si="32"/>
        <v/>
      </c>
      <c r="V204" t="str">
        <f t="shared" si="33"/>
        <v/>
      </c>
      <c r="Y204" t="str">
        <f t="shared" si="34"/>
        <v>A_CONTROLER</v>
      </c>
      <c r="Z204" t="str">
        <f t="shared" si="35"/>
        <v>A_CONTROLER</v>
      </c>
    </row>
    <row r="205" spans="2:26" x14ac:dyDescent="0.25">
      <c r="B205" t="str">
        <f t="shared" si="27"/>
        <v/>
      </c>
      <c r="C205" t="str">
        <f t="shared" si="28"/>
        <v/>
      </c>
      <c r="K205" t="str">
        <f t="shared" si="29"/>
        <v/>
      </c>
      <c r="N205" t="str">
        <f t="shared" si="30"/>
        <v/>
      </c>
      <c r="O205" t="str">
        <f t="shared" si="31"/>
        <v/>
      </c>
      <c r="Q205" t="str">
        <f t="shared" si="32"/>
        <v/>
      </c>
      <c r="V205" t="str">
        <f t="shared" si="33"/>
        <v/>
      </c>
      <c r="Y205" t="str">
        <f t="shared" si="34"/>
        <v>A_CONTROLER</v>
      </c>
      <c r="Z205" t="str">
        <f t="shared" si="35"/>
        <v>A_CONTROLER</v>
      </c>
    </row>
    <row r="206" spans="2:26" x14ac:dyDescent="0.25">
      <c r="B206" t="str">
        <f t="shared" si="27"/>
        <v/>
      </c>
      <c r="C206" t="str">
        <f t="shared" si="28"/>
        <v/>
      </c>
      <c r="K206" t="str">
        <f t="shared" si="29"/>
        <v/>
      </c>
      <c r="N206" t="str">
        <f t="shared" si="30"/>
        <v/>
      </c>
      <c r="O206" t="str">
        <f t="shared" si="31"/>
        <v/>
      </c>
      <c r="Q206" t="str">
        <f t="shared" si="32"/>
        <v/>
      </c>
      <c r="V206" t="str">
        <f t="shared" si="33"/>
        <v/>
      </c>
      <c r="Y206" t="str">
        <f t="shared" si="34"/>
        <v>A_CONTROLER</v>
      </c>
      <c r="Z206" t="str">
        <f t="shared" si="35"/>
        <v>A_CONTROLER</v>
      </c>
    </row>
    <row r="207" spans="2:26" x14ac:dyDescent="0.25">
      <c r="B207" t="str">
        <f t="shared" si="27"/>
        <v/>
      </c>
      <c r="C207" t="str">
        <f t="shared" si="28"/>
        <v/>
      </c>
      <c r="K207" t="str">
        <f t="shared" si="29"/>
        <v/>
      </c>
      <c r="N207" t="str">
        <f t="shared" si="30"/>
        <v/>
      </c>
      <c r="O207" t="str">
        <f t="shared" si="31"/>
        <v/>
      </c>
      <c r="Q207" t="str">
        <f t="shared" si="32"/>
        <v/>
      </c>
      <c r="V207" t="str">
        <f t="shared" si="33"/>
        <v/>
      </c>
      <c r="Y207" t="str">
        <f t="shared" si="34"/>
        <v>A_CONTROLER</v>
      </c>
      <c r="Z207" t="str">
        <f t="shared" si="35"/>
        <v>A_CONTROLER</v>
      </c>
    </row>
    <row r="208" spans="2:26" x14ac:dyDescent="0.25">
      <c r="B208" t="str">
        <f t="shared" si="27"/>
        <v/>
      </c>
      <c r="C208" t="str">
        <f t="shared" si="28"/>
        <v/>
      </c>
      <c r="K208" t="str">
        <f t="shared" si="29"/>
        <v/>
      </c>
      <c r="N208" t="str">
        <f t="shared" si="30"/>
        <v/>
      </c>
      <c r="O208" t="str">
        <f t="shared" si="31"/>
        <v/>
      </c>
      <c r="Q208" t="str">
        <f t="shared" si="32"/>
        <v/>
      </c>
      <c r="V208" t="str">
        <f t="shared" si="33"/>
        <v/>
      </c>
      <c r="Y208" t="str">
        <f t="shared" si="34"/>
        <v>A_CONTROLER</v>
      </c>
      <c r="Z208" t="str">
        <f t="shared" si="35"/>
        <v>A_CONTROLER</v>
      </c>
    </row>
    <row r="209" spans="2:26" x14ac:dyDescent="0.25">
      <c r="B209" t="str">
        <f t="shared" si="27"/>
        <v/>
      </c>
      <c r="C209" t="str">
        <f t="shared" si="28"/>
        <v/>
      </c>
      <c r="K209" t="str">
        <f t="shared" si="29"/>
        <v/>
      </c>
      <c r="N209" t="str">
        <f t="shared" si="30"/>
        <v/>
      </c>
      <c r="O209" t="str">
        <f t="shared" si="31"/>
        <v/>
      </c>
      <c r="Q209" t="str">
        <f t="shared" si="32"/>
        <v/>
      </c>
      <c r="V209" t="str">
        <f t="shared" si="33"/>
        <v/>
      </c>
      <c r="Y209" t="str">
        <f t="shared" si="34"/>
        <v>A_CONTROLER</v>
      </c>
      <c r="Z209" t="str">
        <f t="shared" si="35"/>
        <v>A_CONTROLER</v>
      </c>
    </row>
    <row r="210" spans="2:26" x14ac:dyDescent="0.25">
      <c r="B210" t="str">
        <f t="shared" si="27"/>
        <v/>
      </c>
      <c r="C210" t="str">
        <f t="shared" si="28"/>
        <v/>
      </c>
      <c r="K210" t="str">
        <f t="shared" si="29"/>
        <v/>
      </c>
      <c r="N210" t="str">
        <f t="shared" si="30"/>
        <v/>
      </c>
      <c r="O210" t="str">
        <f t="shared" si="31"/>
        <v/>
      </c>
      <c r="Q210" t="str">
        <f t="shared" si="32"/>
        <v/>
      </c>
      <c r="V210" t="str">
        <f t="shared" si="33"/>
        <v/>
      </c>
      <c r="Y210" t="str">
        <f t="shared" si="34"/>
        <v>A_CONTROLER</v>
      </c>
      <c r="Z210" t="str">
        <f t="shared" si="35"/>
        <v>A_CONTROLER</v>
      </c>
    </row>
    <row r="211" spans="2:26" x14ac:dyDescent="0.25">
      <c r="B211" t="str">
        <f t="shared" si="27"/>
        <v/>
      </c>
      <c r="C211" t="str">
        <f t="shared" si="28"/>
        <v/>
      </c>
      <c r="K211" t="str">
        <f t="shared" si="29"/>
        <v/>
      </c>
      <c r="N211" t="str">
        <f t="shared" si="30"/>
        <v/>
      </c>
      <c r="O211" t="str">
        <f t="shared" si="31"/>
        <v/>
      </c>
      <c r="Q211" t="str">
        <f t="shared" si="32"/>
        <v/>
      </c>
      <c r="V211" t="str">
        <f t="shared" si="33"/>
        <v/>
      </c>
      <c r="Y211" t="str">
        <f t="shared" si="34"/>
        <v>A_CONTROLER</v>
      </c>
      <c r="Z211" t="str">
        <f t="shared" si="35"/>
        <v>A_CONTROLER</v>
      </c>
    </row>
    <row r="212" spans="2:26" x14ac:dyDescent="0.25">
      <c r="B212" t="str">
        <f t="shared" si="27"/>
        <v/>
      </c>
      <c r="C212" t="str">
        <f t="shared" si="28"/>
        <v/>
      </c>
      <c r="K212" t="str">
        <f t="shared" si="29"/>
        <v/>
      </c>
      <c r="N212" t="str">
        <f t="shared" si="30"/>
        <v/>
      </c>
      <c r="O212" t="str">
        <f t="shared" si="31"/>
        <v/>
      </c>
      <c r="Q212" t="str">
        <f t="shared" si="32"/>
        <v/>
      </c>
      <c r="V212" t="str">
        <f t="shared" si="33"/>
        <v/>
      </c>
      <c r="Y212" t="str">
        <f t="shared" si="34"/>
        <v>A_CONTROLER</v>
      </c>
      <c r="Z212" t="str">
        <f t="shared" si="35"/>
        <v>A_CONTROLER</v>
      </c>
    </row>
    <row r="213" spans="2:26" x14ac:dyDescent="0.25">
      <c r="B213" t="str">
        <f t="shared" si="27"/>
        <v/>
      </c>
      <c r="C213" t="str">
        <f t="shared" si="28"/>
        <v/>
      </c>
      <c r="K213" t="str">
        <f t="shared" si="29"/>
        <v/>
      </c>
      <c r="N213" t="str">
        <f t="shared" si="30"/>
        <v/>
      </c>
      <c r="O213" t="str">
        <f t="shared" si="31"/>
        <v/>
      </c>
      <c r="Q213" t="str">
        <f t="shared" si="32"/>
        <v/>
      </c>
      <c r="V213" t="str">
        <f t="shared" si="33"/>
        <v/>
      </c>
      <c r="Y213" t="str">
        <f t="shared" si="34"/>
        <v>A_CONTROLER</v>
      </c>
      <c r="Z213" t="str">
        <f t="shared" si="35"/>
        <v>A_CONTROLER</v>
      </c>
    </row>
    <row r="214" spans="2:26" x14ac:dyDescent="0.25">
      <c r="B214" t="str">
        <f t="shared" si="27"/>
        <v/>
      </c>
      <c r="C214" t="str">
        <f t="shared" si="28"/>
        <v/>
      </c>
      <c r="K214" t="str">
        <f t="shared" si="29"/>
        <v/>
      </c>
      <c r="N214" t="str">
        <f t="shared" si="30"/>
        <v/>
      </c>
      <c r="O214" t="str">
        <f t="shared" si="31"/>
        <v/>
      </c>
      <c r="Q214" t="str">
        <f t="shared" si="32"/>
        <v/>
      </c>
      <c r="V214" t="str">
        <f t="shared" si="33"/>
        <v/>
      </c>
      <c r="Y214" t="str">
        <f t="shared" si="34"/>
        <v>A_CONTROLER</v>
      </c>
      <c r="Z214" t="str">
        <f t="shared" si="35"/>
        <v>A_CONTROLER</v>
      </c>
    </row>
    <row r="215" spans="2:26" x14ac:dyDescent="0.25">
      <c r="B215" t="str">
        <f t="shared" si="27"/>
        <v/>
      </c>
      <c r="C215" t="str">
        <f t="shared" si="28"/>
        <v/>
      </c>
      <c r="K215" t="str">
        <f t="shared" si="29"/>
        <v/>
      </c>
      <c r="N215" t="str">
        <f t="shared" si="30"/>
        <v/>
      </c>
      <c r="O215" t="str">
        <f t="shared" si="31"/>
        <v/>
      </c>
      <c r="Q215" t="str">
        <f t="shared" si="32"/>
        <v/>
      </c>
      <c r="V215" t="str">
        <f t="shared" si="33"/>
        <v/>
      </c>
      <c r="Y215" t="str">
        <f t="shared" si="34"/>
        <v>A_CONTROLER</v>
      </c>
      <c r="Z215" t="str">
        <f t="shared" si="35"/>
        <v>A_CONTROLER</v>
      </c>
    </row>
    <row r="216" spans="2:26" x14ac:dyDescent="0.25">
      <c r="B216" t="str">
        <f t="shared" si="27"/>
        <v/>
      </c>
      <c r="C216" t="str">
        <f t="shared" si="28"/>
        <v/>
      </c>
      <c r="K216" t="str">
        <f t="shared" si="29"/>
        <v/>
      </c>
      <c r="N216" t="str">
        <f t="shared" si="30"/>
        <v/>
      </c>
      <c r="O216" t="str">
        <f t="shared" si="31"/>
        <v/>
      </c>
      <c r="Q216" t="str">
        <f t="shared" si="32"/>
        <v/>
      </c>
      <c r="V216" t="str">
        <f t="shared" si="33"/>
        <v/>
      </c>
      <c r="Y216" t="str">
        <f t="shared" si="34"/>
        <v>A_CONTROLER</v>
      </c>
      <c r="Z216" t="str">
        <f t="shared" si="35"/>
        <v>A_CONTROLER</v>
      </c>
    </row>
    <row r="217" spans="2:26" x14ac:dyDescent="0.25">
      <c r="B217" t="str">
        <f t="shared" si="27"/>
        <v/>
      </c>
      <c r="C217" t="str">
        <f t="shared" si="28"/>
        <v/>
      </c>
      <c r="K217" t="str">
        <f t="shared" si="29"/>
        <v/>
      </c>
      <c r="N217" t="str">
        <f t="shared" si="30"/>
        <v/>
      </c>
      <c r="O217" t="str">
        <f t="shared" si="31"/>
        <v/>
      </c>
      <c r="Q217" t="str">
        <f t="shared" si="32"/>
        <v/>
      </c>
      <c r="V217" t="str">
        <f t="shared" si="33"/>
        <v/>
      </c>
      <c r="Y217" t="str">
        <f t="shared" si="34"/>
        <v>A_CONTROLER</v>
      </c>
      <c r="Z217" t="str">
        <f t="shared" si="35"/>
        <v>A_CONTROLER</v>
      </c>
    </row>
    <row r="218" spans="2:26" x14ac:dyDescent="0.25">
      <c r="B218" t="str">
        <f t="shared" si="27"/>
        <v/>
      </c>
      <c r="C218" t="str">
        <f t="shared" si="28"/>
        <v/>
      </c>
      <c r="K218" t="str">
        <f t="shared" si="29"/>
        <v/>
      </c>
      <c r="N218" t="str">
        <f t="shared" si="30"/>
        <v/>
      </c>
      <c r="O218" t="str">
        <f t="shared" si="31"/>
        <v/>
      </c>
      <c r="Q218" t="str">
        <f t="shared" si="32"/>
        <v/>
      </c>
      <c r="V218" t="str">
        <f t="shared" si="33"/>
        <v/>
      </c>
      <c r="Y218" t="str">
        <f t="shared" si="34"/>
        <v>A_CONTROLER</v>
      </c>
      <c r="Z218" t="str">
        <f t="shared" si="35"/>
        <v>A_CONTROLER</v>
      </c>
    </row>
    <row r="219" spans="2:26" x14ac:dyDescent="0.25">
      <c r="B219" t="str">
        <f t="shared" si="27"/>
        <v/>
      </c>
      <c r="C219" t="str">
        <f t="shared" si="28"/>
        <v/>
      </c>
      <c r="K219" t="str">
        <f t="shared" si="29"/>
        <v/>
      </c>
      <c r="N219" t="str">
        <f t="shared" si="30"/>
        <v/>
      </c>
      <c r="O219" t="str">
        <f t="shared" si="31"/>
        <v/>
      </c>
      <c r="Q219" t="str">
        <f t="shared" si="32"/>
        <v/>
      </c>
      <c r="V219" t="str">
        <f t="shared" si="33"/>
        <v/>
      </c>
      <c r="Y219" t="str">
        <f t="shared" si="34"/>
        <v>A_CONTROLER</v>
      </c>
      <c r="Z219" t="str">
        <f t="shared" si="35"/>
        <v>A_CONTROLER</v>
      </c>
    </row>
    <row r="220" spans="2:26" x14ac:dyDescent="0.25">
      <c r="B220" t="str">
        <f t="shared" si="27"/>
        <v/>
      </c>
      <c r="C220" t="str">
        <f t="shared" si="28"/>
        <v/>
      </c>
      <c r="K220" t="str">
        <f t="shared" si="29"/>
        <v/>
      </c>
      <c r="N220" t="str">
        <f t="shared" si="30"/>
        <v/>
      </c>
      <c r="O220" t="str">
        <f t="shared" si="31"/>
        <v/>
      </c>
      <c r="Q220" t="str">
        <f t="shared" si="32"/>
        <v/>
      </c>
      <c r="V220" t="str">
        <f t="shared" si="33"/>
        <v/>
      </c>
      <c r="Y220" t="str">
        <f t="shared" si="34"/>
        <v>A_CONTROLER</v>
      </c>
      <c r="Z220" t="str">
        <f t="shared" si="35"/>
        <v>A_CONTROLER</v>
      </c>
    </row>
    <row r="221" spans="2:26" x14ac:dyDescent="0.25">
      <c r="B221" t="str">
        <f t="shared" si="27"/>
        <v/>
      </c>
      <c r="C221" t="str">
        <f t="shared" si="28"/>
        <v/>
      </c>
      <c r="K221" t="str">
        <f t="shared" si="29"/>
        <v/>
      </c>
      <c r="N221" t="str">
        <f t="shared" si="30"/>
        <v/>
      </c>
      <c r="O221" t="str">
        <f t="shared" si="31"/>
        <v/>
      </c>
      <c r="Q221" t="str">
        <f t="shared" si="32"/>
        <v/>
      </c>
      <c r="V221" t="str">
        <f t="shared" si="33"/>
        <v/>
      </c>
      <c r="Y221" t="str">
        <f t="shared" si="34"/>
        <v>A_CONTROLER</v>
      </c>
      <c r="Z221" t="str">
        <f t="shared" si="35"/>
        <v>A_CONTROLER</v>
      </c>
    </row>
    <row r="222" spans="2:26" x14ac:dyDescent="0.25">
      <c r="B222" t="str">
        <f t="shared" si="27"/>
        <v/>
      </c>
      <c r="C222" t="str">
        <f t="shared" si="28"/>
        <v/>
      </c>
      <c r="K222" t="str">
        <f t="shared" si="29"/>
        <v/>
      </c>
      <c r="N222" t="str">
        <f t="shared" si="30"/>
        <v/>
      </c>
      <c r="O222" t="str">
        <f t="shared" si="31"/>
        <v/>
      </c>
      <c r="Q222" t="str">
        <f t="shared" si="32"/>
        <v/>
      </c>
      <c r="V222" t="str">
        <f t="shared" si="33"/>
        <v/>
      </c>
      <c r="Y222" t="str">
        <f t="shared" si="34"/>
        <v>A_CONTROLER</v>
      </c>
      <c r="Z222" t="str">
        <f t="shared" si="35"/>
        <v>A_CONTROLER</v>
      </c>
    </row>
    <row r="223" spans="2:26" x14ac:dyDescent="0.25">
      <c r="B223" t="str">
        <f t="shared" si="27"/>
        <v/>
      </c>
      <c r="C223" t="str">
        <f t="shared" si="28"/>
        <v/>
      </c>
      <c r="K223" t="str">
        <f t="shared" si="29"/>
        <v/>
      </c>
      <c r="N223" t="str">
        <f t="shared" si="30"/>
        <v/>
      </c>
      <c r="O223" t="str">
        <f t="shared" si="31"/>
        <v/>
      </c>
      <c r="Q223" t="str">
        <f t="shared" si="32"/>
        <v/>
      </c>
      <c r="V223" t="str">
        <f t="shared" si="33"/>
        <v/>
      </c>
      <c r="Y223" t="str">
        <f t="shared" si="34"/>
        <v>A_CONTROLER</v>
      </c>
      <c r="Z223" t="str">
        <f t="shared" si="35"/>
        <v>A_CONTROLER</v>
      </c>
    </row>
    <row r="224" spans="2:26" x14ac:dyDescent="0.25">
      <c r="B224" t="str">
        <f t="shared" si="27"/>
        <v/>
      </c>
      <c r="C224" t="str">
        <f t="shared" si="28"/>
        <v/>
      </c>
      <c r="K224" t="str">
        <f t="shared" si="29"/>
        <v/>
      </c>
      <c r="N224" t="str">
        <f t="shared" si="30"/>
        <v/>
      </c>
      <c r="O224" t="str">
        <f t="shared" si="31"/>
        <v/>
      </c>
      <c r="Q224" t="str">
        <f t="shared" si="32"/>
        <v/>
      </c>
      <c r="V224" t="str">
        <f t="shared" si="33"/>
        <v/>
      </c>
      <c r="Y224" t="str">
        <f t="shared" si="34"/>
        <v>A_CONTROLER</v>
      </c>
      <c r="Z224" t="str">
        <f t="shared" si="35"/>
        <v>A_CONTROLER</v>
      </c>
    </row>
    <row r="225" spans="2:26" x14ac:dyDescent="0.25">
      <c r="B225" t="str">
        <f t="shared" si="27"/>
        <v/>
      </c>
      <c r="C225" t="str">
        <f t="shared" si="28"/>
        <v/>
      </c>
      <c r="K225" t="str">
        <f t="shared" si="29"/>
        <v/>
      </c>
      <c r="N225" t="str">
        <f t="shared" si="30"/>
        <v/>
      </c>
      <c r="O225" t="str">
        <f t="shared" si="31"/>
        <v/>
      </c>
      <c r="Q225" t="str">
        <f t="shared" si="32"/>
        <v/>
      </c>
      <c r="V225" t="str">
        <f t="shared" si="33"/>
        <v/>
      </c>
      <c r="Y225" t="str">
        <f t="shared" si="34"/>
        <v>A_CONTROLER</v>
      </c>
      <c r="Z225" t="str">
        <f t="shared" si="35"/>
        <v>A_CONTROLER</v>
      </c>
    </row>
    <row r="226" spans="2:26" x14ac:dyDescent="0.25">
      <c r="B226" t="str">
        <f t="shared" si="27"/>
        <v/>
      </c>
      <c r="C226" t="str">
        <f t="shared" si="28"/>
        <v/>
      </c>
      <c r="K226" t="str">
        <f t="shared" si="29"/>
        <v/>
      </c>
      <c r="N226" t="str">
        <f t="shared" si="30"/>
        <v/>
      </c>
      <c r="O226" t="str">
        <f t="shared" si="31"/>
        <v/>
      </c>
      <c r="Q226" t="str">
        <f t="shared" si="32"/>
        <v/>
      </c>
      <c r="V226" t="str">
        <f t="shared" si="33"/>
        <v/>
      </c>
      <c r="Y226" t="str">
        <f t="shared" si="34"/>
        <v>A_CONTROLER</v>
      </c>
      <c r="Z226" t="str">
        <f t="shared" si="35"/>
        <v>A_CONTROLER</v>
      </c>
    </row>
    <row r="227" spans="2:26" x14ac:dyDescent="0.25">
      <c r="B227" t="str">
        <f t="shared" si="27"/>
        <v/>
      </c>
      <c r="C227" t="str">
        <f t="shared" si="28"/>
        <v/>
      </c>
      <c r="K227" t="str">
        <f t="shared" si="29"/>
        <v/>
      </c>
      <c r="N227" t="str">
        <f t="shared" si="30"/>
        <v/>
      </c>
      <c r="O227" t="str">
        <f t="shared" si="31"/>
        <v/>
      </c>
      <c r="Q227" t="str">
        <f t="shared" si="32"/>
        <v/>
      </c>
      <c r="V227" t="str">
        <f t="shared" si="33"/>
        <v/>
      </c>
      <c r="Y227" t="str">
        <f t="shared" si="34"/>
        <v>A_CONTROLER</v>
      </c>
      <c r="Z227" t="str">
        <f t="shared" si="35"/>
        <v>A_CONTROLER</v>
      </c>
    </row>
    <row r="228" spans="2:26" x14ac:dyDescent="0.25">
      <c r="B228" t="str">
        <f t="shared" si="27"/>
        <v/>
      </c>
      <c r="C228" t="str">
        <f t="shared" si="28"/>
        <v/>
      </c>
      <c r="K228" t="str">
        <f t="shared" si="29"/>
        <v/>
      </c>
      <c r="N228" t="str">
        <f t="shared" si="30"/>
        <v/>
      </c>
      <c r="O228" t="str">
        <f t="shared" si="31"/>
        <v/>
      </c>
      <c r="Q228" t="str">
        <f t="shared" si="32"/>
        <v/>
      </c>
      <c r="V228" t="str">
        <f t="shared" si="33"/>
        <v/>
      </c>
      <c r="Y228" t="str">
        <f t="shared" si="34"/>
        <v>A_CONTROLER</v>
      </c>
      <c r="Z228" t="str">
        <f t="shared" si="35"/>
        <v>A_CONTROLER</v>
      </c>
    </row>
    <row r="229" spans="2:26" x14ac:dyDescent="0.25">
      <c r="B229" t="str">
        <f t="shared" si="27"/>
        <v/>
      </c>
      <c r="C229" t="str">
        <f t="shared" si="28"/>
        <v/>
      </c>
      <c r="K229" t="str">
        <f t="shared" si="29"/>
        <v/>
      </c>
      <c r="N229" t="str">
        <f t="shared" si="30"/>
        <v/>
      </c>
      <c r="O229" t="str">
        <f t="shared" si="31"/>
        <v/>
      </c>
      <c r="Q229" t="str">
        <f t="shared" si="32"/>
        <v/>
      </c>
      <c r="V229" t="str">
        <f t="shared" si="33"/>
        <v/>
      </c>
      <c r="Y229" t="str">
        <f t="shared" si="34"/>
        <v>A_CONTROLER</v>
      </c>
      <c r="Z229" t="str">
        <f t="shared" si="35"/>
        <v>A_CONTROLER</v>
      </c>
    </row>
    <row r="230" spans="2:26" x14ac:dyDescent="0.25">
      <c r="B230" t="str">
        <f t="shared" si="27"/>
        <v/>
      </c>
      <c r="C230" t="str">
        <f t="shared" si="28"/>
        <v/>
      </c>
      <c r="K230" t="str">
        <f t="shared" si="29"/>
        <v/>
      </c>
      <c r="N230" t="str">
        <f t="shared" si="30"/>
        <v/>
      </c>
      <c r="O230" t="str">
        <f t="shared" si="31"/>
        <v/>
      </c>
      <c r="Q230" t="str">
        <f t="shared" si="32"/>
        <v/>
      </c>
      <c r="V230" t="str">
        <f t="shared" si="33"/>
        <v/>
      </c>
      <c r="Y230" t="str">
        <f t="shared" si="34"/>
        <v>A_CONTROLER</v>
      </c>
      <c r="Z230" t="str">
        <f t="shared" si="35"/>
        <v>A_CONTROLER</v>
      </c>
    </row>
    <row r="231" spans="2:26" x14ac:dyDescent="0.25">
      <c r="B231" t="str">
        <f t="shared" si="27"/>
        <v/>
      </c>
      <c r="C231" t="str">
        <f t="shared" si="28"/>
        <v/>
      </c>
      <c r="K231" t="str">
        <f t="shared" si="29"/>
        <v/>
      </c>
      <c r="N231" t="str">
        <f t="shared" si="30"/>
        <v/>
      </c>
      <c r="O231" t="str">
        <f t="shared" si="31"/>
        <v/>
      </c>
      <c r="Q231" t="str">
        <f t="shared" si="32"/>
        <v/>
      </c>
      <c r="V231" t="str">
        <f t="shared" si="33"/>
        <v/>
      </c>
      <c r="Y231" t="str">
        <f t="shared" si="34"/>
        <v>A_CONTROLER</v>
      </c>
      <c r="Z231" t="str">
        <f t="shared" si="35"/>
        <v>A_CONTROLER</v>
      </c>
    </row>
    <row r="232" spans="2:26" x14ac:dyDescent="0.25">
      <c r="B232" t="str">
        <f t="shared" si="27"/>
        <v/>
      </c>
      <c r="C232" t="str">
        <f t="shared" si="28"/>
        <v/>
      </c>
      <c r="K232" t="str">
        <f t="shared" si="29"/>
        <v/>
      </c>
      <c r="N232" t="str">
        <f t="shared" si="30"/>
        <v/>
      </c>
      <c r="O232" t="str">
        <f t="shared" si="31"/>
        <v/>
      </c>
      <c r="Q232" t="str">
        <f t="shared" si="32"/>
        <v/>
      </c>
      <c r="V232" t="str">
        <f t="shared" si="33"/>
        <v/>
      </c>
      <c r="Y232" t="str">
        <f t="shared" si="34"/>
        <v>A_CONTROLER</v>
      </c>
      <c r="Z232" t="str">
        <f t="shared" si="35"/>
        <v>A_CONTROLER</v>
      </c>
    </row>
    <row r="233" spans="2:26" x14ac:dyDescent="0.25">
      <c r="B233" t="str">
        <f t="shared" si="27"/>
        <v/>
      </c>
      <c r="C233" t="str">
        <f t="shared" si="28"/>
        <v/>
      </c>
      <c r="K233" t="str">
        <f t="shared" si="29"/>
        <v/>
      </c>
      <c r="N233" t="str">
        <f t="shared" si="30"/>
        <v/>
      </c>
      <c r="O233" t="str">
        <f t="shared" si="31"/>
        <v/>
      </c>
      <c r="Q233" t="str">
        <f t="shared" si="32"/>
        <v/>
      </c>
      <c r="V233" t="str">
        <f t="shared" si="33"/>
        <v/>
      </c>
      <c r="Y233" t="str">
        <f t="shared" si="34"/>
        <v>A_CONTROLER</v>
      </c>
      <c r="Z233" t="str">
        <f t="shared" si="35"/>
        <v>A_CONTROLER</v>
      </c>
    </row>
    <row r="234" spans="2:26" x14ac:dyDescent="0.25">
      <c r="B234" t="str">
        <f t="shared" si="27"/>
        <v/>
      </c>
      <c r="C234" t="str">
        <f t="shared" si="28"/>
        <v/>
      </c>
      <c r="K234" t="str">
        <f t="shared" si="29"/>
        <v/>
      </c>
      <c r="N234" t="str">
        <f t="shared" si="30"/>
        <v/>
      </c>
      <c r="O234" t="str">
        <f t="shared" si="31"/>
        <v/>
      </c>
      <c r="Q234" t="str">
        <f t="shared" si="32"/>
        <v/>
      </c>
      <c r="V234" t="str">
        <f t="shared" si="33"/>
        <v/>
      </c>
      <c r="Y234" t="str">
        <f t="shared" si="34"/>
        <v>A_CONTROLER</v>
      </c>
      <c r="Z234" t="str">
        <f t="shared" si="35"/>
        <v>A_CONTROLER</v>
      </c>
    </row>
    <row r="235" spans="2:26" x14ac:dyDescent="0.25">
      <c r="B235" t="str">
        <f t="shared" si="27"/>
        <v/>
      </c>
      <c r="C235" t="str">
        <f t="shared" si="28"/>
        <v/>
      </c>
      <c r="K235" t="str">
        <f t="shared" si="29"/>
        <v/>
      </c>
      <c r="N235" t="str">
        <f t="shared" si="30"/>
        <v/>
      </c>
      <c r="O235" t="str">
        <f t="shared" si="31"/>
        <v/>
      </c>
      <c r="Q235" t="str">
        <f t="shared" si="32"/>
        <v/>
      </c>
      <c r="V235" t="str">
        <f t="shared" si="33"/>
        <v/>
      </c>
      <c r="Y235" t="str">
        <f t="shared" si="34"/>
        <v>A_CONTROLER</v>
      </c>
      <c r="Z235" t="str">
        <f t="shared" si="35"/>
        <v>A_CONTROLER</v>
      </c>
    </row>
    <row r="236" spans="2:26" x14ac:dyDescent="0.25">
      <c r="B236" t="str">
        <f t="shared" si="27"/>
        <v/>
      </c>
      <c r="C236" t="str">
        <f t="shared" si="28"/>
        <v/>
      </c>
      <c r="K236" t="str">
        <f t="shared" si="29"/>
        <v/>
      </c>
      <c r="N236" t="str">
        <f t="shared" si="30"/>
        <v/>
      </c>
      <c r="O236" t="str">
        <f t="shared" si="31"/>
        <v/>
      </c>
      <c r="Q236" t="str">
        <f t="shared" si="32"/>
        <v/>
      </c>
      <c r="V236" t="str">
        <f t="shared" si="33"/>
        <v/>
      </c>
      <c r="Y236" t="str">
        <f t="shared" si="34"/>
        <v>A_CONTROLER</v>
      </c>
      <c r="Z236" t="str">
        <f t="shared" si="35"/>
        <v>A_CONTROLER</v>
      </c>
    </row>
    <row r="237" spans="2:26" x14ac:dyDescent="0.25">
      <c r="B237" t="str">
        <f t="shared" si="27"/>
        <v/>
      </c>
      <c r="C237" t="str">
        <f t="shared" si="28"/>
        <v/>
      </c>
      <c r="K237" t="str">
        <f t="shared" si="29"/>
        <v/>
      </c>
      <c r="N237" t="str">
        <f t="shared" si="30"/>
        <v/>
      </c>
      <c r="O237" t="str">
        <f t="shared" si="31"/>
        <v/>
      </c>
      <c r="Q237" t="str">
        <f t="shared" si="32"/>
        <v/>
      </c>
      <c r="V237" t="str">
        <f t="shared" si="33"/>
        <v/>
      </c>
      <c r="Y237" t="str">
        <f t="shared" si="34"/>
        <v>A_CONTROLER</v>
      </c>
      <c r="Z237" t="str">
        <f t="shared" si="35"/>
        <v>A_CONTROLER</v>
      </c>
    </row>
    <row r="238" spans="2:26" x14ac:dyDescent="0.25">
      <c r="B238" t="str">
        <f t="shared" si="27"/>
        <v/>
      </c>
      <c r="C238" t="str">
        <f t="shared" si="28"/>
        <v/>
      </c>
      <c r="K238" t="str">
        <f t="shared" si="29"/>
        <v/>
      </c>
      <c r="N238" t="str">
        <f t="shared" si="30"/>
        <v/>
      </c>
      <c r="O238" t="str">
        <f t="shared" si="31"/>
        <v/>
      </c>
      <c r="Q238" t="str">
        <f t="shared" si="32"/>
        <v/>
      </c>
      <c r="V238" t="str">
        <f t="shared" si="33"/>
        <v/>
      </c>
      <c r="Y238" t="str">
        <f t="shared" si="34"/>
        <v>A_CONTROLER</v>
      </c>
      <c r="Z238" t="str">
        <f t="shared" si="35"/>
        <v>A_CONTROLER</v>
      </c>
    </row>
    <row r="239" spans="2:26" x14ac:dyDescent="0.25">
      <c r="B239" t="str">
        <f t="shared" si="27"/>
        <v/>
      </c>
      <c r="C239" t="str">
        <f t="shared" si="28"/>
        <v/>
      </c>
      <c r="K239" t="str">
        <f t="shared" si="29"/>
        <v/>
      </c>
      <c r="N239" t="str">
        <f t="shared" si="30"/>
        <v/>
      </c>
      <c r="O239" t="str">
        <f t="shared" si="31"/>
        <v/>
      </c>
      <c r="Q239" t="str">
        <f t="shared" si="32"/>
        <v/>
      </c>
      <c r="V239" t="str">
        <f t="shared" si="33"/>
        <v/>
      </c>
      <c r="Y239" t="str">
        <f t="shared" si="34"/>
        <v>A_CONTROLER</v>
      </c>
      <c r="Z239" t="str">
        <f t="shared" si="35"/>
        <v>A_CONTROLER</v>
      </c>
    </row>
    <row r="240" spans="2:26" x14ac:dyDescent="0.25">
      <c r="B240" t="str">
        <f t="shared" si="27"/>
        <v/>
      </c>
      <c r="C240" t="str">
        <f t="shared" si="28"/>
        <v/>
      </c>
      <c r="K240" t="str">
        <f t="shared" si="29"/>
        <v/>
      </c>
      <c r="N240" t="str">
        <f t="shared" si="30"/>
        <v/>
      </c>
      <c r="O240" t="str">
        <f t="shared" si="31"/>
        <v/>
      </c>
      <c r="Q240" t="str">
        <f t="shared" si="32"/>
        <v/>
      </c>
      <c r="V240" t="str">
        <f t="shared" si="33"/>
        <v/>
      </c>
      <c r="Y240" t="str">
        <f t="shared" si="34"/>
        <v>A_CONTROLER</v>
      </c>
      <c r="Z240" t="str">
        <f t="shared" si="35"/>
        <v>A_CONTROLER</v>
      </c>
    </row>
    <row r="241" spans="2:26" x14ac:dyDescent="0.25">
      <c r="B241" t="str">
        <f t="shared" si="27"/>
        <v/>
      </c>
      <c r="C241" t="str">
        <f t="shared" si="28"/>
        <v/>
      </c>
      <c r="K241" t="str">
        <f t="shared" si="29"/>
        <v/>
      </c>
      <c r="N241" t="str">
        <f t="shared" si="30"/>
        <v/>
      </c>
      <c r="O241" t="str">
        <f t="shared" si="31"/>
        <v/>
      </c>
      <c r="Q241" t="str">
        <f t="shared" si="32"/>
        <v/>
      </c>
      <c r="V241" t="str">
        <f t="shared" si="33"/>
        <v/>
      </c>
      <c r="Y241" t="str">
        <f t="shared" si="34"/>
        <v>A_CONTROLER</v>
      </c>
      <c r="Z241" t="str">
        <f t="shared" si="35"/>
        <v>A_CONTROLER</v>
      </c>
    </row>
    <row r="242" spans="2:26" x14ac:dyDescent="0.25">
      <c r="B242" t="str">
        <f t="shared" si="27"/>
        <v/>
      </c>
      <c r="C242" t="str">
        <f t="shared" si="28"/>
        <v/>
      </c>
      <c r="K242" t="str">
        <f t="shared" si="29"/>
        <v/>
      </c>
      <c r="N242" t="str">
        <f t="shared" si="30"/>
        <v/>
      </c>
      <c r="O242" t="str">
        <f t="shared" si="31"/>
        <v/>
      </c>
      <c r="Q242" t="str">
        <f t="shared" si="32"/>
        <v/>
      </c>
      <c r="V242" t="str">
        <f t="shared" si="33"/>
        <v/>
      </c>
      <c r="Y242" t="str">
        <f t="shared" si="34"/>
        <v>A_CONTROLER</v>
      </c>
      <c r="Z242" t="str">
        <f t="shared" si="35"/>
        <v>A_CONTROLER</v>
      </c>
    </row>
    <row r="243" spans="2:26" x14ac:dyDescent="0.25">
      <c r="B243" t="str">
        <f t="shared" si="27"/>
        <v/>
      </c>
      <c r="C243" t="str">
        <f t="shared" si="28"/>
        <v/>
      </c>
      <c r="K243" t="str">
        <f t="shared" si="29"/>
        <v/>
      </c>
      <c r="N243" t="str">
        <f t="shared" si="30"/>
        <v/>
      </c>
      <c r="O243" t="str">
        <f t="shared" si="31"/>
        <v/>
      </c>
      <c r="Q243" t="str">
        <f t="shared" si="32"/>
        <v/>
      </c>
      <c r="V243" t="str">
        <f t="shared" si="33"/>
        <v/>
      </c>
      <c r="Y243" t="str">
        <f t="shared" si="34"/>
        <v>A_CONTROLER</v>
      </c>
      <c r="Z243" t="str">
        <f t="shared" si="35"/>
        <v>A_CONTROLER</v>
      </c>
    </row>
    <row r="244" spans="2:26" x14ac:dyDescent="0.25">
      <c r="B244" t="str">
        <f t="shared" si="27"/>
        <v/>
      </c>
      <c r="C244" t="str">
        <f t="shared" si="28"/>
        <v/>
      </c>
      <c r="K244" t="str">
        <f t="shared" si="29"/>
        <v/>
      </c>
      <c r="N244" t="str">
        <f t="shared" si="30"/>
        <v/>
      </c>
      <c r="O244" t="str">
        <f t="shared" si="31"/>
        <v/>
      </c>
      <c r="Q244" t="str">
        <f t="shared" si="32"/>
        <v/>
      </c>
      <c r="V244" t="str">
        <f t="shared" si="33"/>
        <v/>
      </c>
      <c r="Y244" t="str">
        <f t="shared" si="34"/>
        <v>A_CONTROLER</v>
      </c>
      <c r="Z244" t="str">
        <f t="shared" si="35"/>
        <v>A_CONTROLER</v>
      </c>
    </row>
    <row r="245" spans="2:26" x14ac:dyDescent="0.25">
      <c r="B245" t="str">
        <f t="shared" si="27"/>
        <v/>
      </c>
      <c r="C245" t="str">
        <f t="shared" si="28"/>
        <v/>
      </c>
      <c r="K245" t="str">
        <f t="shared" si="29"/>
        <v/>
      </c>
      <c r="N245" t="str">
        <f t="shared" si="30"/>
        <v/>
      </c>
      <c r="O245" t="str">
        <f t="shared" si="31"/>
        <v/>
      </c>
      <c r="Q245" t="str">
        <f t="shared" si="32"/>
        <v/>
      </c>
      <c r="V245" t="str">
        <f t="shared" si="33"/>
        <v/>
      </c>
      <c r="Y245" t="str">
        <f t="shared" si="34"/>
        <v>A_CONTROLER</v>
      </c>
      <c r="Z245" t="str">
        <f t="shared" si="35"/>
        <v>A_CONTROLER</v>
      </c>
    </row>
    <row r="246" spans="2:26" x14ac:dyDescent="0.25">
      <c r="B246" t="str">
        <f t="shared" si="27"/>
        <v/>
      </c>
      <c r="C246" t="str">
        <f t="shared" si="28"/>
        <v/>
      </c>
      <c r="K246" t="str">
        <f t="shared" si="29"/>
        <v/>
      </c>
      <c r="N246" t="str">
        <f t="shared" si="30"/>
        <v/>
      </c>
      <c r="O246" t="str">
        <f t="shared" si="31"/>
        <v/>
      </c>
      <c r="Q246" t="str">
        <f t="shared" si="32"/>
        <v/>
      </c>
      <c r="V246" t="str">
        <f t="shared" si="33"/>
        <v/>
      </c>
      <c r="Y246" t="str">
        <f t="shared" si="34"/>
        <v>A_CONTROLER</v>
      </c>
      <c r="Z246" t="str">
        <f t="shared" si="35"/>
        <v>A_CONTROLER</v>
      </c>
    </row>
    <row r="247" spans="2:26" x14ac:dyDescent="0.25">
      <c r="B247" t="str">
        <f t="shared" si="27"/>
        <v/>
      </c>
      <c r="C247" t="str">
        <f t="shared" si="28"/>
        <v/>
      </c>
      <c r="K247" t="str">
        <f t="shared" si="29"/>
        <v/>
      </c>
      <c r="N247" t="str">
        <f t="shared" si="30"/>
        <v/>
      </c>
      <c r="O247" t="str">
        <f t="shared" si="31"/>
        <v/>
      </c>
      <c r="Q247" t="str">
        <f t="shared" si="32"/>
        <v/>
      </c>
      <c r="V247" t="str">
        <f t="shared" si="33"/>
        <v/>
      </c>
      <c r="Y247" t="str">
        <f t="shared" si="34"/>
        <v>A_CONTROLER</v>
      </c>
      <c r="Z247" t="str">
        <f t="shared" si="35"/>
        <v>A_CONTROLER</v>
      </c>
    </row>
    <row r="248" spans="2:26" x14ac:dyDescent="0.25">
      <c r="B248" t="str">
        <f t="shared" si="27"/>
        <v/>
      </c>
      <c r="C248" t="str">
        <f t="shared" si="28"/>
        <v/>
      </c>
      <c r="K248" t="str">
        <f t="shared" si="29"/>
        <v/>
      </c>
      <c r="N248" t="str">
        <f t="shared" si="30"/>
        <v/>
      </c>
      <c r="O248" t="str">
        <f t="shared" si="31"/>
        <v/>
      </c>
      <c r="Q248" t="str">
        <f t="shared" si="32"/>
        <v/>
      </c>
      <c r="V248" t="str">
        <f t="shared" si="33"/>
        <v/>
      </c>
      <c r="Y248" t="str">
        <f t="shared" si="34"/>
        <v>A_CONTROLER</v>
      </c>
      <c r="Z248" t="str">
        <f t="shared" si="35"/>
        <v>A_CONTROLER</v>
      </c>
    </row>
    <row r="249" spans="2:26" x14ac:dyDescent="0.25">
      <c r="B249" t="str">
        <f t="shared" si="27"/>
        <v/>
      </c>
      <c r="C249" t="str">
        <f t="shared" si="28"/>
        <v/>
      </c>
      <c r="K249" t="str">
        <f t="shared" si="29"/>
        <v/>
      </c>
      <c r="N249" t="str">
        <f t="shared" si="30"/>
        <v/>
      </c>
      <c r="O249" t="str">
        <f t="shared" si="31"/>
        <v/>
      </c>
      <c r="Q249" t="str">
        <f t="shared" si="32"/>
        <v/>
      </c>
      <c r="V249" t="str">
        <f t="shared" si="33"/>
        <v/>
      </c>
      <c r="Y249" t="str">
        <f t="shared" si="34"/>
        <v>A_CONTROLER</v>
      </c>
      <c r="Z249" t="str">
        <f t="shared" si="35"/>
        <v>A_CONTROLER</v>
      </c>
    </row>
    <row r="250" spans="2:26" x14ac:dyDescent="0.25">
      <c r="B250" t="str">
        <f t="shared" si="27"/>
        <v/>
      </c>
      <c r="C250" t="str">
        <f t="shared" si="28"/>
        <v/>
      </c>
      <c r="K250" t="str">
        <f t="shared" si="29"/>
        <v/>
      </c>
      <c r="N250" t="str">
        <f t="shared" si="30"/>
        <v/>
      </c>
      <c r="O250" t="str">
        <f t="shared" si="31"/>
        <v/>
      </c>
      <c r="Q250" t="str">
        <f t="shared" si="32"/>
        <v/>
      </c>
      <c r="V250" t="str">
        <f t="shared" si="33"/>
        <v/>
      </c>
      <c r="Y250" t="str">
        <f t="shared" si="34"/>
        <v>A_CONTROLER</v>
      </c>
      <c r="Z250" t="str">
        <f t="shared" si="35"/>
        <v>A_CONTROLER</v>
      </c>
    </row>
    <row r="251" spans="2:26" x14ac:dyDescent="0.25">
      <c r="B251" t="str">
        <f t="shared" si="27"/>
        <v/>
      </c>
      <c r="C251" t="str">
        <f t="shared" si="28"/>
        <v/>
      </c>
      <c r="K251" t="str">
        <f t="shared" si="29"/>
        <v/>
      </c>
      <c r="N251" t="str">
        <f t="shared" si="30"/>
        <v/>
      </c>
      <c r="O251" t="str">
        <f t="shared" si="31"/>
        <v/>
      </c>
      <c r="Q251" t="str">
        <f t="shared" si="32"/>
        <v/>
      </c>
      <c r="V251" t="str">
        <f t="shared" si="33"/>
        <v/>
      </c>
      <c r="Y251" t="str">
        <f t="shared" si="34"/>
        <v>A_CONTROLER</v>
      </c>
      <c r="Z251" t="str">
        <f t="shared" si="35"/>
        <v>A_CONTROLER</v>
      </c>
    </row>
    <row r="252" spans="2:26" x14ac:dyDescent="0.25">
      <c r="B252" t="str">
        <f t="shared" si="27"/>
        <v/>
      </c>
      <c r="C252" t="str">
        <f t="shared" si="28"/>
        <v/>
      </c>
      <c r="K252" t="str">
        <f t="shared" si="29"/>
        <v/>
      </c>
      <c r="N252" t="str">
        <f t="shared" si="30"/>
        <v/>
      </c>
      <c r="O252" t="str">
        <f t="shared" si="31"/>
        <v/>
      </c>
      <c r="Q252" t="str">
        <f t="shared" si="32"/>
        <v/>
      </c>
      <c r="V252" t="str">
        <f t="shared" si="33"/>
        <v/>
      </c>
      <c r="Y252" t="str">
        <f t="shared" si="34"/>
        <v>A_CONTROLER</v>
      </c>
      <c r="Z252" t="str">
        <f t="shared" si="35"/>
        <v>A_CONTROLER</v>
      </c>
    </row>
    <row r="253" spans="2:26" x14ac:dyDescent="0.25">
      <c r="B253" t="str">
        <f t="shared" si="27"/>
        <v/>
      </c>
      <c r="C253" t="str">
        <f t="shared" si="28"/>
        <v/>
      </c>
      <c r="K253" t="str">
        <f t="shared" si="29"/>
        <v/>
      </c>
      <c r="N253" t="str">
        <f t="shared" si="30"/>
        <v/>
      </c>
      <c r="O253" t="str">
        <f t="shared" si="31"/>
        <v/>
      </c>
      <c r="Q253" t="str">
        <f t="shared" si="32"/>
        <v/>
      </c>
      <c r="V253" t="str">
        <f t="shared" si="33"/>
        <v/>
      </c>
      <c r="Y253" t="str">
        <f t="shared" si="34"/>
        <v>A_CONTROLER</v>
      </c>
      <c r="Z253" t="str">
        <f t="shared" si="35"/>
        <v>A_CONTROLER</v>
      </c>
    </row>
    <row r="254" spans="2:26" x14ac:dyDescent="0.25">
      <c r="B254" t="str">
        <f t="shared" si="27"/>
        <v/>
      </c>
      <c r="C254" t="str">
        <f t="shared" si="28"/>
        <v/>
      </c>
      <c r="K254" t="str">
        <f t="shared" si="29"/>
        <v/>
      </c>
      <c r="N254" t="str">
        <f t="shared" si="30"/>
        <v/>
      </c>
      <c r="O254" t="str">
        <f t="shared" si="31"/>
        <v/>
      </c>
      <c r="Q254" t="str">
        <f t="shared" si="32"/>
        <v/>
      </c>
      <c r="V254" t="str">
        <f t="shared" si="33"/>
        <v/>
      </c>
      <c r="Y254" t="str">
        <f t="shared" si="34"/>
        <v>A_CONTROLER</v>
      </c>
      <c r="Z254" t="str">
        <f t="shared" si="35"/>
        <v>A_CONTROLER</v>
      </c>
    </row>
    <row r="255" spans="2:26" x14ac:dyDescent="0.25">
      <c r="B255" t="str">
        <f t="shared" si="27"/>
        <v/>
      </c>
      <c r="C255" t="str">
        <f t="shared" si="28"/>
        <v/>
      </c>
      <c r="K255" t="str">
        <f t="shared" si="29"/>
        <v/>
      </c>
      <c r="N255" t="str">
        <f t="shared" si="30"/>
        <v/>
      </c>
      <c r="O255" t="str">
        <f t="shared" si="31"/>
        <v/>
      </c>
      <c r="Q255" t="str">
        <f t="shared" si="32"/>
        <v/>
      </c>
      <c r="V255" t="str">
        <f t="shared" si="33"/>
        <v/>
      </c>
      <c r="Y255" t="str">
        <f t="shared" si="34"/>
        <v>A_CONTROLER</v>
      </c>
      <c r="Z255" t="str">
        <f t="shared" si="35"/>
        <v>A_CONTROLER</v>
      </c>
    </row>
    <row r="256" spans="2:26" x14ac:dyDescent="0.25">
      <c r="B256" t="str">
        <f t="shared" si="27"/>
        <v/>
      </c>
      <c r="C256" t="str">
        <f t="shared" si="28"/>
        <v/>
      </c>
      <c r="K256" t="str">
        <f t="shared" si="29"/>
        <v/>
      </c>
      <c r="N256" t="str">
        <f t="shared" si="30"/>
        <v/>
      </c>
      <c r="O256" t="str">
        <f t="shared" si="31"/>
        <v/>
      </c>
      <c r="Q256" t="str">
        <f t="shared" si="32"/>
        <v/>
      </c>
      <c r="V256" t="str">
        <f t="shared" si="33"/>
        <v/>
      </c>
      <c r="Y256" t="str">
        <f t="shared" si="34"/>
        <v>A_CONTROLER</v>
      </c>
      <c r="Z256" t="str">
        <f t="shared" si="35"/>
        <v>A_CONTROLER</v>
      </c>
    </row>
    <row r="257" spans="2:26" x14ac:dyDescent="0.25">
      <c r="B257" t="str">
        <f t="shared" si="27"/>
        <v/>
      </c>
      <c r="C257" t="str">
        <f t="shared" si="28"/>
        <v/>
      </c>
      <c r="K257" t="str">
        <f t="shared" si="29"/>
        <v/>
      </c>
      <c r="N257" t="str">
        <f t="shared" si="30"/>
        <v/>
      </c>
      <c r="O257" t="str">
        <f t="shared" si="31"/>
        <v/>
      </c>
      <c r="Q257" t="str">
        <f t="shared" si="32"/>
        <v/>
      </c>
      <c r="V257" t="str">
        <f t="shared" si="33"/>
        <v/>
      </c>
      <c r="Y257" t="str">
        <f t="shared" si="34"/>
        <v>A_CONTROLER</v>
      </c>
      <c r="Z257" t="str">
        <f t="shared" si="35"/>
        <v>A_CONTROLER</v>
      </c>
    </row>
    <row r="258" spans="2:26" x14ac:dyDescent="0.25">
      <c r="B258" t="str">
        <f t="shared" ref="B258:B321" si="36">IF(A258="","",A258&amp;"|"&amp;D258&amp;"|"&amp;F258&amp;"|"&amp;G258&amp;"|"&amp;IF(I258="","",YEAR(I258)&amp;RIGHT("0"&amp;MONTH(I258),2)&amp;RIGHT("0"&amp;DAY(I258),2))&amp;"|"&amp;IF(L258="","",IF(ROUND(L258*100,0)&lt;0,"-","")&amp;INT(ABS(ROUND(L258*100,0))/100)&amp;"."&amp;RIGHT("0"&amp;MOD(ABS(ROUND(L258*100,0)),100),2)))</f>
        <v/>
      </c>
      <c r="C258" t="str">
        <f t="shared" ref="C258:C321" si="37">IF(I258="","",YEAR(I258)&amp;"-"&amp;RIGHT("0"&amp;MONTH(I258),2))</f>
        <v/>
      </c>
      <c r="K258" t="str">
        <f t="shared" ref="K258:K321" si="38">IF(OR(I258="",J258=""),"",J258-I258)</f>
        <v/>
      </c>
      <c r="N258" t="str">
        <f t="shared" ref="N258:N321" si="39">IF(F258="","",IFERROR(VLOOKUP(F258,lst_PropTauxLookup,2,0),""))</f>
        <v/>
      </c>
      <c r="O258" t="str">
        <f t="shared" ref="O258:O321" si="40">IF(F258="","",IF(ISNUMBER(IFERROR(VLOOKUP(F258,lst_PropTauxLookup,2,0),"")),"REF_PROPRIETAIRE","A_CONTROLER"))</f>
        <v/>
      </c>
      <c r="Q258" t="str">
        <f t="shared" ref="Q258:Q321" si="41">IF(OR(L258="",N258=""),"",IFERROR((L258-IF(M258="",0,M258))*N258,0))</f>
        <v/>
      </c>
      <c r="V258" t="str">
        <f t="shared" ref="V258:V321" si="42">IF(L258="","",L258-IF(M258="",0,M258)-IF(Q258="",0,Q258)-IF(T258="",0,T258))</f>
        <v/>
      </c>
      <c r="Y258" t="str">
        <f t="shared" ref="Y258:Y321" si="43">IF(W258="IC","OUI",IF(W258="HC","OUI",IF(W258="HR","NON","A_CONTROLER")))</f>
        <v>A_CONTROLER</v>
      </c>
      <c r="Z258" t="str">
        <f t="shared" ref="Z258:Z321" si="44">IF(W258="IC","OUI",IF(W258="HC","NON",IF(W258="HR","NON","A_CONTROLER")))</f>
        <v>A_CONTROLER</v>
      </c>
    </row>
    <row r="259" spans="2:26" x14ac:dyDescent="0.25">
      <c r="B259" t="str">
        <f t="shared" si="36"/>
        <v/>
      </c>
      <c r="C259" t="str">
        <f t="shared" si="37"/>
        <v/>
      </c>
      <c r="K259" t="str">
        <f t="shared" si="38"/>
        <v/>
      </c>
      <c r="N259" t="str">
        <f t="shared" si="39"/>
        <v/>
      </c>
      <c r="O259" t="str">
        <f t="shared" si="40"/>
        <v/>
      </c>
      <c r="Q259" t="str">
        <f t="shared" si="41"/>
        <v/>
      </c>
      <c r="V259" t="str">
        <f t="shared" si="42"/>
        <v/>
      </c>
      <c r="Y259" t="str">
        <f t="shared" si="43"/>
        <v>A_CONTROLER</v>
      </c>
      <c r="Z259" t="str">
        <f t="shared" si="44"/>
        <v>A_CONTROLER</v>
      </c>
    </row>
    <row r="260" spans="2:26" x14ac:dyDescent="0.25">
      <c r="B260" t="str">
        <f t="shared" si="36"/>
        <v/>
      </c>
      <c r="C260" t="str">
        <f t="shared" si="37"/>
        <v/>
      </c>
      <c r="K260" t="str">
        <f t="shared" si="38"/>
        <v/>
      </c>
      <c r="N260" t="str">
        <f t="shared" si="39"/>
        <v/>
      </c>
      <c r="O260" t="str">
        <f t="shared" si="40"/>
        <v/>
      </c>
      <c r="Q260" t="str">
        <f t="shared" si="41"/>
        <v/>
      </c>
      <c r="V260" t="str">
        <f t="shared" si="42"/>
        <v/>
      </c>
      <c r="Y260" t="str">
        <f t="shared" si="43"/>
        <v>A_CONTROLER</v>
      </c>
      <c r="Z260" t="str">
        <f t="shared" si="44"/>
        <v>A_CONTROLER</v>
      </c>
    </row>
    <row r="261" spans="2:26" x14ac:dyDescent="0.25">
      <c r="B261" t="str">
        <f t="shared" si="36"/>
        <v/>
      </c>
      <c r="C261" t="str">
        <f t="shared" si="37"/>
        <v/>
      </c>
      <c r="K261" t="str">
        <f t="shared" si="38"/>
        <v/>
      </c>
      <c r="N261" t="str">
        <f t="shared" si="39"/>
        <v/>
      </c>
      <c r="O261" t="str">
        <f t="shared" si="40"/>
        <v/>
      </c>
      <c r="Q261" t="str">
        <f t="shared" si="41"/>
        <v/>
      </c>
      <c r="V261" t="str">
        <f t="shared" si="42"/>
        <v/>
      </c>
      <c r="Y261" t="str">
        <f t="shared" si="43"/>
        <v>A_CONTROLER</v>
      </c>
      <c r="Z261" t="str">
        <f t="shared" si="44"/>
        <v>A_CONTROLER</v>
      </c>
    </row>
    <row r="262" spans="2:26" x14ac:dyDescent="0.25">
      <c r="B262" t="str">
        <f t="shared" si="36"/>
        <v/>
      </c>
      <c r="C262" t="str">
        <f t="shared" si="37"/>
        <v/>
      </c>
      <c r="K262" t="str">
        <f t="shared" si="38"/>
        <v/>
      </c>
      <c r="N262" t="str">
        <f t="shared" si="39"/>
        <v/>
      </c>
      <c r="O262" t="str">
        <f t="shared" si="40"/>
        <v/>
      </c>
      <c r="Q262" t="str">
        <f t="shared" si="41"/>
        <v/>
      </c>
      <c r="V262" t="str">
        <f t="shared" si="42"/>
        <v/>
      </c>
      <c r="Y262" t="str">
        <f t="shared" si="43"/>
        <v>A_CONTROLER</v>
      </c>
      <c r="Z262" t="str">
        <f t="shared" si="44"/>
        <v>A_CONTROLER</v>
      </c>
    </row>
    <row r="263" spans="2:26" x14ac:dyDescent="0.25">
      <c r="B263" t="str">
        <f t="shared" si="36"/>
        <v/>
      </c>
      <c r="C263" t="str">
        <f t="shared" si="37"/>
        <v/>
      </c>
      <c r="K263" t="str">
        <f t="shared" si="38"/>
        <v/>
      </c>
      <c r="N263" t="str">
        <f t="shared" si="39"/>
        <v/>
      </c>
      <c r="O263" t="str">
        <f t="shared" si="40"/>
        <v/>
      </c>
      <c r="Q263" t="str">
        <f t="shared" si="41"/>
        <v/>
      </c>
      <c r="V263" t="str">
        <f t="shared" si="42"/>
        <v/>
      </c>
      <c r="Y263" t="str">
        <f t="shared" si="43"/>
        <v>A_CONTROLER</v>
      </c>
      <c r="Z263" t="str">
        <f t="shared" si="44"/>
        <v>A_CONTROLER</v>
      </c>
    </row>
    <row r="264" spans="2:26" x14ac:dyDescent="0.25">
      <c r="B264" t="str">
        <f t="shared" si="36"/>
        <v/>
      </c>
      <c r="C264" t="str">
        <f t="shared" si="37"/>
        <v/>
      </c>
      <c r="K264" t="str">
        <f t="shared" si="38"/>
        <v/>
      </c>
      <c r="N264" t="str">
        <f t="shared" si="39"/>
        <v/>
      </c>
      <c r="O264" t="str">
        <f t="shared" si="40"/>
        <v/>
      </c>
      <c r="Q264" t="str">
        <f t="shared" si="41"/>
        <v/>
      </c>
      <c r="V264" t="str">
        <f t="shared" si="42"/>
        <v/>
      </c>
      <c r="Y264" t="str">
        <f t="shared" si="43"/>
        <v>A_CONTROLER</v>
      </c>
      <c r="Z264" t="str">
        <f t="shared" si="44"/>
        <v>A_CONTROLER</v>
      </c>
    </row>
    <row r="265" spans="2:26" x14ac:dyDescent="0.25">
      <c r="B265" t="str">
        <f t="shared" si="36"/>
        <v/>
      </c>
      <c r="C265" t="str">
        <f t="shared" si="37"/>
        <v/>
      </c>
      <c r="K265" t="str">
        <f t="shared" si="38"/>
        <v/>
      </c>
      <c r="N265" t="str">
        <f t="shared" si="39"/>
        <v/>
      </c>
      <c r="O265" t="str">
        <f t="shared" si="40"/>
        <v/>
      </c>
      <c r="Q265" t="str">
        <f t="shared" si="41"/>
        <v/>
      </c>
      <c r="V265" t="str">
        <f t="shared" si="42"/>
        <v/>
      </c>
      <c r="Y265" t="str">
        <f t="shared" si="43"/>
        <v>A_CONTROLER</v>
      </c>
      <c r="Z265" t="str">
        <f t="shared" si="44"/>
        <v>A_CONTROLER</v>
      </c>
    </row>
    <row r="266" spans="2:26" x14ac:dyDescent="0.25">
      <c r="B266" t="str">
        <f t="shared" si="36"/>
        <v/>
      </c>
      <c r="C266" t="str">
        <f t="shared" si="37"/>
        <v/>
      </c>
      <c r="K266" t="str">
        <f t="shared" si="38"/>
        <v/>
      </c>
      <c r="N266" t="str">
        <f t="shared" si="39"/>
        <v/>
      </c>
      <c r="O266" t="str">
        <f t="shared" si="40"/>
        <v/>
      </c>
      <c r="Q266" t="str">
        <f t="shared" si="41"/>
        <v/>
      </c>
      <c r="V266" t="str">
        <f t="shared" si="42"/>
        <v/>
      </c>
      <c r="Y266" t="str">
        <f t="shared" si="43"/>
        <v>A_CONTROLER</v>
      </c>
      <c r="Z266" t="str">
        <f t="shared" si="44"/>
        <v>A_CONTROLER</v>
      </c>
    </row>
    <row r="267" spans="2:26" x14ac:dyDescent="0.25">
      <c r="B267" t="str">
        <f t="shared" si="36"/>
        <v/>
      </c>
      <c r="C267" t="str">
        <f t="shared" si="37"/>
        <v/>
      </c>
      <c r="K267" t="str">
        <f t="shared" si="38"/>
        <v/>
      </c>
      <c r="N267" t="str">
        <f t="shared" si="39"/>
        <v/>
      </c>
      <c r="O267" t="str">
        <f t="shared" si="40"/>
        <v/>
      </c>
      <c r="Q267" t="str">
        <f t="shared" si="41"/>
        <v/>
      </c>
      <c r="V267" t="str">
        <f t="shared" si="42"/>
        <v/>
      </c>
      <c r="Y267" t="str">
        <f t="shared" si="43"/>
        <v>A_CONTROLER</v>
      </c>
      <c r="Z267" t="str">
        <f t="shared" si="44"/>
        <v>A_CONTROLER</v>
      </c>
    </row>
    <row r="268" spans="2:26" x14ac:dyDescent="0.25">
      <c r="B268" t="str">
        <f t="shared" si="36"/>
        <v/>
      </c>
      <c r="C268" t="str">
        <f t="shared" si="37"/>
        <v/>
      </c>
      <c r="K268" t="str">
        <f t="shared" si="38"/>
        <v/>
      </c>
      <c r="N268" t="str">
        <f t="shared" si="39"/>
        <v/>
      </c>
      <c r="O268" t="str">
        <f t="shared" si="40"/>
        <v/>
      </c>
      <c r="Q268" t="str">
        <f t="shared" si="41"/>
        <v/>
      </c>
      <c r="V268" t="str">
        <f t="shared" si="42"/>
        <v/>
      </c>
      <c r="Y268" t="str">
        <f t="shared" si="43"/>
        <v>A_CONTROLER</v>
      </c>
      <c r="Z268" t="str">
        <f t="shared" si="44"/>
        <v>A_CONTROLER</v>
      </c>
    </row>
    <row r="269" spans="2:26" x14ac:dyDescent="0.25">
      <c r="B269" t="str">
        <f t="shared" si="36"/>
        <v/>
      </c>
      <c r="C269" t="str">
        <f t="shared" si="37"/>
        <v/>
      </c>
      <c r="K269" t="str">
        <f t="shared" si="38"/>
        <v/>
      </c>
      <c r="N269" t="str">
        <f t="shared" si="39"/>
        <v/>
      </c>
      <c r="O269" t="str">
        <f t="shared" si="40"/>
        <v/>
      </c>
      <c r="Q269" t="str">
        <f t="shared" si="41"/>
        <v/>
      </c>
      <c r="V269" t="str">
        <f t="shared" si="42"/>
        <v/>
      </c>
      <c r="Y269" t="str">
        <f t="shared" si="43"/>
        <v>A_CONTROLER</v>
      </c>
      <c r="Z269" t="str">
        <f t="shared" si="44"/>
        <v>A_CONTROLER</v>
      </c>
    </row>
    <row r="270" spans="2:26" x14ac:dyDescent="0.25">
      <c r="B270" t="str">
        <f t="shared" si="36"/>
        <v/>
      </c>
      <c r="C270" t="str">
        <f t="shared" si="37"/>
        <v/>
      </c>
      <c r="K270" t="str">
        <f t="shared" si="38"/>
        <v/>
      </c>
      <c r="N270" t="str">
        <f t="shared" si="39"/>
        <v/>
      </c>
      <c r="O270" t="str">
        <f t="shared" si="40"/>
        <v/>
      </c>
      <c r="Q270" t="str">
        <f t="shared" si="41"/>
        <v/>
      </c>
      <c r="V270" t="str">
        <f t="shared" si="42"/>
        <v/>
      </c>
      <c r="Y270" t="str">
        <f t="shared" si="43"/>
        <v>A_CONTROLER</v>
      </c>
      <c r="Z270" t="str">
        <f t="shared" si="44"/>
        <v>A_CONTROLER</v>
      </c>
    </row>
    <row r="271" spans="2:26" x14ac:dyDescent="0.25">
      <c r="B271" t="str">
        <f t="shared" si="36"/>
        <v/>
      </c>
      <c r="C271" t="str">
        <f t="shared" si="37"/>
        <v/>
      </c>
      <c r="K271" t="str">
        <f t="shared" si="38"/>
        <v/>
      </c>
      <c r="N271" t="str">
        <f t="shared" si="39"/>
        <v/>
      </c>
      <c r="O271" t="str">
        <f t="shared" si="40"/>
        <v/>
      </c>
      <c r="Q271" t="str">
        <f t="shared" si="41"/>
        <v/>
      </c>
      <c r="V271" t="str">
        <f t="shared" si="42"/>
        <v/>
      </c>
      <c r="Y271" t="str">
        <f t="shared" si="43"/>
        <v>A_CONTROLER</v>
      </c>
      <c r="Z271" t="str">
        <f t="shared" si="44"/>
        <v>A_CONTROLER</v>
      </c>
    </row>
    <row r="272" spans="2:26" x14ac:dyDescent="0.25">
      <c r="B272" t="str">
        <f t="shared" si="36"/>
        <v/>
      </c>
      <c r="C272" t="str">
        <f t="shared" si="37"/>
        <v/>
      </c>
      <c r="K272" t="str">
        <f t="shared" si="38"/>
        <v/>
      </c>
      <c r="N272" t="str">
        <f t="shared" si="39"/>
        <v/>
      </c>
      <c r="O272" t="str">
        <f t="shared" si="40"/>
        <v/>
      </c>
      <c r="Q272" t="str">
        <f t="shared" si="41"/>
        <v/>
      </c>
      <c r="V272" t="str">
        <f t="shared" si="42"/>
        <v/>
      </c>
      <c r="Y272" t="str">
        <f t="shared" si="43"/>
        <v>A_CONTROLER</v>
      </c>
      <c r="Z272" t="str">
        <f t="shared" si="44"/>
        <v>A_CONTROLER</v>
      </c>
    </row>
    <row r="273" spans="2:26" x14ac:dyDescent="0.25">
      <c r="B273" t="str">
        <f t="shared" si="36"/>
        <v/>
      </c>
      <c r="C273" t="str">
        <f t="shared" si="37"/>
        <v/>
      </c>
      <c r="K273" t="str">
        <f t="shared" si="38"/>
        <v/>
      </c>
      <c r="N273" t="str">
        <f t="shared" si="39"/>
        <v/>
      </c>
      <c r="O273" t="str">
        <f t="shared" si="40"/>
        <v/>
      </c>
      <c r="Q273" t="str">
        <f t="shared" si="41"/>
        <v/>
      </c>
      <c r="V273" t="str">
        <f t="shared" si="42"/>
        <v/>
      </c>
      <c r="Y273" t="str">
        <f t="shared" si="43"/>
        <v>A_CONTROLER</v>
      </c>
      <c r="Z273" t="str">
        <f t="shared" si="44"/>
        <v>A_CONTROLER</v>
      </c>
    </row>
    <row r="274" spans="2:26" x14ac:dyDescent="0.25">
      <c r="B274" t="str">
        <f t="shared" si="36"/>
        <v/>
      </c>
      <c r="C274" t="str">
        <f t="shared" si="37"/>
        <v/>
      </c>
      <c r="K274" t="str">
        <f t="shared" si="38"/>
        <v/>
      </c>
      <c r="N274" t="str">
        <f t="shared" si="39"/>
        <v/>
      </c>
      <c r="O274" t="str">
        <f t="shared" si="40"/>
        <v/>
      </c>
      <c r="Q274" t="str">
        <f t="shared" si="41"/>
        <v/>
      </c>
      <c r="V274" t="str">
        <f t="shared" si="42"/>
        <v/>
      </c>
      <c r="Y274" t="str">
        <f t="shared" si="43"/>
        <v>A_CONTROLER</v>
      </c>
      <c r="Z274" t="str">
        <f t="shared" si="44"/>
        <v>A_CONTROLER</v>
      </c>
    </row>
    <row r="275" spans="2:26" x14ac:dyDescent="0.25">
      <c r="B275" t="str">
        <f t="shared" si="36"/>
        <v/>
      </c>
      <c r="C275" t="str">
        <f t="shared" si="37"/>
        <v/>
      </c>
      <c r="K275" t="str">
        <f t="shared" si="38"/>
        <v/>
      </c>
      <c r="N275" t="str">
        <f t="shared" si="39"/>
        <v/>
      </c>
      <c r="O275" t="str">
        <f t="shared" si="40"/>
        <v/>
      </c>
      <c r="Q275" t="str">
        <f t="shared" si="41"/>
        <v/>
      </c>
      <c r="V275" t="str">
        <f t="shared" si="42"/>
        <v/>
      </c>
      <c r="Y275" t="str">
        <f t="shared" si="43"/>
        <v>A_CONTROLER</v>
      </c>
      <c r="Z275" t="str">
        <f t="shared" si="44"/>
        <v>A_CONTROLER</v>
      </c>
    </row>
    <row r="276" spans="2:26" x14ac:dyDescent="0.25">
      <c r="B276" t="str">
        <f t="shared" si="36"/>
        <v/>
      </c>
      <c r="C276" t="str">
        <f t="shared" si="37"/>
        <v/>
      </c>
      <c r="K276" t="str">
        <f t="shared" si="38"/>
        <v/>
      </c>
      <c r="N276" t="str">
        <f t="shared" si="39"/>
        <v/>
      </c>
      <c r="O276" t="str">
        <f t="shared" si="40"/>
        <v/>
      </c>
      <c r="Q276" t="str">
        <f t="shared" si="41"/>
        <v/>
      </c>
      <c r="V276" t="str">
        <f t="shared" si="42"/>
        <v/>
      </c>
      <c r="Y276" t="str">
        <f t="shared" si="43"/>
        <v>A_CONTROLER</v>
      </c>
      <c r="Z276" t="str">
        <f t="shared" si="44"/>
        <v>A_CONTROLER</v>
      </c>
    </row>
    <row r="277" spans="2:26" x14ac:dyDescent="0.25">
      <c r="B277" t="str">
        <f t="shared" si="36"/>
        <v/>
      </c>
      <c r="C277" t="str">
        <f t="shared" si="37"/>
        <v/>
      </c>
      <c r="K277" t="str">
        <f t="shared" si="38"/>
        <v/>
      </c>
      <c r="N277" t="str">
        <f t="shared" si="39"/>
        <v/>
      </c>
      <c r="O277" t="str">
        <f t="shared" si="40"/>
        <v/>
      </c>
      <c r="Q277" t="str">
        <f t="shared" si="41"/>
        <v/>
      </c>
      <c r="V277" t="str">
        <f t="shared" si="42"/>
        <v/>
      </c>
      <c r="Y277" t="str">
        <f t="shared" si="43"/>
        <v>A_CONTROLER</v>
      </c>
      <c r="Z277" t="str">
        <f t="shared" si="44"/>
        <v>A_CONTROLER</v>
      </c>
    </row>
    <row r="278" spans="2:26" x14ac:dyDescent="0.25">
      <c r="B278" t="str">
        <f t="shared" si="36"/>
        <v/>
      </c>
      <c r="C278" t="str">
        <f t="shared" si="37"/>
        <v/>
      </c>
      <c r="K278" t="str">
        <f t="shared" si="38"/>
        <v/>
      </c>
      <c r="N278" t="str">
        <f t="shared" si="39"/>
        <v/>
      </c>
      <c r="O278" t="str">
        <f t="shared" si="40"/>
        <v/>
      </c>
      <c r="Q278" t="str">
        <f t="shared" si="41"/>
        <v/>
      </c>
      <c r="V278" t="str">
        <f t="shared" si="42"/>
        <v/>
      </c>
      <c r="Y278" t="str">
        <f t="shared" si="43"/>
        <v>A_CONTROLER</v>
      </c>
      <c r="Z278" t="str">
        <f t="shared" si="44"/>
        <v>A_CONTROLER</v>
      </c>
    </row>
    <row r="279" spans="2:26" x14ac:dyDescent="0.25">
      <c r="B279" t="str">
        <f t="shared" si="36"/>
        <v/>
      </c>
      <c r="C279" t="str">
        <f t="shared" si="37"/>
        <v/>
      </c>
      <c r="K279" t="str">
        <f t="shared" si="38"/>
        <v/>
      </c>
      <c r="N279" t="str">
        <f t="shared" si="39"/>
        <v/>
      </c>
      <c r="O279" t="str">
        <f t="shared" si="40"/>
        <v/>
      </c>
      <c r="Q279" t="str">
        <f t="shared" si="41"/>
        <v/>
      </c>
      <c r="V279" t="str">
        <f t="shared" si="42"/>
        <v/>
      </c>
      <c r="Y279" t="str">
        <f t="shared" si="43"/>
        <v>A_CONTROLER</v>
      </c>
      <c r="Z279" t="str">
        <f t="shared" si="44"/>
        <v>A_CONTROLER</v>
      </c>
    </row>
    <row r="280" spans="2:26" x14ac:dyDescent="0.25">
      <c r="B280" t="str">
        <f t="shared" si="36"/>
        <v/>
      </c>
      <c r="C280" t="str">
        <f t="shared" si="37"/>
        <v/>
      </c>
      <c r="K280" t="str">
        <f t="shared" si="38"/>
        <v/>
      </c>
      <c r="N280" t="str">
        <f t="shared" si="39"/>
        <v/>
      </c>
      <c r="O280" t="str">
        <f t="shared" si="40"/>
        <v/>
      </c>
      <c r="Q280" t="str">
        <f t="shared" si="41"/>
        <v/>
      </c>
      <c r="V280" t="str">
        <f t="shared" si="42"/>
        <v/>
      </c>
      <c r="Y280" t="str">
        <f t="shared" si="43"/>
        <v>A_CONTROLER</v>
      </c>
      <c r="Z280" t="str">
        <f t="shared" si="44"/>
        <v>A_CONTROLER</v>
      </c>
    </row>
    <row r="281" spans="2:26" x14ac:dyDescent="0.25">
      <c r="B281" t="str">
        <f t="shared" si="36"/>
        <v/>
      </c>
      <c r="C281" t="str">
        <f t="shared" si="37"/>
        <v/>
      </c>
      <c r="K281" t="str">
        <f t="shared" si="38"/>
        <v/>
      </c>
      <c r="N281" t="str">
        <f t="shared" si="39"/>
        <v/>
      </c>
      <c r="O281" t="str">
        <f t="shared" si="40"/>
        <v/>
      </c>
      <c r="Q281" t="str">
        <f t="shared" si="41"/>
        <v/>
      </c>
      <c r="V281" t="str">
        <f t="shared" si="42"/>
        <v/>
      </c>
      <c r="Y281" t="str">
        <f t="shared" si="43"/>
        <v>A_CONTROLER</v>
      </c>
      <c r="Z281" t="str">
        <f t="shared" si="44"/>
        <v>A_CONTROLER</v>
      </c>
    </row>
    <row r="282" spans="2:26" x14ac:dyDescent="0.25">
      <c r="B282" t="str">
        <f t="shared" si="36"/>
        <v/>
      </c>
      <c r="C282" t="str">
        <f t="shared" si="37"/>
        <v/>
      </c>
      <c r="K282" t="str">
        <f t="shared" si="38"/>
        <v/>
      </c>
      <c r="N282" t="str">
        <f t="shared" si="39"/>
        <v/>
      </c>
      <c r="O282" t="str">
        <f t="shared" si="40"/>
        <v/>
      </c>
      <c r="Q282" t="str">
        <f t="shared" si="41"/>
        <v/>
      </c>
      <c r="V282" t="str">
        <f t="shared" si="42"/>
        <v/>
      </c>
      <c r="Y282" t="str">
        <f t="shared" si="43"/>
        <v>A_CONTROLER</v>
      </c>
      <c r="Z282" t="str">
        <f t="shared" si="44"/>
        <v>A_CONTROLER</v>
      </c>
    </row>
    <row r="283" spans="2:26" x14ac:dyDescent="0.25">
      <c r="B283" t="str">
        <f t="shared" si="36"/>
        <v/>
      </c>
      <c r="C283" t="str">
        <f t="shared" si="37"/>
        <v/>
      </c>
      <c r="K283" t="str">
        <f t="shared" si="38"/>
        <v/>
      </c>
      <c r="N283" t="str">
        <f t="shared" si="39"/>
        <v/>
      </c>
      <c r="O283" t="str">
        <f t="shared" si="40"/>
        <v/>
      </c>
      <c r="Q283" t="str">
        <f t="shared" si="41"/>
        <v/>
      </c>
      <c r="V283" t="str">
        <f t="shared" si="42"/>
        <v/>
      </c>
      <c r="Y283" t="str">
        <f t="shared" si="43"/>
        <v>A_CONTROLER</v>
      </c>
      <c r="Z283" t="str">
        <f t="shared" si="44"/>
        <v>A_CONTROLER</v>
      </c>
    </row>
    <row r="284" spans="2:26" x14ac:dyDescent="0.25">
      <c r="B284" t="str">
        <f t="shared" si="36"/>
        <v/>
      </c>
      <c r="C284" t="str">
        <f t="shared" si="37"/>
        <v/>
      </c>
      <c r="K284" t="str">
        <f t="shared" si="38"/>
        <v/>
      </c>
      <c r="N284" t="str">
        <f t="shared" si="39"/>
        <v/>
      </c>
      <c r="O284" t="str">
        <f t="shared" si="40"/>
        <v/>
      </c>
      <c r="Q284" t="str">
        <f t="shared" si="41"/>
        <v/>
      </c>
      <c r="V284" t="str">
        <f t="shared" si="42"/>
        <v/>
      </c>
      <c r="Y284" t="str">
        <f t="shared" si="43"/>
        <v>A_CONTROLER</v>
      </c>
      <c r="Z284" t="str">
        <f t="shared" si="44"/>
        <v>A_CONTROLER</v>
      </c>
    </row>
    <row r="285" spans="2:26" x14ac:dyDescent="0.25">
      <c r="B285" t="str">
        <f t="shared" si="36"/>
        <v/>
      </c>
      <c r="C285" t="str">
        <f t="shared" si="37"/>
        <v/>
      </c>
      <c r="K285" t="str">
        <f t="shared" si="38"/>
        <v/>
      </c>
      <c r="N285" t="str">
        <f t="shared" si="39"/>
        <v/>
      </c>
      <c r="O285" t="str">
        <f t="shared" si="40"/>
        <v/>
      </c>
      <c r="Q285" t="str">
        <f t="shared" si="41"/>
        <v/>
      </c>
      <c r="V285" t="str">
        <f t="shared" si="42"/>
        <v/>
      </c>
      <c r="Y285" t="str">
        <f t="shared" si="43"/>
        <v>A_CONTROLER</v>
      </c>
      <c r="Z285" t="str">
        <f t="shared" si="44"/>
        <v>A_CONTROLER</v>
      </c>
    </row>
    <row r="286" spans="2:26" x14ac:dyDescent="0.25">
      <c r="B286" t="str">
        <f t="shared" si="36"/>
        <v/>
      </c>
      <c r="C286" t="str">
        <f t="shared" si="37"/>
        <v/>
      </c>
      <c r="K286" t="str">
        <f t="shared" si="38"/>
        <v/>
      </c>
      <c r="N286" t="str">
        <f t="shared" si="39"/>
        <v/>
      </c>
      <c r="O286" t="str">
        <f t="shared" si="40"/>
        <v/>
      </c>
      <c r="Q286" t="str">
        <f t="shared" si="41"/>
        <v/>
      </c>
      <c r="V286" t="str">
        <f t="shared" si="42"/>
        <v/>
      </c>
      <c r="Y286" t="str">
        <f t="shared" si="43"/>
        <v>A_CONTROLER</v>
      </c>
      <c r="Z286" t="str">
        <f t="shared" si="44"/>
        <v>A_CONTROLER</v>
      </c>
    </row>
    <row r="287" spans="2:26" x14ac:dyDescent="0.25">
      <c r="B287" t="str">
        <f t="shared" si="36"/>
        <v/>
      </c>
      <c r="C287" t="str">
        <f t="shared" si="37"/>
        <v/>
      </c>
      <c r="K287" t="str">
        <f t="shared" si="38"/>
        <v/>
      </c>
      <c r="N287" t="str">
        <f t="shared" si="39"/>
        <v/>
      </c>
      <c r="O287" t="str">
        <f t="shared" si="40"/>
        <v/>
      </c>
      <c r="Q287" t="str">
        <f t="shared" si="41"/>
        <v/>
      </c>
      <c r="V287" t="str">
        <f t="shared" si="42"/>
        <v/>
      </c>
      <c r="Y287" t="str">
        <f t="shared" si="43"/>
        <v>A_CONTROLER</v>
      </c>
      <c r="Z287" t="str">
        <f t="shared" si="44"/>
        <v>A_CONTROLER</v>
      </c>
    </row>
    <row r="288" spans="2:26" x14ac:dyDescent="0.25">
      <c r="B288" t="str">
        <f t="shared" si="36"/>
        <v/>
      </c>
      <c r="C288" t="str">
        <f t="shared" si="37"/>
        <v/>
      </c>
      <c r="K288" t="str">
        <f t="shared" si="38"/>
        <v/>
      </c>
      <c r="N288" t="str">
        <f t="shared" si="39"/>
        <v/>
      </c>
      <c r="O288" t="str">
        <f t="shared" si="40"/>
        <v/>
      </c>
      <c r="Q288" t="str">
        <f t="shared" si="41"/>
        <v/>
      </c>
      <c r="V288" t="str">
        <f t="shared" si="42"/>
        <v/>
      </c>
      <c r="Y288" t="str">
        <f t="shared" si="43"/>
        <v>A_CONTROLER</v>
      </c>
      <c r="Z288" t="str">
        <f t="shared" si="44"/>
        <v>A_CONTROLER</v>
      </c>
    </row>
    <row r="289" spans="2:26" x14ac:dyDescent="0.25">
      <c r="B289" t="str">
        <f t="shared" si="36"/>
        <v/>
      </c>
      <c r="C289" t="str">
        <f t="shared" si="37"/>
        <v/>
      </c>
      <c r="K289" t="str">
        <f t="shared" si="38"/>
        <v/>
      </c>
      <c r="N289" t="str">
        <f t="shared" si="39"/>
        <v/>
      </c>
      <c r="O289" t="str">
        <f t="shared" si="40"/>
        <v/>
      </c>
      <c r="Q289" t="str">
        <f t="shared" si="41"/>
        <v/>
      </c>
      <c r="V289" t="str">
        <f t="shared" si="42"/>
        <v/>
      </c>
      <c r="Y289" t="str">
        <f t="shared" si="43"/>
        <v>A_CONTROLER</v>
      </c>
      <c r="Z289" t="str">
        <f t="shared" si="44"/>
        <v>A_CONTROLER</v>
      </c>
    </row>
    <row r="290" spans="2:26" x14ac:dyDescent="0.25">
      <c r="B290" t="str">
        <f t="shared" si="36"/>
        <v/>
      </c>
      <c r="C290" t="str">
        <f t="shared" si="37"/>
        <v/>
      </c>
      <c r="K290" t="str">
        <f t="shared" si="38"/>
        <v/>
      </c>
      <c r="N290" t="str">
        <f t="shared" si="39"/>
        <v/>
      </c>
      <c r="O290" t="str">
        <f t="shared" si="40"/>
        <v/>
      </c>
      <c r="Q290" t="str">
        <f t="shared" si="41"/>
        <v/>
      </c>
      <c r="V290" t="str">
        <f t="shared" si="42"/>
        <v/>
      </c>
      <c r="Y290" t="str">
        <f t="shared" si="43"/>
        <v>A_CONTROLER</v>
      </c>
      <c r="Z290" t="str">
        <f t="shared" si="44"/>
        <v>A_CONTROLER</v>
      </c>
    </row>
    <row r="291" spans="2:26" x14ac:dyDescent="0.25">
      <c r="B291" t="str">
        <f t="shared" si="36"/>
        <v/>
      </c>
      <c r="C291" t="str">
        <f t="shared" si="37"/>
        <v/>
      </c>
      <c r="K291" t="str">
        <f t="shared" si="38"/>
        <v/>
      </c>
      <c r="N291" t="str">
        <f t="shared" si="39"/>
        <v/>
      </c>
      <c r="O291" t="str">
        <f t="shared" si="40"/>
        <v/>
      </c>
      <c r="Q291" t="str">
        <f t="shared" si="41"/>
        <v/>
      </c>
      <c r="V291" t="str">
        <f t="shared" si="42"/>
        <v/>
      </c>
      <c r="Y291" t="str">
        <f t="shared" si="43"/>
        <v>A_CONTROLER</v>
      </c>
      <c r="Z291" t="str">
        <f t="shared" si="44"/>
        <v>A_CONTROLER</v>
      </c>
    </row>
    <row r="292" spans="2:26" x14ac:dyDescent="0.25">
      <c r="B292" t="str">
        <f t="shared" si="36"/>
        <v/>
      </c>
      <c r="C292" t="str">
        <f t="shared" si="37"/>
        <v/>
      </c>
      <c r="K292" t="str">
        <f t="shared" si="38"/>
        <v/>
      </c>
      <c r="N292" t="str">
        <f t="shared" si="39"/>
        <v/>
      </c>
      <c r="O292" t="str">
        <f t="shared" si="40"/>
        <v/>
      </c>
      <c r="Q292" t="str">
        <f t="shared" si="41"/>
        <v/>
      </c>
      <c r="V292" t="str">
        <f t="shared" si="42"/>
        <v/>
      </c>
      <c r="Y292" t="str">
        <f t="shared" si="43"/>
        <v>A_CONTROLER</v>
      </c>
      <c r="Z292" t="str">
        <f t="shared" si="44"/>
        <v>A_CONTROLER</v>
      </c>
    </row>
    <row r="293" spans="2:26" x14ac:dyDescent="0.25">
      <c r="B293" t="str">
        <f t="shared" si="36"/>
        <v/>
      </c>
      <c r="C293" t="str">
        <f t="shared" si="37"/>
        <v/>
      </c>
      <c r="K293" t="str">
        <f t="shared" si="38"/>
        <v/>
      </c>
      <c r="N293" t="str">
        <f t="shared" si="39"/>
        <v/>
      </c>
      <c r="O293" t="str">
        <f t="shared" si="40"/>
        <v/>
      </c>
      <c r="Q293" t="str">
        <f t="shared" si="41"/>
        <v/>
      </c>
      <c r="V293" t="str">
        <f t="shared" si="42"/>
        <v/>
      </c>
      <c r="Y293" t="str">
        <f t="shared" si="43"/>
        <v>A_CONTROLER</v>
      </c>
      <c r="Z293" t="str">
        <f t="shared" si="44"/>
        <v>A_CONTROLER</v>
      </c>
    </row>
    <row r="294" spans="2:26" x14ac:dyDescent="0.25">
      <c r="B294" t="str">
        <f t="shared" si="36"/>
        <v/>
      </c>
      <c r="C294" t="str">
        <f t="shared" si="37"/>
        <v/>
      </c>
      <c r="K294" t="str">
        <f t="shared" si="38"/>
        <v/>
      </c>
      <c r="N294" t="str">
        <f t="shared" si="39"/>
        <v/>
      </c>
      <c r="O294" t="str">
        <f t="shared" si="40"/>
        <v/>
      </c>
      <c r="Q294" t="str">
        <f t="shared" si="41"/>
        <v/>
      </c>
      <c r="V294" t="str">
        <f t="shared" si="42"/>
        <v/>
      </c>
      <c r="Y294" t="str">
        <f t="shared" si="43"/>
        <v>A_CONTROLER</v>
      </c>
      <c r="Z294" t="str">
        <f t="shared" si="44"/>
        <v>A_CONTROLER</v>
      </c>
    </row>
    <row r="295" spans="2:26" x14ac:dyDescent="0.25">
      <c r="B295" t="str">
        <f t="shared" si="36"/>
        <v/>
      </c>
      <c r="C295" t="str">
        <f t="shared" si="37"/>
        <v/>
      </c>
      <c r="K295" t="str">
        <f t="shared" si="38"/>
        <v/>
      </c>
      <c r="N295" t="str">
        <f t="shared" si="39"/>
        <v/>
      </c>
      <c r="O295" t="str">
        <f t="shared" si="40"/>
        <v/>
      </c>
      <c r="Q295" t="str">
        <f t="shared" si="41"/>
        <v/>
      </c>
      <c r="V295" t="str">
        <f t="shared" si="42"/>
        <v/>
      </c>
      <c r="Y295" t="str">
        <f t="shared" si="43"/>
        <v>A_CONTROLER</v>
      </c>
      <c r="Z295" t="str">
        <f t="shared" si="44"/>
        <v>A_CONTROLER</v>
      </c>
    </row>
    <row r="296" spans="2:26" x14ac:dyDescent="0.25">
      <c r="B296" t="str">
        <f t="shared" si="36"/>
        <v/>
      </c>
      <c r="C296" t="str">
        <f t="shared" si="37"/>
        <v/>
      </c>
      <c r="K296" t="str">
        <f t="shared" si="38"/>
        <v/>
      </c>
      <c r="N296" t="str">
        <f t="shared" si="39"/>
        <v/>
      </c>
      <c r="O296" t="str">
        <f t="shared" si="40"/>
        <v/>
      </c>
      <c r="Q296" t="str">
        <f t="shared" si="41"/>
        <v/>
      </c>
      <c r="V296" t="str">
        <f t="shared" si="42"/>
        <v/>
      </c>
      <c r="Y296" t="str">
        <f t="shared" si="43"/>
        <v>A_CONTROLER</v>
      </c>
      <c r="Z296" t="str">
        <f t="shared" si="44"/>
        <v>A_CONTROLER</v>
      </c>
    </row>
    <row r="297" spans="2:26" x14ac:dyDescent="0.25">
      <c r="B297" t="str">
        <f t="shared" si="36"/>
        <v/>
      </c>
      <c r="C297" t="str">
        <f t="shared" si="37"/>
        <v/>
      </c>
      <c r="K297" t="str">
        <f t="shared" si="38"/>
        <v/>
      </c>
      <c r="N297" t="str">
        <f t="shared" si="39"/>
        <v/>
      </c>
      <c r="O297" t="str">
        <f t="shared" si="40"/>
        <v/>
      </c>
      <c r="Q297" t="str">
        <f t="shared" si="41"/>
        <v/>
      </c>
      <c r="V297" t="str">
        <f t="shared" si="42"/>
        <v/>
      </c>
      <c r="Y297" t="str">
        <f t="shared" si="43"/>
        <v>A_CONTROLER</v>
      </c>
      <c r="Z297" t="str">
        <f t="shared" si="44"/>
        <v>A_CONTROLER</v>
      </c>
    </row>
    <row r="298" spans="2:26" x14ac:dyDescent="0.25">
      <c r="B298" t="str">
        <f t="shared" si="36"/>
        <v/>
      </c>
      <c r="C298" t="str">
        <f t="shared" si="37"/>
        <v/>
      </c>
      <c r="K298" t="str">
        <f t="shared" si="38"/>
        <v/>
      </c>
      <c r="N298" t="str">
        <f t="shared" si="39"/>
        <v/>
      </c>
      <c r="O298" t="str">
        <f t="shared" si="40"/>
        <v/>
      </c>
      <c r="Q298" t="str">
        <f t="shared" si="41"/>
        <v/>
      </c>
      <c r="V298" t="str">
        <f t="shared" si="42"/>
        <v/>
      </c>
      <c r="Y298" t="str">
        <f t="shared" si="43"/>
        <v>A_CONTROLER</v>
      </c>
      <c r="Z298" t="str">
        <f t="shared" si="44"/>
        <v>A_CONTROLER</v>
      </c>
    </row>
    <row r="299" spans="2:26" x14ac:dyDescent="0.25">
      <c r="B299" t="str">
        <f t="shared" si="36"/>
        <v/>
      </c>
      <c r="C299" t="str">
        <f t="shared" si="37"/>
        <v/>
      </c>
      <c r="K299" t="str">
        <f t="shared" si="38"/>
        <v/>
      </c>
      <c r="N299" t="str">
        <f t="shared" si="39"/>
        <v/>
      </c>
      <c r="O299" t="str">
        <f t="shared" si="40"/>
        <v/>
      </c>
      <c r="Q299" t="str">
        <f t="shared" si="41"/>
        <v/>
      </c>
      <c r="V299" t="str">
        <f t="shared" si="42"/>
        <v/>
      </c>
      <c r="Y299" t="str">
        <f t="shared" si="43"/>
        <v>A_CONTROLER</v>
      </c>
      <c r="Z299" t="str">
        <f t="shared" si="44"/>
        <v>A_CONTROLER</v>
      </c>
    </row>
    <row r="300" spans="2:26" x14ac:dyDescent="0.25">
      <c r="B300" t="str">
        <f t="shared" si="36"/>
        <v/>
      </c>
      <c r="C300" t="str">
        <f t="shared" si="37"/>
        <v/>
      </c>
      <c r="K300" t="str">
        <f t="shared" si="38"/>
        <v/>
      </c>
      <c r="N300" t="str">
        <f t="shared" si="39"/>
        <v/>
      </c>
      <c r="O300" t="str">
        <f t="shared" si="40"/>
        <v/>
      </c>
      <c r="Q300" t="str">
        <f t="shared" si="41"/>
        <v/>
      </c>
      <c r="V300" t="str">
        <f t="shared" si="42"/>
        <v/>
      </c>
      <c r="Y300" t="str">
        <f t="shared" si="43"/>
        <v>A_CONTROLER</v>
      </c>
      <c r="Z300" t="str">
        <f t="shared" si="44"/>
        <v>A_CONTROLER</v>
      </c>
    </row>
    <row r="301" spans="2:26" x14ac:dyDescent="0.25">
      <c r="B301" t="str">
        <f t="shared" si="36"/>
        <v/>
      </c>
      <c r="C301" t="str">
        <f t="shared" si="37"/>
        <v/>
      </c>
      <c r="K301" t="str">
        <f t="shared" si="38"/>
        <v/>
      </c>
      <c r="N301" t="str">
        <f t="shared" si="39"/>
        <v/>
      </c>
      <c r="O301" t="str">
        <f t="shared" si="40"/>
        <v/>
      </c>
      <c r="Q301" t="str">
        <f t="shared" si="41"/>
        <v/>
      </c>
      <c r="V301" t="str">
        <f t="shared" si="42"/>
        <v/>
      </c>
      <c r="Y301" t="str">
        <f t="shared" si="43"/>
        <v>A_CONTROLER</v>
      </c>
      <c r="Z301" t="str">
        <f t="shared" si="44"/>
        <v>A_CONTROLER</v>
      </c>
    </row>
    <row r="302" spans="2:26" x14ac:dyDescent="0.25">
      <c r="B302" t="str">
        <f t="shared" si="36"/>
        <v/>
      </c>
      <c r="C302" t="str">
        <f t="shared" si="37"/>
        <v/>
      </c>
      <c r="K302" t="str">
        <f t="shared" si="38"/>
        <v/>
      </c>
      <c r="N302" t="str">
        <f t="shared" si="39"/>
        <v/>
      </c>
      <c r="O302" t="str">
        <f t="shared" si="40"/>
        <v/>
      </c>
      <c r="Q302" t="str">
        <f t="shared" si="41"/>
        <v/>
      </c>
      <c r="V302" t="str">
        <f t="shared" si="42"/>
        <v/>
      </c>
      <c r="Y302" t="str">
        <f t="shared" si="43"/>
        <v>A_CONTROLER</v>
      </c>
      <c r="Z302" t="str">
        <f t="shared" si="44"/>
        <v>A_CONTROLER</v>
      </c>
    </row>
    <row r="303" spans="2:26" x14ac:dyDescent="0.25">
      <c r="B303" t="str">
        <f t="shared" si="36"/>
        <v/>
      </c>
      <c r="C303" t="str">
        <f t="shared" si="37"/>
        <v/>
      </c>
      <c r="K303" t="str">
        <f t="shared" si="38"/>
        <v/>
      </c>
      <c r="N303" t="str">
        <f t="shared" si="39"/>
        <v/>
      </c>
      <c r="O303" t="str">
        <f t="shared" si="40"/>
        <v/>
      </c>
      <c r="Q303" t="str">
        <f t="shared" si="41"/>
        <v/>
      </c>
      <c r="V303" t="str">
        <f t="shared" si="42"/>
        <v/>
      </c>
      <c r="Y303" t="str">
        <f t="shared" si="43"/>
        <v>A_CONTROLER</v>
      </c>
      <c r="Z303" t="str">
        <f t="shared" si="44"/>
        <v>A_CONTROLER</v>
      </c>
    </row>
    <row r="304" spans="2:26" x14ac:dyDescent="0.25">
      <c r="B304" t="str">
        <f t="shared" si="36"/>
        <v/>
      </c>
      <c r="C304" t="str">
        <f t="shared" si="37"/>
        <v/>
      </c>
      <c r="K304" t="str">
        <f t="shared" si="38"/>
        <v/>
      </c>
      <c r="N304" t="str">
        <f t="shared" si="39"/>
        <v/>
      </c>
      <c r="O304" t="str">
        <f t="shared" si="40"/>
        <v/>
      </c>
      <c r="Q304" t="str">
        <f t="shared" si="41"/>
        <v/>
      </c>
      <c r="V304" t="str">
        <f t="shared" si="42"/>
        <v/>
      </c>
      <c r="Y304" t="str">
        <f t="shared" si="43"/>
        <v>A_CONTROLER</v>
      </c>
      <c r="Z304" t="str">
        <f t="shared" si="44"/>
        <v>A_CONTROLER</v>
      </c>
    </row>
    <row r="305" spans="2:26" x14ac:dyDescent="0.25">
      <c r="B305" t="str">
        <f t="shared" si="36"/>
        <v/>
      </c>
      <c r="C305" t="str">
        <f t="shared" si="37"/>
        <v/>
      </c>
      <c r="K305" t="str">
        <f t="shared" si="38"/>
        <v/>
      </c>
      <c r="N305" t="str">
        <f t="shared" si="39"/>
        <v/>
      </c>
      <c r="O305" t="str">
        <f t="shared" si="40"/>
        <v/>
      </c>
      <c r="Q305" t="str">
        <f t="shared" si="41"/>
        <v/>
      </c>
      <c r="V305" t="str">
        <f t="shared" si="42"/>
        <v/>
      </c>
      <c r="Y305" t="str">
        <f t="shared" si="43"/>
        <v>A_CONTROLER</v>
      </c>
      <c r="Z305" t="str">
        <f t="shared" si="44"/>
        <v>A_CONTROLER</v>
      </c>
    </row>
    <row r="306" spans="2:26" x14ac:dyDescent="0.25">
      <c r="B306" t="str">
        <f t="shared" si="36"/>
        <v/>
      </c>
      <c r="C306" t="str">
        <f t="shared" si="37"/>
        <v/>
      </c>
      <c r="K306" t="str">
        <f t="shared" si="38"/>
        <v/>
      </c>
      <c r="N306" t="str">
        <f t="shared" si="39"/>
        <v/>
      </c>
      <c r="O306" t="str">
        <f t="shared" si="40"/>
        <v/>
      </c>
      <c r="Q306" t="str">
        <f t="shared" si="41"/>
        <v/>
      </c>
      <c r="V306" t="str">
        <f t="shared" si="42"/>
        <v/>
      </c>
      <c r="Y306" t="str">
        <f t="shared" si="43"/>
        <v>A_CONTROLER</v>
      </c>
      <c r="Z306" t="str">
        <f t="shared" si="44"/>
        <v>A_CONTROLER</v>
      </c>
    </row>
    <row r="307" spans="2:26" x14ac:dyDescent="0.25">
      <c r="B307" t="str">
        <f t="shared" si="36"/>
        <v/>
      </c>
      <c r="C307" t="str">
        <f t="shared" si="37"/>
        <v/>
      </c>
      <c r="K307" t="str">
        <f t="shared" si="38"/>
        <v/>
      </c>
      <c r="N307" t="str">
        <f t="shared" si="39"/>
        <v/>
      </c>
      <c r="O307" t="str">
        <f t="shared" si="40"/>
        <v/>
      </c>
      <c r="Q307" t="str">
        <f t="shared" si="41"/>
        <v/>
      </c>
      <c r="V307" t="str">
        <f t="shared" si="42"/>
        <v/>
      </c>
      <c r="Y307" t="str">
        <f t="shared" si="43"/>
        <v>A_CONTROLER</v>
      </c>
      <c r="Z307" t="str">
        <f t="shared" si="44"/>
        <v>A_CONTROLER</v>
      </c>
    </row>
    <row r="308" spans="2:26" x14ac:dyDescent="0.25">
      <c r="B308" t="str">
        <f t="shared" si="36"/>
        <v/>
      </c>
      <c r="C308" t="str">
        <f t="shared" si="37"/>
        <v/>
      </c>
      <c r="K308" t="str">
        <f t="shared" si="38"/>
        <v/>
      </c>
      <c r="N308" t="str">
        <f t="shared" si="39"/>
        <v/>
      </c>
      <c r="O308" t="str">
        <f t="shared" si="40"/>
        <v/>
      </c>
      <c r="Q308" t="str">
        <f t="shared" si="41"/>
        <v/>
      </c>
      <c r="V308" t="str">
        <f t="shared" si="42"/>
        <v/>
      </c>
      <c r="Y308" t="str">
        <f t="shared" si="43"/>
        <v>A_CONTROLER</v>
      </c>
      <c r="Z308" t="str">
        <f t="shared" si="44"/>
        <v>A_CONTROLER</v>
      </c>
    </row>
    <row r="309" spans="2:26" x14ac:dyDescent="0.25">
      <c r="B309" t="str">
        <f t="shared" si="36"/>
        <v/>
      </c>
      <c r="C309" t="str">
        <f t="shared" si="37"/>
        <v/>
      </c>
      <c r="K309" t="str">
        <f t="shared" si="38"/>
        <v/>
      </c>
      <c r="N309" t="str">
        <f t="shared" si="39"/>
        <v/>
      </c>
      <c r="O309" t="str">
        <f t="shared" si="40"/>
        <v/>
      </c>
      <c r="Q309" t="str">
        <f t="shared" si="41"/>
        <v/>
      </c>
      <c r="V309" t="str">
        <f t="shared" si="42"/>
        <v/>
      </c>
      <c r="Y309" t="str">
        <f t="shared" si="43"/>
        <v>A_CONTROLER</v>
      </c>
      <c r="Z309" t="str">
        <f t="shared" si="44"/>
        <v>A_CONTROLER</v>
      </c>
    </row>
    <row r="310" spans="2:26" x14ac:dyDescent="0.25">
      <c r="B310" t="str">
        <f t="shared" si="36"/>
        <v/>
      </c>
      <c r="C310" t="str">
        <f t="shared" si="37"/>
        <v/>
      </c>
      <c r="K310" t="str">
        <f t="shared" si="38"/>
        <v/>
      </c>
      <c r="N310" t="str">
        <f t="shared" si="39"/>
        <v/>
      </c>
      <c r="O310" t="str">
        <f t="shared" si="40"/>
        <v/>
      </c>
      <c r="Q310" t="str">
        <f t="shared" si="41"/>
        <v/>
      </c>
      <c r="V310" t="str">
        <f t="shared" si="42"/>
        <v/>
      </c>
      <c r="Y310" t="str">
        <f t="shared" si="43"/>
        <v>A_CONTROLER</v>
      </c>
      <c r="Z310" t="str">
        <f t="shared" si="44"/>
        <v>A_CONTROLER</v>
      </c>
    </row>
    <row r="311" spans="2:26" x14ac:dyDescent="0.25">
      <c r="B311" t="str">
        <f t="shared" si="36"/>
        <v/>
      </c>
      <c r="C311" t="str">
        <f t="shared" si="37"/>
        <v/>
      </c>
      <c r="K311" t="str">
        <f t="shared" si="38"/>
        <v/>
      </c>
      <c r="N311" t="str">
        <f t="shared" si="39"/>
        <v/>
      </c>
      <c r="O311" t="str">
        <f t="shared" si="40"/>
        <v/>
      </c>
      <c r="Q311" t="str">
        <f t="shared" si="41"/>
        <v/>
      </c>
      <c r="V311" t="str">
        <f t="shared" si="42"/>
        <v/>
      </c>
      <c r="Y311" t="str">
        <f t="shared" si="43"/>
        <v>A_CONTROLER</v>
      </c>
      <c r="Z311" t="str">
        <f t="shared" si="44"/>
        <v>A_CONTROLER</v>
      </c>
    </row>
    <row r="312" spans="2:26" x14ac:dyDescent="0.25">
      <c r="B312" t="str">
        <f t="shared" si="36"/>
        <v/>
      </c>
      <c r="C312" t="str">
        <f t="shared" si="37"/>
        <v/>
      </c>
      <c r="K312" t="str">
        <f t="shared" si="38"/>
        <v/>
      </c>
      <c r="N312" t="str">
        <f t="shared" si="39"/>
        <v/>
      </c>
      <c r="O312" t="str">
        <f t="shared" si="40"/>
        <v/>
      </c>
      <c r="Q312" t="str">
        <f t="shared" si="41"/>
        <v/>
      </c>
      <c r="V312" t="str">
        <f t="shared" si="42"/>
        <v/>
      </c>
      <c r="Y312" t="str">
        <f t="shared" si="43"/>
        <v>A_CONTROLER</v>
      </c>
      <c r="Z312" t="str">
        <f t="shared" si="44"/>
        <v>A_CONTROLER</v>
      </c>
    </row>
    <row r="313" spans="2:26" x14ac:dyDescent="0.25">
      <c r="B313" t="str">
        <f t="shared" si="36"/>
        <v/>
      </c>
      <c r="C313" t="str">
        <f t="shared" si="37"/>
        <v/>
      </c>
      <c r="K313" t="str">
        <f t="shared" si="38"/>
        <v/>
      </c>
      <c r="N313" t="str">
        <f t="shared" si="39"/>
        <v/>
      </c>
      <c r="O313" t="str">
        <f t="shared" si="40"/>
        <v/>
      </c>
      <c r="Q313" t="str">
        <f t="shared" si="41"/>
        <v/>
      </c>
      <c r="V313" t="str">
        <f t="shared" si="42"/>
        <v/>
      </c>
      <c r="Y313" t="str">
        <f t="shared" si="43"/>
        <v>A_CONTROLER</v>
      </c>
      <c r="Z313" t="str">
        <f t="shared" si="44"/>
        <v>A_CONTROLER</v>
      </c>
    </row>
    <row r="314" spans="2:26" x14ac:dyDescent="0.25">
      <c r="B314" t="str">
        <f t="shared" si="36"/>
        <v/>
      </c>
      <c r="C314" t="str">
        <f t="shared" si="37"/>
        <v/>
      </c>
      <c r="K314" t="str">
        <f t="shared" si="38"/>
        <v/>
      </c>
      <c r="N314" t="str">
        <f t="shared" si="39"/>
        <v/>
      </c>
      <c r="O314" t="str">
        <f t="shared" si="40"/>
        <v/>
      </c>
      <c r="Q314" t="str">
        <f t="shared" si="41"/>
        <v/>
      </c>
      <c r="V314" t="str">
        <f t="shared" si="42"/>
        <v/>
      </c>
      <c r="Y314" t="str">
        <f t="shared" si="43"/>
        <v>A_CONTROLER</v>
      </c>
      <c r="Z314" t="str">
        <f t="shared" si="44"/>
        <v>A_CONTROLER</v>
      </c>
    </row>
    <row r="315" spans="2:26" x14ac:dyDescent="0.25">
      <c r="B315" t="str">
        <f t="shared" si="36"/>
        <v/>
      </c>
      <c r="C315" t="str">
        <f t="shared" si="37"/>
        <v/>
      </c>
      <c r="K315" t="str">
        <f t="shared" si="38"/>
        <v/>
      </c>
      <c r="N315" t="str">
        <f t="shared" si="39"/>
        <v/>
      </c>
      <c r="O315" t="str">
        <f t="shared" si="40"/>
        <v/>
      </c>
      <c r="Q315" t="str">
        <f t="shared" si="41"/>
        <v/>
      </c>
      <c r="V315" t="str">
        <f t="shared" si="42"/>
        <v/>
      </c>
      <c r="Y315" t="str">
        <f t="shared" si="43"/>
        <v>A_CONTROLER</v>
      </c>
      <c r="Z315" t="str">
        <f t="shared" si="44"/>
        <v>A_CONTROLER</v>
      </c>
    </row>
    <row r="316" spans="2:26" x14ac:dyDescent="0.25">
      <c r="B316" t="str">
        <f t="shared" si="36"/>
        <v/>
      </c>
      <c r="C316" t="str">
        <f t="shared" si="37"/>
        <v/>
      </c>
      <c r="K316" t="str">
        <f t="shared" si="38"/>
        <v/>
      </c>
      <c r="N316" t="str">
        <f t="shared" si="39"/>
        <v/>
      </c>
      <c r="O316" t="str">
        <f t="shared" si="40"/>
        <v/>
      </c>
      <c r="Q316" t="str">
        <f t="shared" si="41"/>
        <v/>
      </c>
      <c r="V316" t="str">
        <f t="shared" si="42"/>
        <v/>
      </c>
      <c r="Y316" t="str">
        <f t="shared" si="43"/>
        <v>A_CONTROLER</v>
      </c>
      <c r="Z316" t="str">
        <f t="shared" si="44"/>
        <v>A_CONTROLER</v>
      </c>
    </row>
    <row r="317" spans="2:26" x14ac:dyDescent="0.25">
      <c r="B317" t="str">
        <f t="shared" si="36"/>
        <v/>
      </c>
      <c r="C317" t="str">
        <f t="shared" si="37"/>
        <v/>
      </c>
      <c r="K317" t="str">
        <f t="shared" si="38"/>
        <v/>
      </c>
      <c r="N317" t="str">
        <f t="shared" si="39"/>
        <v/>
      </c>
      <c r="O317" t="str">
        <f t="shared" si="40"/>
        <v/>
      </c>
      <c r="Q317" t="str">
        <f t="shared" si="41"/>
        <v/>
      </c>
      <c r="V317" t="str">
        <f t="shared" si="42"/>
        <v/>
      </c>
      <c r="Y317" t="str">
        <f t="shared" si="43"/>
        <v>A_CONTROLER</v>
      </c>
      <c r="Z317" t="str">
        <f t="shared" si="44"/>
        <v>A_CONTROLER</v>
      </c>
    </row>
    <row r="318" spans="2:26" x14ac:dyDescent="0.25">
      <c r="B318" t="str">
        <f t="shared" si="36"/>
        <v/>
      </c>
      <c r="C318" t="str">
        <f t="shared" si="37"/>
        <v/>
      </c>
      <c r="K318" t="str">
        <f t="shared" si="38"/>
        <v/>
      </c>
      <c r="N318" t="str">
        <f t="shared" si="39"/>
        <v/>
      </c>
      <c r="O318" t="str">
        <f t="shared" si="40"/>
        <v/>
      </c>
      <c r="Q318" t="str">
        <f t="shared" si="41"/>
        <v/>
      </c>
      <c r="V318" t="str">
        <f t="shared" si="42"/>
        <v/>
      </c>
      <c r="Y318" t="str">
        <f t="shared" si="43"/>
        <v>A_CONTROLER</v>
      </c>
      <c r="Z318" t="str">
        <f t="shared" si="44"/>
        <v>A_CONTROLER</v>
      </c>
    </row>
    <row r="319" spans="2:26" x14ac:dyDescent="0.25">
      <c r="B319" t="str">
        <f t="shared" si="36"/>
        <v/>
      </c>
      <c r="C319" t="str">
        <f t="shared" si="37"/>
        <v/>
      </c>
      <c r="K319" t="str">
        <f t="shared" si="38"/>
        <v/>
      </c>
      <c r="N319" t="str">
        <f t="shared" si="39"/>
        <v/>
      </c>
      <c r="O319" t="str">
        <f t="shared" si="40"/>
        <v/>
      </c>
      <c r="Q319" t="str">
        <f t="shared" si="41"/>
        <v/>
      </c>
      <c r="V319" t="str">
        <f t="shared" si="42"/>
        <v/>
      </c>
      <c r="Y319" t="str">
        <f t="shared" si="43"/>
        <v>A_CONTROLER</v>
      </c>
      <c r="Z319" t="str">
        <f t="shared" si="44"/>
        <v>A_CONTROLER</v>
      </c>
    </row>
    <row r="320" spans="2:26" x14ac:dyDescent="0.25">
      <c r="B320" t="str">
        <f t="shared" si="36"/>
        <v/>
      </c>
      <c r="C320" t="str">
        <f t="shared" si="37"/>
        <v/>
      </c>
      <c r="K320" t="str">
        <f t="shared" si="38"/>
        <v/>
      </c>
      <c r="N320" t="str">
        <f t="shared" si="39"/>
        <v/>
      </c>
      <c r="O320" t="str">
        <f t="shared" si="40"/>
        <v/>
      </c>
      <c r="Q320" t="str">
        <f t="shared" si="41"/>
        <v/>
      </c>
      <c r="V320" t="str">
        <f t="shared" si="42"/>
        <v/>
      </c>
      <c r="Y320" t="str">
        <f t="shared" si="43"/>
        <v>A_CONTROLER</v>
      </c>
      <c r="Z320" t="str">
        <f t="shared" si="44"/>
        <v>A_CONTROLER</v>
      </c>
    </row>
    <row r="321" spans="2:26" x14ac:dyDescent="0.25">
      <c r="B321" t="str">
        <f t="shared" si="36"/>
        <v/>
      </c>
      <c r="C321" t="str">
        <f t="shared" si="37"/>
        <v/>
      </c>
      <c r="K321" t="str">
        <f t="shared" si="38"/>
        <v/>
      </c>
      <c r="N321" t="str">
        <f t="shared" si="39"/>
        <v/>
      </c>
      <c r="O321" t="str">
        <f t="shared" si="40"/>
        <v/>
      </c>
      <c r="Q321" t="str">
        <f t="shared" si="41"/>
        <v/>
      </c>
      <c r="V321" t="str">
        <f t="shared" si="42"/>
        <v/>
      </c>
      <c r="Y321" t="str">
        <f t="shared" si="43"/>
        <v>A_CONTROLER</v>
      </c>
      <c r="Z321" t="str">
        <f t="shared" si="44"/>
        <v>A_CONTROLER</v>
      </c>
    </row>
    <row r="322" spans="2:26" x14ac:dyDescent="0.25">
      <c r="B322" t="str">
        <f t="shared" ref="B322:B385" si="45">IF(A322="","",A322&amp;"|"&amp;D322&amp;"|"&amp;F322&amp;"|"&amp;G322&amp;"|"&amp;IF(I322="","",YEAR(I322)&amp;RIGHT("0"&amp;MONTH(I322),2)&amp;RIGHT("0"&amp;DAY(I322),2))&amp;"|"&amp;IF(L322="","",IF(ROUND(L322*100,0)&lt;0,"-","")&amp;INT(ABS(ROUND(L322*100,0))/100)&amp;"."&amp;RIGHT("0"&amp;MOD(ABS(ROUND(L322*100,0)),100),2)))</f>
        <v/>
      </c>
      <c r="C322" t="str">
        <f t="shared" ref="C322:C385" si="46">IF(I322="","",YEAR(I322)&amp;"-"&amp;RIGHT("0"&amp;MONTH(I322),2))</f>
        <v/>
      </c>
      <c r="K322" t="str">
        <f t="shared" ref="K322:K385" si="47">IF(OR(I322="",J322=""),"",J322-I322)</f>
        <v/>
      </c>
      <c r="N322" t="str">
        <f t="shared" ref="N322:N385" si="48">IF(F322="","",IFERROR(VLOOKUP(F322,lst_PropTauxLookup,2,0),""))</f>
        <v/>
      </c>
      <c r="O322" t="str">
        <f t="shared" ref="O322:O385" si="49">IF(F322="","",IF(ISNUMBER(IFERROR(VLOOKUP(F322,lst_PropTauxLookup,2,0),"")),"REF_PROPRIETAIRE","A_CONTROLER"))</f>
        <v/>
      </c>
      <c r="Q322" t="str">
        <f t="shared" ref="Q322:Q385" si="50">IF(OR(L322="",N322=""),"",IFERROR((L322-IF(M322="",0,M322))*N322,0))</f>
        <v/>
      </c>
      <c r="V322" t="str">
        <f t="shared" ref="V322:V385" si="51">IF(L322="","",L322-IF(M322="",0,M322)-IF(Q322="",0,Q322)-IF(T322="",0,T322))</f>
        <v/>
      </c>
      <c r="Y322" t="str">
        <f t="shared" ref="Y322:Y385" si="52">IF(W322="IC","OUI",IF(W322="HC","OUI",IF(W322="HR","NON","A_CONTROLER")))</f>
        <v>A_CONTROLER</v>
      </c>
      <c r="Z322" t="str">
        <f t="shared" ref="Z322:Z385" si="53">IF(W322="IC","OUI",IF(W322="HC","NON",IF(W322="HR","NON","A_CONTROLER")))</f>
        <v>A_CONTROLER</v>
      </c>
    </row>
    <row r="323" spans="2:26" x14ac:dyDescent="0.25">
      <c r="B323" t="str">
        <f t="shared" si="45"/>
        <v/>
      </c>
      <c r="C323" t="str">
        <f t="shared" si="46"/>
        <v/>
      </c>
      <c r="K323" t="str">
        <f t="shared" si="47"/>
        <v/>
      </c>
      <c r="N323" t="str">
        <f t="shared" si="48"/>
        <v/>
      </c>
      <c r="O323" t="str">
        <f t="shared" si="49"/>
        <v/>
      </c>
      <c r="Q323" t="str">
        <f t="shared" si="50"/>
        <v/>
      </c>
      <c r="V323" t="str">
        <f t="shared" si="51"/>
        <v/>
      </c>
      <c r="Y323" t="str">
        <f t="shared" si="52"/>
        <v>A_CONTROLER</v>
      </c>
      <c r="Z323" t="str">
        <f t="shared" si="53"/>
        <v>A_CONTROLER</v>
      </c>
    </row>
    <row r="324" spans="2:26" x14ac:dyDescent="0.25">
      <c r="B324" t="str">
        <f t="shared" si="45"/>
        <v/>
      </c>
      <c r="C324" t="str">
        <f t="shared" si="46"/>
        <v/>
      </c>
      <c r="K324" t="str">
        <f t="shared" si="47"/>
        <v/>
      </c>
      <c r="N324" t="str">
        <f t="shared" si="48"/>
        <v/>
      </c>
      <c r="O324" t="str">
        <f t="shared" si="49"/>
        <v/>
      </c>
      <c r="Q324" t="str">
        <f t="shared" si="50"/>
        <v/>
      </c>
      <c r="V324" t="str">
        <f t="shared" si="51"/>
        <v/>
      </c>
      <c r="Y324" t="str">
        <f t="shared" si="52"/>
        <v>A_CONTROLER</v>
      </c>
      <c r="Z324" t="str">
        <f t="shared" si="53"/>
        <v>A_CONTROLER</v>
      </c>
    </row>
    <row r="325" spans="2:26" x14ac:dyDescent="0.25">
      <c r="B325" t="str">
        <f t="shared" si="45"/>
        <v/>
      </c>
      <c r="C325" t="str">
        <f t="shared" si="46"/>
        <v/>
      </c>
      <c r="K325" t="str">
        <f t="shared" si="47"/>
        <v/>
      </c>
      <c r="N325" t="str">
        <f t="shared" si="48"/>
        <v/>
      </c>
      <c r="O325" t="str">
        <f t="shared" si="49"/>
        <v/>
      </c>
      <c r="Q325" t="str">
        <f t="shared" si="50"/>
        <v/>
      </c>
      <c r="V325" t="str">
        <f t="shared" si="51"/>
        <v/>
      </c>
      <c r="Y325" t="str">
        <f t="shared" si="52"/>
        <v>A_CONTROLER</v>
      </c>
      <c r="Z325" t="str">
        <f t="shared" si="53"/>
        <v>A_CONTROLER</v>
      </c>
    </row>
    <row r="326" spans="2:26" x14ac:dyDescent="0.25">
      <c r="B326" t="str">
        <f t="shared" si="45"/>
        <v/>
      </c>
      <c r="C326" t="str">
        <f t="shared" si="46"/>
        <v/>
      </c>
      <c r="K326" t="str">
        <f t="shared" si="47"/>
        <v/>
      </c>
      <c r="N326" t="str">
        <f t="shared" si="48"/>
        <v/>
      </c>
      <c r="O326" t="str">
        <f t="shared" si="49"/>
        <v/>
      </c>
      <c r="Q326" t="str">
        <f t="shared" si="50"/>
        <v/>
      </c>
      <c r="V326" t="str">
        <f t="shared" si="51"/>
        <v/>
      </c>
      <c r="Y326" t="str">
        <f t="shared" si="52"/>
        <v>A_CONTROLER</v>
      </c>
      <c r="Z326" t="str">
        <f t="shared" si="53"/>
        <v>A_CONTROLER</v>
      </c>
    </row>
    <row r="327" spans="2:26" x14ac:dyDescent="0.25">
      <c r="B327" t="str">
        <f t="shared" si="45"/>
        <v/>
      </c>
      <c r="C327" t="str">
        <f t="shared" si="46"/>
        <v/>
      </c>
      <c r="K327" t="str">
        <f t="shared" si="47"/>
        <v/>
      </c>
      <c r="N327" t="str">
        <f t="shared" si="48"/>
        <v/>
      </c>
      <c r="O327" t="str">
        <f t="shared" si="49"/>
        <v/>
      </c>
      <c r="Q327" t="str">
        <f t="shared" si="50"/>
        <v/>
      </c>
      <c r="V327" t="str">
        <f t="shared" si="51"/>
        <v/>
      </c>
      <c r="Y327" t="str">
        <f t="shared" si="52"/>
        <v>A_CONTROLER</v>
      </c>
      <c r="Z327" t="str">
        <f t="shared" si="53"/>
        <v>A_CONTROLER</v>
      </c>
    </row>
    <row r="328" spans="2:26" x14ac:dyDescent="0.25">
      <c r="B328" t="str">
        <f t="shared" si="45"/>
        <v/>
      </c>
      <c r="C328" t="str">
        <f t="shared" si="46"/>
        <v/>
      </c>
      <c r="K328" t="str">
        <f t="shared" si="47"/>
        <v/>
      </c>
      <c r="N328" t="str">
        <f t="shared" si="48"/>
        <v/>
      </c>
      <c r="O328" t="str">
        <f t="shared" si="49"/>
        <v/>
      </c>
      <c r="Q328" t="str">
        <f t="shared" si="50"/>
        <v/>
      </c>
      <c r="V328" t="str">
        <f t="shared" si="51"/>
        <v/>
      </c>
      <c r="Y328" t="str">
        <f t="shared" si="52"/>
        <v>A_CONTROLER</v>
      </c>
      <c r="Z328" t="str">
        <f t="shared" si="53"/>
        <v>A_CONTROLER</v>
      </c>
    </row>
    <row r="329" spans="2:26" x14ac:dyDescent="0.25">
      <c r="B329" t="str">
        <f t="shared" si="45"/>
        <v/>
      </c>
      <c r="C329" t="str">
        <f t="shared" si="46"/>
        <v/>
      </c>
      <c r="K329" t="str">
        <f t="shared" si="47"/>
        <v/>
      </c>
      <c r="N329" t="str">
        <f t="shared" si="48"/>
        <v/>
      </c>
      <c r="O329" t="str">
        <f t="shared" si="49"/>
        <v/>
      </c>
      <c r="Q329" t="str">
        <f t="shared" si="50"/>
        <v/>
      </c>
      <c r="V329" t="str">
        <f t="shared" si="51"/>
        <v/>
      </c>
      <c r="Y329" t="str">
        <f t="shared" si="52"/>
        <v>A_CONTROLER</v>
      </c>
      <c r="Z329" t="str">
        <f t="shared" si="53"/>
        <v>A_CONTROLER</v>
      </c>
    </row>
    <row r="330" spans="2:26" x14ac:dyDescent="0.25">
      <c r="B330" t="str">
        <f t="shared" si="45"/>
        <v/>
      </c>
      <c r="C330" t="str">
        <f t="shared" si="46"/>
        <v/>
      </c>
      <c r="K330" t="str">
        <f t="shared" si="47"/>
        <v/>
      </c>
      <c r="N330" t="str">
        <f t="shared" si="48"/>
        <v/>
      </c>
      <c r="O330" t="str">
        <f t="shared" si="49"/>
        <v/>
      </c>
      <c r="Q330" t="str">
        <f t="shared" si="50"/>
        <v/>
      </c>
      <c r="V330" t="str">
        <f t="shared" si="51"/>
        <v/>
      </c>
      <c r="Y330" t="str">
        <f t="shared" si="52"/>
        <v>A_CONTROLER</v>
      </c>
      <c r="Z330" t="str">
        <f t="shared" si="53"/>
        <v>A_CONTROLER</v>
      </c>
    </row>
    <row r="331" spans="2:26" x14ac:dyDescent="0.25">
      <c r="B331" t="str">
        <f t="shared" si="45"/>
        <v/>
      </c>
      <c r="C331" t="str">
        <f t="shared" si="46"/>
        <v/>
      </c>
      <c r="K331" t="str">
        <f t="shared" si="47"/>
        <v/>
      </c>
      <c r="N331" t="str">
        <f t="shared" si="48"/>
        <v/>
      </c>
      <c r="O331" t="str">
        <f t="shared" si="49"/>
        <v/>
      </c>
      <c r="Q331" t="str">
        <f t="shared" si="50"/>
        <v/>
      </c>
      <c r="V331" t="str">
        <f t="shared" si="51"/>
        <v/>
      </c>
      <c r="Y331" t="str">
        <f t="shared" si="52"/>
        <v>A_CONTROLER</v>
      </c>
      <c r="Z331" t="str">
        <f t="shared" si="53"/>
        <v>A_CONTROLER</v>
      </c>
    </row>
    <row r="332" spans="2:26" x14ac:dyDescent="0.25">
      <c r="B332" t="str">
        <f t="shared" si="45"/>
        <v/>
      </c>
      <c r="C332" t="str">
        <f t="shared" si="46"/>
        <v/>
      </c>
      <c r="K332" t="str">
        <f t="shared" si="47"/>
        <v/>
      </c>
      <c r="N332" t="str">
        <f t="shared" si="48"/>
        <v/>
      </c>
      <c r="O332" t="str">
        <f t="shared" si="49"/>
        <v/>
      </c>
      <c r="Q332" t="str">
        <f t="shared" si="50"/>
        <v/>
      </c>
      <c r="V332" t="str">
        <f t="shared" si="51"/>
        <v/>
      </c>
      <c r="Y332" t="str">
        <f t="shared" si="52"/>
        <v>A_CONTROLER</v>
      </c>
      <c r="Z332" t="str">
        <f t="shared" si="53"/>
        <v>A_CONTROLER</v>
      </c>
    </row>
    <row r="333" spans="2:26" x14ac:dyDescent="0.25">
      <c r="B333" t="str">
        <f t="shared" si="45"/>
        <v/>
      </c>
      <c r="C333" t="str">
        <f t="shared" si="46"/>
        <v/>
      </c>
      <c r="K333" t="str">
        <f t="shared" si="47"/>
        <v/>
      </c>
      <c r="N333" t="str">
        <f t="shared" si="48"/>
        <v/>
      </c>
      <c r="O333" t="str">
        <f t="shared" si="49"/>
        <v/>
      </c>
      <c r="Q333" t="str">
        <f t="shared" si="50"/>
        <v/>
      </c>
      <c r="V333" t="str">
        <f t="shared" si="51"/>
        <v/>
      </c>
      <c r="Y333" t="str">
        <f t="shared" si="52"/>
        <v>A_CONTROLER</v>
      </c>
      <c r="Z333" t="str">
        <f t="shared" si="53"/>
        <v>A_CONTROLER</v>
      </c>
    </row>
    <row r="334" spans="2:26" x14ac:dyDescent="0.25">
      <c r="B334" t="str">
        <f t="shared" si="45"/>
        <v/>
      </c>
      <c r="C334" t="str">
        <f t="shared" si="46"/>
        <v/>
      </c>
      <c r="K334" t="str">
        <f t="shared" si="47"/>
        <v/>
      </c>
      <c r="N334" t="str">
        <f t="shared" si="48"/>
        <v/>
      </c>
      <c r="O334" t="str">
        <f t="shared" si="49"/>
        <v/>
      </c>
      <c r="Q334" t="str">
        <f t="shared" si="50"/>
        <v/>
      </c>
      <c r="V334" t="str">
        <f t="shared" si="51"/>
        <v/>
      </c>
      <c r="Y334" t="str">
        <f t="shared" si="52"/>
        <v>A_CONTROLER</v>
      </c>
      <c r="Z334" t="str">
        <f t="shared" si="53"/>
        <v>A_CONTROLER</v>
      </c>
    </row>
    <row r="335" spans="2:26" x14ac:dyDescent="0.25">
      <c r="B335" t="str">
        <f t="shared" si="45"/>
        <v/>
      </c>
      <c r="C335" t="str">
        <f t="shared" si="46"/>
        <v/>
      </c>
      <c r="K335" t="str">
        <f t="shared" si="47"/>
        <v/>
      </c>
      <c r="N335" t="str">
        <f t="shared" si="48"/>
        <v/>
      </c>
      <c r="O335" t="str">
        <f t="shared" si="49"/>
        <v/>
      </c>
      <c r="Q335" t="str">
        <f t="shared" si="50"/>
        <v/>
      </c>
      <c r="V335" t="str">
        <f t="shared" si="51"/>
        <v/>
      </c>
      <c r="Y335" t="str">
        <f t="shared" si="52"/>
        <v>A_CONTROLER</v>
      </c>
      <c r="Z335" t="str">
        <f t="shared" si="53"/>
        <v>A_CONTROLER</v>
      </c>
    </row>
    <row r="336" spans="2:26" x14ac:dyDescent="0.25">
      <c r="B336" t="str">
        <f t="shared" si="45"/>
        <v/>
      </c>
      <c r="C336" t="str">
        <f t="shared" si="46"/>
        <v/>
      </c>
      <c r="K336" t="str">
        <f t="shared" si="47"/>
        <v/>
      </c>
      <c r="N336" t="str">
        <f t="shared" si="48"/>
        <v/>
      </c>
      <c r="O336" t="str">
        <f t="shared" si="49"/>
        <v/>
      </c>
      <c r="Q336" t="str">
        <f t="shared" si="50"/>
        <v/>
      </c>
      <c r="V336" t="str">
        <f t="shared" si="51"/>
        <v/>
      </c>
      <c r="Y336" t="str">
        <f t="shared" si="52"/>
        <v>A_CONTROLER</v>
      </c>
      <c r="Z336" t="str">
        <f t="shared" si="53"/>
        <v>A_CONTROLER</v>
      </c>
    </row>
    <row r="337" spans="2:26" x14ac:dyDescent="0.25">
      <c r="B337" t="str">
        <f t="shared" si="45"/>
        <v/>
      </c>
      <c r="C337" t="str">
        <f t="shared" si="46"/>
        <v/>
      </c>
      <c r="K337" t="str">
        <f t="shared" si="47"/>
        <v/>
      </c>
      <c r="N337" t="str">
        <f t="shared" si="48"/>
        <v/>
      </c>
      <c r="O337" t="str">
        <f t="shared" si="49"/>
        <v/>
      </c>
      <c r="Q337" t="str">
        <f t="shared" si="50"/>
        <v/>
      </c>
      <c r="V337" t="str">
        <f t="shared" si="51"/>
        <v/>
      </c>
      <c r="Y337" t="str">
        <f t="shared" si="52"/>
        <v>A_CONTROLER</v>
      </c>
      <c r="Z337" t="str">
        <f t="shared" si="53"/>
        <v>A_CONTROLER</v>
      </c>
    </row>
    <row r="338" spans="2:26" x14ac:dyDescent="0.25">
      <c r="B338" t="str">
        <f t="shared" si="45"/>
        <v/>
      </c>
      <c r="C338" t="str">
        <f t="shared" si="46"/>
        <v/>
      </c>
      <c r="K338" t="str">
        <f t="shared" si="47"/>
        <v/>
      </c>
      <c r="N338" t="str">
        <f t="shared" si="48"/>
        <v/>
      </c>
      <c r="O338" t="str">
        <f t="shared" si="49"/>
        <v/>
      </c>
      <c r="Q338" t="str">
        <f t="shared" si="50"/>
        <v/>
      </c>
      <c r="V338" t="str">
        <f t="shared" si="51"/>
        <v/>
      </c>
      <c r="Y338" t="str">
        <f t="shared" si="52"/>
        <v>A_CONTROLER</v>
      </c>
      <c r="Z338" t="str">
        <f t="shared" si="53"/>
        <v>A_CONTROLER</v>
      </c>
    </row>
    <row r="339" spans="2:26" x14ac:dyDescent="0.25">
      <c r="B339" t="str">
        <f t="shared" si="45"/>
        <v/>
      </c>
      <c r="C339" t="str">
        <f t="shared" si="46"/>
        <v/>
      </c>
      <c r="K339" t="str">
        <f t="shared" si="47"/>
        <v/>
      </c>
      <c r="N339" t="str">
        <f t="shared" si="48"/>
        <v/>
      </c>
      <c r="O339" t="str">
        <f t="shared" si="49"/>
        <v/>
      </c>
      <c r="Q339" t="str">
        <f t="shared" si="50"/>
        <v/>
      </c>
      <c r="V339" t="str">
        <f t="shared" si="51"/>
        <v/>
      </c>
      <c r="Y339" t="str">
        <f t="shared" si="52"/>
        <v>A_CONTROLER</v>
      </c>
      <c r="Z339" t="str">
        <f t="shared" si="53"/>
        <v>A_CONTROLER</v>
      </c>
    </row>
    <row r="340" spans="2:26" x14ac:dyDescent="0.25">
      <c r="B340" t="str">
        <f t="shared" si="45"/>
        <v/>
      </c>
      <c r="C340" t="str">
        <f t="shared" si="46"/>
        <v/>
      </c>
      <c r="K340" t="str">
        <f t="shared" si="47"/>
        <v/>
      </c>
      <c r="N340" t="str">
        <f t="shared" si="48"/>
        <v/>
      </c>
      <c r="O340" t="str">
        <f t="shared" si="49"/>
        <v/>
      </c>
      <c r="Q340" t="str">
        <f t="shared" si="50"/>
        <v/>
      </c>
      <c r="V340" t="str">
        <f t="shared" si="51"/>
        <v/>
      </c>
      <c r="Y340" t="str">
        <f t="shared" si="52"/>
        <v>A_CONTROLER</v>
      </c>
      <c r="Z340" t="str">
        <f t="shared" si="53"/>
        <v>A_CONTROLER</v>
      </c>
    </row>
    <row r="341" spans="2:26" x14ac:dyDescent="0.25">
      <c r="B341" t="str">
        <f t="shared" si="45"/>
        <v/>
      </c>
      <c r="C341" t="str">
        <f t="shared" si="46"/>
        <v/>
      </c>
      <c r="K341" t="str">
        <f t="shared" si="47"/>
        <v/>
      </c>
      <c r="N341" t="str">
        <f t="shared" si="48"/>
        <v/>
      </c>
      <c r="O341" t="str">
        <f t="shared" si="49"/>
        <v/>
      </c>
      <c r="Q341" t="str">
        <f t="shared" si="50"/>
        <v/>
      </c>
      <c r="V341" t="str">
        <f t="shared" si="51"/>
        <v/>
      </c>
      <c r="Y341" t="str">
        <f t="shared" si="52"/>
        <v>A_CONTROLER</v>
      </c>
      <c r="Z341" t="str">
        <f t="shared" si="53"/>
        <v>A_CONTROLER</v>
      </c>
    </row>
    <row r="342" spans="2:26" x14ac:dyDescent="0.25">
      <c r="B342" t="str">
        <f t="shared" si="45"/>
        <v/>
      </c>
      <c r="C342" t="str">
        <f t="shared" si="46"/>
        <v/>
      </c>
      <c r="K342" t="str">
        <f t="shared" si="47"/>
        <v/>
      </c>
      <c r="N342" t="str">
        <f t="shared" si="48"/>
        <v/>
      </c>
      <c r="O342" t="str">
        <f t="shared" si="49"/>
        <v/>
      </c>
      <c r="Q342" t="str">
        <f t="shared" si="50"/>
        <v/>
      </c>
      <c r="V342" t="str">
        <f t="shared" si="51"/>
        <v/>
      </c>
      <c r="Y342" t="str">
        <f t="shared" si="52"/>
        <v>A_CONTROLER</v>
      </c>
      <c r="Z342" t="str">
        <f t="shared" si="53"/>
        <v>A_CONTROLER</v>
      </c>
    </row>
    <row r="343" spans="2:26" x14ac:dyDescent="0.25">
      <c r="B343" t="str">
        <f t="shared" si="45"/>
        <v/>
      </c>
      <c r="C343" t="str">
        <f t="shared" si="46"/>
        <v/>
      </c>
      <c r="K343" t="str">
        <f t="shared" si="47"/>
        <v/>
      </c>
      <c r="N343" t="str">
        <f t="shared" si="48"/>
        <v/>
      </c>
      <c r="O343" t="str">
        <f t="shared" si="49"/>
        <v/>
      </c>
      <c r="Q343" t="str">
        <f t="shared" si="50"/>
        <v/>
      </c>
      <c r="V343" t="str">
        <f t="shared" si="51"/>
        <v/>
      </c>
      <c r="Y343" t="str">
        <f t="shared" si="52"/>
        <v>A_CONTROLER</v>
      </c>
      <c r="Z343" t="str">
        <f t="shared" si="53"/>
        <v>A_CONTROLER</v>
      </c>
    </row>
    <row r="344" spans="2:26" x14ac:dyDescent="0.25">
      <c r="B344" t="str">
        <f t="shared" si="45"/>
        <v/>
      </c>
      <c r="C344" t="str">
        <f t="shared" si="46"/>
        <v/>
      </c>
      <c r="K344" t="str">
        <f t="shared" si="47"/>
        <v/>
      </c>
      <c r="N344" t="str">
        <f t="shared" si="48"/>
        <v/>
      </c>
      <c r="O344" t="str">
        <f t="shared" si="49"/>
        <v/>
      </c>
      <c r="Q344" t="str">
        <f t="shared" si="50"/>
        <v/>
      </c>
      <c r="V344" t="str">
        <f t="shared" si="51"/>
        <v/>
      </c>
      <c r="Y344" t="str">
        <f t="shared" si="52"/>
        <v>A_CONTROLER</v>
      </c>
      <c r="Z344" t="str">
        <f t="shared" si="53"/>
        <v>A_CONTROLER</v>
      </c>
    </row>
    <row r="345" spans="2:26" x14ac:dyDescent="0.25">
      <c r="B345" t="str">
        <f t="shared" si="45"/>
        <v/>
      </c>
      <c r="C345" t="str">
        <f t="shared" si="46"/>
        <v/>
      </c>
      <c r="K345" t="str">
        <f t="shared" si="47"/>
        <v/>
      </c>
      <c r="N345" t="str">
        <f t="shared" si="48"/>
        <v/>
      </c>
      <c r="O345" t="str">
        <f t="shared" si="49"/>
        <v/>
      </c>
      <c r="Q345" t="str">
        <f t="shared" si="50"/>
        <v/>
      </c>
      <c r="V345" t="str">
        <f t="shared" si="51"/>
        <v/>
      </c>
      <c r="Y345" t="str">
        <f t="shared" si="52"/>
        <v>A_CONTROLER</v>
      </c>
      <c r="Z345" t="str">
        <f t="shared" si="53"/>
        <v>A_CONTROLER</v>
      </c>
    </row>
    <row r="346" spans="2:26" x14ac:dyDescent="0.25">
      <c r="B346" t="str">
        <f t="shared" si="45"/>
        <v/>
      </c>
      <c r="C346" t="str">
        <f t="shared" si="46"/>
        <v/>
      </c>
      <c r="K346" t="str">
        <f t="shared" si="47"/>
        <v/>
      </c>
      <c r="N346" t="str">
        <f t="shared" si="48"/>
        <v/>
      </c>
      <c r="O346" t="str">
        <f t="shared" si="49"/>
        <v/>
      </c>
      <c r="Q346" t="str">
        <f t="shared" si="50"/>
        <v/>
      </c>
      <c r="V346" t="str">
        <f t="shared" si="51"/>
        <v/>
      </c>
      <c r="Y346" t="str">
        <f t="shared" si="52"/>
        <v>A_CONTROLER</v>
      </c>
      <c r="Z346" t="str">
        <f t="shared" si="53"/>
        <v>A_CONTROLER</v>
      </c>
    </row>
    <row r="347" spans="2:26" x14ac:dyDescent="0.25">
      <c r="B347" t="str">
        <f t="shared" si="45"/>
        <v/>
      </c>
      <c r="C347" t="str">
        <f t="shared" si="46"/>
        <v/>
      </c>
      <c r="K347" t="str">
        <f t="shared" si="47"/>
        <v/>
      </c>
      <c r="N347" t="str">
        <f t="shared" si="48"/>
        <v/>
      </c>
      <c r="O347" t="str">
        <f t="shared" si="49"/>
        <v/>
      </c>
      <c r="Q347" t="str">
        <f t="shared" si="50"/>
        <v/>
      </c>
      <c r="V347" t="str">
        <f t="shared" si="51"/>
        <v/>
      </c>
      <c r="Y347" t="str">
        <f t="shared" si="52"/>
        <v>A_CONTROLER</v>
      </c>
      <c r="Z347" t="str">
        <f t="shared" si="53"/>
        <v>A_CONTROLER</v>
      </c>
    </row>
    <row r="348" spans="2:26" x14ac:dyDescent="0.25">
      <c r="B348" t="str">
        <f t="shared" si="45"/>
        <v/>
      </c>
      <c r="C348" t="str">
        <f t="shared" si="46"/>
        <v/>
      </c>
      <c r="K348" t="str">
        <f t="shared" si="47"/>
        <v/>
      </c>
      <c r="N348" t="str">
        <f t="shared" si="48"/>
        <v/>
      </c>
      <c r="O348" t="str">
        <f t="shared" si="49"/>
        <v/>
      </c>
      <c r="Q348" t="str">
        <f t="shared" si="50"/>
        <v/>
      </c>
      <c r="V348" t="str">
        <f t="shared" si="51"/>
        <v/>
      </c>
      <c r="Y348" t="str">
        <f t="shared" si="52"/>
        <v>A_CONTROLER</v>
      </c>
      <c r="Z348" t="str">
        <f t="shared" si="53"/>
        <v>A_CONTROLER</v>
      </c>
    </row>
    <row r="349" spans="2:26" x14ac:dyDescent="0.25">
      <c r="B349" t="str">
        <f t="shared" si="45"/>
        <v/>
      </c>
      <c r="C349" t="str">
        <f t="shared" si="46"/>
        <v/>
      </c>
      <c r="K349" t="str">
        <f t="shared" si="47"/>
        <v/>
      </c>
      <c r="N349" t="str">
        <f t="shared" si="48"/>
        <v/>
      </c>
      <c r="O349" t="str">
        <f t="shared" si="49"/>
        <v/>
      </c>
      <c r="Q349" t="str">
        <f t="shared" si="50"/>
        <v/>
      </c>
      <c r="V349" t="str">
        <f t="shared" si="51"/>
        <v/>
      </c>
      <c r="Y349" t="str">
        <f t="shared" si="52"/>
        <v>A_CONTROLER</v>
      </c>
      <c r="Z349" t="str">
        <f t="shared" si="53"/>
        <v>A_CONTROLER</v>
      </c>
    </row>
    <row r="350" spans="2:26" x14ac:dyDescent="0.25">
      <c r="B350" t="str">
        <f t="shared" si="45"/>
        <v/>
      </c>
      <c r="C350" t="str">
        <f t="shared" si="46"/>
        <v/>
      </c>
      <c r="K350" t="str">
        <f t="shared" si="47"/>
        <v/>
      </c>
      <c r="N350" t="str">
        <f t="shared" si="48"/>
        <v/>
      </c>
      <c r="O350" t="str">
        <f t="shared" si="49"/>
        <v/>
      </c>
      <c r="Q350" t="str">
        <f t="shared" si="50"/>
        <v/>
      </c>
      <c r="V350" t="str">
        <f t="shared" si="51"/>
        <v/>
      </c>
      <c r="Y350" t="str">
        <f t="shared" si="52"/>
        <v>A_CONTROLER</v>
      </c>
      <c r="Z350" t="str">
        <f t="shared" si="53"/>
        <v>A_CONTROLER</v>
      </c>
    </row>
    <row r="351" spans="2:26" x14ac:dyDescent="0.25">
      <c r="B351" t="str">
        <f t="shared" si="45"/>
        <v/>
      </c>
      <c r="C351" t="str">
        <f t="shared" si="46"/>
        <v/>
      </c>
      <c r="K351" t="str">
        <f t="shared" si="47"/>
        <v/>
      </c>
      <c r="N351" t="str">
        <f t="shared" si="48"/>
        <v/>
      </c>
      <c r="O351" t="str">
        <f t="shared" si="49"/>
        <v/>
      </c>
      <c r="Q351" t="str">
        <f t="shared" si="50"/>
        <v/>
      </c>
      <c r="V351" t="str">
        <f t="shared" si="51"/>
        <v/>
      </c>
      <c r="Y351" t="str">
        <f t="shared" si="52"/>
        <v>A_CONTROLER</v>
      </c>
      <c r="Z351" t="str">
        <f t="shared" si="53"/>
        <v>A_CONTROLER</v>
      </c>
    </row>
    <row r="352" spans="2:26" x14ac:dyDescent="0.25">
      <c r="B352" t="str">
        <f t="shared" si="45"/>
        <v/>
      </c>
      <c r="C352" t="str">
        <f t="shared" si="46"/>
        <v/>
      </c>
      <c r="K352" t="str">
        <f t="shared" si="47"/>
        <v/>
      </c>
      <c r="N352" t="str">
        <f t="shared" si="48"/>
        <v/>
      </c>
      <c r="O352" t="str">
        <f t="shared" si="49"/>
        <v/>
      </c>
      <c r="Q352" t="str">
        <f t="shared" si="50"/>
        <v/>
      </c>
      <c r="V352" t="str">
        <f t="shared" si="51"/>
        <v/>
      </c>
      <c r="Y352" t="str">
        <f t="shared" si="52"/>
        <v>A_CONTROLER</v>
      </c>
      <c r="Z352" t="str">
        <f t="shared" si="53"/>
        <v>A_CONTROLER</v>
      </c>
    </row>
    <row r="353" spans="2:26" x14ac:dyDescent="0.25">
      <c r="B353" t="str">
        <f t="shared" si="45"/>
        <v/>
      </c>
      <c r="C353" t="str">
        <f t="shared" si="46"/>
        <v/>
      </c>
      <c r="K353" t="str">
        <f t="shared" si="47"/>
        <v/>
      </c>
      <c r="N353" t="str">
        <f t="shared" si="48"/>
        <v/>
      </c>
      <c r="O353" t="str">
        <f t="shared" si="49"/>
        <v/>
      </c>
      <c r="Q353" t="str">
        <f t="shared" si="50"/>
        <v/>
      </c>
      <c r="V353" t="str">
        <f t="shared" si="51"/>
        <v/>
      </c>
      <c r="Y353" t="str">
        <f t="shared" si="52"/>
        <v>A_CONTROLER</v>
      </c>
      <c r="Z353" t="str">
        <f t="shared" si="53"/>
        <v>A_CONTROLER</v>
      </c>
    </row>
    <row r="354" spans="2:26" x14ac:dyDescent="0.25">
      <c r="B354" t="str">
        <f t="shared" si="45"/>
        <v/>
      </c>
      <c r="C354" t="str">
        <f t="shared" si="46"/>
        <v/>
      </c>
      <c r="K354" t="str">
        <f t="shared" si="47"/>
        <v/>
      </c>
      <c r="N354" t="str">
        <f t="shared" si="48"/>
        <v/>
      </c>
      <c r="O354" t="str">
        <f t="shared" si="49"/>
        <v/>
      </c>
      <c r="Q354" t="str">
        <f t="shared" si="50"/>
        <v/>
      </c>
      <c r="V354" t="str">
        <f t="shared" si="51"/>
        <v/>
      </c>
      <c r="Y354" t="str">
        <f t="shared" si="52"/>
        <v>A_CONTROLER</v>
      </c>
      <c r="Z354" t="str">
        <f t="shared" si="53"/>
        <v>A_CONTROLER</v>
      </c>
    </row>
    <row r="355" spans="2:26" x14ac:dyDescent="0.25">
      <c r="B355" t="str">
        <f t="shared" si="45"/>
        <v/>
      </c>
      <c r="C355" t="str">
        <f t="shared" si="46"/>
        <v/>
      </c>
      <c r="K355" t="str">
        <f t="shared" si="47"/>
        <v/>
      </c>
      <c r="N355" t="str">
        <f t="shared" si="48"/>
        <v/>
      </c>
      <c r="O355" t="str">
        <f t="shared" si="49"/>
        <v/>
      </c>
      <c r="Q355" t="str">
        <f t="shared" si="50"/>
        <v/>
      </c>
      <c r="V355" t="str">
        <f t="shared" si="51"/>
        <v/>
      </c>
      <c r="Y355" t="str">
        <f t="shared" si="52"/>
        <v>A_CONTROLER</v>
      </c>
      <c r="Z355" t="str">
        <f t="shared" si="53"/>
        <v>A_CONTROLER</v>
      </c>
    </row>
    <row r="356" spans="2:26" x14ac:dyDescent="0.25">
      <c r="B356" t="str">
        <f t="shared" si="45"/>
        <v/>
      </c>
      <c r="C356" t="str">
        <f t="shared" si="46"/>
        <v/>
      </c>
      <c r="K356" t="str">
        <f t="shared" si="47"/>
        <v/>
      </c>
      <c r="N356" t="str">
        <f t="shared" si="48"/>
        <v/>
      </c>
      <c r="O356" t="str">
        <f t="shared" si="49"/>
        <v/>
      </c>
      <c r="Q356" t="str">
        <f t="shared" si="50"/>
        <v/>
      </c>
      <c r="V356" t="str">
        <f t="shared" si="51"/>
        <v/>
      </c>
      <c r="Y356" t="str">
        <f t="shared" si="52"/>
        <v>A_CONTROLER</v>
      </c>
      <c r="Z356" t="str">
        <f t="shared" si="53"/>
        <v>A_CONTROLER</v>
      </c>
    </row>
    <row r="357" spans="2:26" x14ac:dyDescent="0.25">
      <c r="B357" t="str">
        <f t="shared" si="45"/>
        <v/>
      </c>
      <c r="C357" t="str">
        <f t="shared" si="46"/>
        <v/>
      </c>
      <c r="K357" t="str">
        <f t="shared" si="47"/>
        <v/>
      </c>
      <c r="N357" t="str">
        <f t="shared" si="48"/>
        <v/>
      </c>
      <c r="O357" t="str">
        <f t="shared" si="49"/>
        <v/>
      </c>
      <c r="Q357" t="str">
        <f t="shared" si="50"/>
        <v/>
      </c>
      <c r="V357" t="str">
        <f t="shared" si="51"/>
        <v/>
      </c>
      <c r="Y357" t="str">
        <f t="shared" si="52"/>
        <v>A_CONTROLER</v>
      </c>
      <c r="Z357" t="str">
        <f t="shared" si="53"/>
        <v>A_CONTROLER</v>
      </c>
    </row>
    <row r="358" spans="2:26" x14ac:dyDescent="0.25">
      <c r="B358" t="str">
        <f t="shared" si="45"/>
        <v/>
      </c>
      <c r="C358" t="str">
        <f t="shared" si="46"/>
        <v/>
      </c>
      <c r="K358" t="str">
        <f t="shared" si="47"/>
        <v/>
      </c>
      <c r="N358" t="str">
        <f t="shared" si="48"/>
        <v/>
      </c>
      <c r="O358" t="str">
        <f t="shared" si="49"/>
        <v/>
      </c>
      <c r="Q358" t="str">
        <f t="shared" si="50"/>
        <v/>
      </c>
      <c r="V358" t="str">
        <f t="shared" si="51"/>
        <v/>
      </c>
      <c r="Y358" t="str">
        <f t="shared" si="52"/>
        <v>A_CONTROLER</v>
      </c>
      <c r="Z358" t="str">
        <f t="shared" si="53"/>
        <v>A_CONTROLER</v>
      </c>
    </row>
    <row r="359" spans="2:26" x14ac:dyDescent="0.25">
      <c r="B359" t="str">
        <f t="shared" si="45"/>
        <v/>
      </c>
      <c r="C359" t="str">
        <f t="shared" si="46"/>
        <v/>
      </c>
      <c r="K359" t="str">
        <f t="shared" si="47"/>
        <v/>
      </c>
      <c r="N359" t="str">
        <f t="shared" si="48"/>
        <v/>
      </c>
      <c r="O359" t="str">
        <f t="shared" si="49"/>
        <v/>
      </c>
      <c r="Q359" t="str">
        <f t="shared" si="50"/>
        <v/>
      </c>
      <c r="V359" t="str">
        <f t="shared" si="51"/>
        <v/>
      </c>
      <c r="Y359" t="str">
        <f t="shared" si="52"/>
        <v>A_CONTROLER</v>
      </c>
      <c r="Z359" t="str">
        <f t="shared" si="53"/>
        <v>A_CONTROLER</v>
      </c>
    </row>
    <row r="360" spans="2:26" x14ac:dyDescent="0.25">
      <c r="B360" t="str">
        <f t="shared" si="45"/>
        <v/>
      </c>
      <c r="C360" t="str">
        <f t="shared" si="46"/>
        <v/>
      </c>
      <c r="K360" t="str">
        <f t="shared" si="47"/>
        <v/>
      </c>
      <c r="N360" t="str">
        <f t="shared" si="48"/>
        <v/>
      </c>
      <c r="O360" t="str">
        <f t="shared" si="49"/>
        <v/>
      </c>
      <c r="Q360" t="str">
        <f t="shared" si="50"/>
        <v/>
      </c>
      <c r="V360" t="str">
        <f t="shared" si="51"/>
        <v/>
      </c>
      <c r="Y360" t="str">
        <f t="shared" si="52"/>
        <v>A_CONTROLER</v>
      </c>
      <c r="Z360" t="str">
        <f t="shared" si="53"/>
        <v>A_CONTROLER</v>
      </c>
    </row>
    <row r="361" spans="2:26" x14ac:dyDescent="0.25">
      <c r="B361" t="str">
        <f t="shared" si="45"/>
        <v/>
      </c>
      <c r="C361" t="str">
        <f t="shared" si="46"/>
        <v/>
      </c>
      <c r="K361" t="str">
        <f t="shared" si="47"/>
        <v/>
      </c>
      <c r="N361" t="str">
        <f t="shared" si="48"/>
        <v/>
      </c>
      <c r="O361" t="str">
        <f t="shared" si="49"/>
        <v/>
      </c>
      <c r="Q361" t="str">
        <f t="shared" si="50"/>
        <v/>
      </c>
      <c r="V361" t="str">
        <f t="shared" si="51"/>
        <v/>
      </c>
      <c r="Y361" t="str">
        <f t="shared" si="52"/>
        <v>A_CONTROLER</v>
      </c>
      <c r="Z361" t="str">
        <f t="shared" si="53"/>
        <v>A_CONTROLER</v>
      </c>
    </row>
    <row r="362" spans="2:26" x14ac:dyDescent="0.25">
      <c r="B362" t="str">
        <f t="shared" si="45"/>
        <v/>
      </c>
      <c r="C362" t="str">
        <f t="shared" si="46"/>
        <v/>
      </c>
      <c r="K362" t="str">
        <f t="shared" si="47"/>
        <v/>
      </c>
      <c r="N362" t="str">
        <f t="shared" si="48"/>
        <v/>
      </c>
      <c r="O362" t="str">
        <f t="shared" si="49"/>
        <v/>
      </c>
      <c r="Q362" t="str">
        <f t="shared" si="50"/>
        <v/>
      </c>
      <c r="V362" t="str">
        <f t="shared" si="51"/>
        <v/>
      </c>
      <c r="Y362" t="str">
        <f t="shared" si="52"/>
        <v>A_CONTROLER</v>
      </c>
      <c r="Z362" t="str">
        <f t="shared" si="53"/>
        <v>A_CONTROLER</v>
      </c>
    </row>
    <row r="363" spans="2:26" x14ac:dyDescent="0.25">
      <c r="B363" t="str">
        <f t="shared" si="45"/>
        <v/>
      </c>
      <c r="C363" t="str">
        <f t="shared" si="46"/>
        <v/>
      </c>
      <c r="K363" t="str">
        <f t="shared" si="47"/>
        <v/>
      </c>
      <c r="N363" t="str">
        <f t="shared" si="48"/>
        <v/>
      </c>
      <c r="O363" t="str">
        <f t="shared" si="49"/>
        <v/>
      </c>
      <c r="Q363" t="str">
        <f t="shared" si="50"/>
        <v/>
      </c>
      <c r="V363" t="str">
        <f t="shared" si="51"/>
        <v/>
      </c>
      <c r="Y363" t="str">
        <f t="shared" si="52"/>
        <v>A_CONTROLER</v>
      </c>
      <c r="Z363" t="str">
        <f t="shared" si="53"/>
        <v>A_CONTROLER</v>
      </c>
    </row>
    <row r="364" spans="2:26" x14ac:dyDescent="0.25">
      <c r="B364" t="str">
        <f t="shared" si="45"/>
        <v/>
      </c>
      <c r="C364" t="str">
        <f t="shared" si="46"/>
        <v/>
      </c>
      <c r="K364" t="str">
        <f t="shared" si="47"/>
        <v/>
      </c>
      <c r="N364" t="str">
        <f t="shared" si="48"/>
        <v/>
      </c>
      <c r="O364" t="str">
        <f t="shared" si="49"/>
        <v/>
      </c>
      <c r="Q364" t="str">
        <f t="shared" si="50"/>
        <v/>
      </c>
      <c r="V364" t="str">
        <f t="shared" si="51"/>
        <v/>
      </c>
      <c r="Y364" t="str">
        <f t="shared" si="52"/>
        <v>A_CONTROLER</v>
      </c>
      <c r="Z364" t="str">
        <f t="shared" si="53"/>
        <v>A_CONTROLER</v>
      </c>
    </row>
    <row r="365" spans="2:26" x14ac:dyDescent="0.25">
      <c r="B365" t="str">
        <f t="shared" si="45"/>
        <v/>
      </c>
      <c r="C365" t="str">
        <f t="shared" si="46"/>
        <v/>
      </c>
      <c r="K365" t="str">
        <f t="shared" si="47"/>
        <v/>
      </c>
      <c r="N365" t="str">
        <f t="shared" si="48"/>
        <v/>
      </c>
      <c r="O365" t="str">
        <f t="shared" si="49"/>
        <v/>
      </c>
      <c r="Q365" t="str">
        <f t="shared" si="50"/>
        <v/>
      </c>
      <c r="V365" t="str">
        <f t="shared" si="51"/>
        <v/>
      </c>
      <c r="Y365" t="str">
        <f t="shared" si="52"/>
        <v>A_CONTROLER</v>
      </c>
      <c r="Z365" t="str">
        <f t="shared" si="53"/>
        <v>A_CONTROLER</v>
      </c>
    </row>
    <row r="366" spans="2:26" x14ac:dyDescent="0.25">
      <c r="B366" t="str">
        <f t="shared" si="45"/>
        <v/>
      </c>
      <c r="C366" t="str">
        <f t="shared" si="46"/>
        <v/>
      </c>
      <c r="K366" t="str">
        <f t="shared" si="47"/>
        <v/>
      </c>
      <c r="N366" t="str">
        <f t="shared" si="48"/>
        <v/>
      </c>
      <c r="O366" t="str">
        <f t="shared" si="49"/>
        <v/>
      </c>
      <c r="Q366" t="str">
        <f t="shared" si="50"/>
        <v/>
      </c>
      <c r="V366" t="str">
        <f t="shared" si="51"/>
        <v/>
      </c>
      <c r="Y366" t="str">
        <f t="shared" si="52"/>
        <v>A_CONTROLER</v>
      </c>
      <c r="Z366" t="str">
        <f t="shared" si="53"/>
        <v>A_CONTROLER</v>
      </c>
    </row>
    <row r="367" spans="2:26" x14ac:dyDescent="0.25">
      <c r="B367" t="str">
        <f t="shared" si="45"/>
        <v/>
      </c>
      <c r="C367" t="str">
        <f t="shared" si="46"/>
        <v/>
      </c>
      <c r="K367" t="str">
        <f t="shared" si="47"/>
        <v/>
      </c>
      <c r="N367" t="str">
        <f t="shared" si="48"/>
        <v/>
      </c>
      <c r="O367" t="str">
        <f t="shared" si="49"/>
        <v/>
      </c>
      <c r="Q367" t="str">
        <f t="shared" si="50"/>
        <v/>
      </c>
      <c r="V367" t="str">
        <f t="shared" si="51"/>
        <v/>
      </c>
      <c r="Y367" t="str">
        <f t="shared" si="52"/>
        <v>A_CONTROLER</v>
      </c>
      <c r="Z367" t="str">
        <f t="shared" si="53"/>
        <v>A_CONTROLER</v>
      </c>
    </row>
    <row r="368" spans="2:26" x14ac:dyDescent="0.25">
      <c r="B368" t="str">
        <f t="shared" si="45"/>
        <v/>
      </c>
      <c r="C368" t="str">
        <f t="shared" si="46"/>
        <v/>
      </c>
      <c r="K368" t="str">
        <f t="shared" si="47"/>
        <v/>
      </c>
      <c r="N368" t="str">
        <f t="shared" si="48"/>
        <v/>
      </c>
      <c r="O368" t="str">
        <f t="shared" si="49"/>
        <v/>
      </c>
      <c r="Q368" t="str">
        <f t="shared" si="50"/>
        <v/>
      </c>
      <c r="V368" t="str">
        <f t="shared" si="51"/>
        <v/>
      </c>
      <c r="Y368" t="str">
        <f t="shared" si="52"/>
        <v>A_CONTROLER</v>
      </c>
      <c r="Z368" t="str">
        <f t="shared" si="53"/>
        <v>A_CONTROLER</v>
      </c>
    </row>
    <row r="369" spans="2:26" x14ac:dyDescent="0.25">
      <c r="B369" t="str">
        <f t="shared" si="45"/>
        <v/>
      </c>
      <c r="C369" t="str">
        <f t="shared" si="46"/>
        <v/>
      </c>
      <c r="K369" t="str">
        <f t="shared" si="47"/>
        <v/>
      </c>
      <c r="N369" t="str">
        <f t="shared" si="48"/>
        <v/>
      </c>
      <c r="O369" t="str">
        <f t="shared" si="49"/>
        <v/>
      </c>
      <c r="Q369" t="str">
        <f t="shared" si="50"/>
        <v/>
      </c>
      <c r="V369" t="str">
        <f t="shared" si="51"/>
        <v/>
      </c>
      <c r="Y369" t="str">
        <f t="shared" si="52"/>
        <v>A_CONTROLER</v>
      </c>
      <c r="Z369" t="str">
        <f t="shared" si="53"/>
        <v>A_CONTROLER</v>
      </c>
    </row>
    <row r="370" spans="2:26" x14ac:dyDescent="0.25">
      <c r="B370" t="str">
        <f t="shared" si="45"/>
        <v/>
      </c>
      <c r="C370" t="str">
        <f t="shared" si="46"/>
        <v/>
      </c>
      <c r="K370" t="str">
        <f t="shared" si="47"/>
        <v/>
      </c>
      <c r="N370" t="str">
        <f t="shared" si="48"/>
        <v/>
      </c>
      <c r="O370" t="str">
        <f t="shared" si="49"/>
        <v/>
      </c>
      <c r="Q370" t="str">
        <f t="shared" si="50"/>
        <v/>
      </c>
      <c r="V370" t="str">
        <f t="shared" si="51"/>
        <v/>
      </c>
      <c r="Y370" t="str">
        <f t="shared" si="52"/>
        <v>A_CONTROLER</v>
      </c>
      <c r="Z370" t="str">
        <f t="shared" si="53"/>
        <v>A_CONTROLER</v>
      </c>
    </row>
    <row r="371" spans="2:26" x14ac:dyDescent="0.25">
      <c r="B371" t="str">
        <f t="shared" si="45"/>
        <v/>
      </c>
      <c r="C371" t="str">
        <f t="shared" si="46"/>
        <v/>
      </c>
      <c r="K371" t="str">
        <f t="shared" si="47"/>
        <v/>
      </c>
      <c r="N371" t="str">
        <f t="shared" si="48"/>
        <v/>
      </c>
      <c r="O371" t="str">
        <f t="shared" si="49"/>
        <v/>
      </c>
      <c r="Q371" t="str">
        <f t="shared" si="50"/>
        <v/>
      </c>
      <c r="V371" t="str">
        <f t="shared" si="51"/>
        <v/>
      </c>
      <c r="Y371" t="str">
        <f t="shared" si="52"/>
        <v>A_CONTROLER</v>
      </c>
      <c r="Z371" t="str">
        <f t="shared" si="53"/>
        <v>A_CONTROLER</v>
      </c>
    </row>
    <row r="372" spans="2:26" x14ac:dyDescent="0.25">
      <c r="B372" t="str">
        <f t="shared" si="45"/>
        <v/>
      </c>
      <c r="C372" t="str">
        <f t="shared" si="46"/>
        <v/>
      </c>
      <c r="K372" t="str">
        <f t="shared" si="47"/>
        <v/>
      </c>
      <c r="N372" t="str">
        <f t="shared" si="48"/>
        <v/>
      </c>
      <c r="O372" t="str">
        <f t="shared" si="49"/>
        <v/>
      </c>
      <c r="Q372" t="str">
        <f t="shared" si="50"/>
        <v/>
      </c>
      <c r="V372" t="str">
        <f t="shared" si="51"/>
        <v/>
      </c>
      <c r="Y372" t="str">
        <f t="shared" si="52"/>
        <v>A_CONTROLER</v>
      </c>
      <c r="Z372" t="str">
        <f t="shared" si="53"/>
        <v>A_CONTROLER</v>
      </c>
    </row>
    <row r="373" spans="2:26" x14ac:dyDescent="0.25">
      <c r="B373" t="str">
        <f t="shared" si="45"/>
        <v/>
      </c>
      <c r="C373" t="str">
        <f t="shared" si="46"/>
        <v/>
      </c>
      <c r="K373" t="str">
        <f t="shared" si="47"/>
        <v/>
      </c>
      <c r="N373" t="str">
        <f t="shared" si="48"/>
        <v/>
      </c>
      <c r="O373" t="str">
        <f t="shared" si="49"/>
        <v/>
      </c>
      <c r="Q373" t="str">
        <f t="shared" si="50"/>
        <v/>
      </c>
      <c r="V373" t="str">
        <f t="shared" si="51"/>
        <v/>
      </c>
      <c r="Y373" t="str">
        <f t="shared" si="52"/>
        <v>A_CONTROLER</v>
      </c>
      <c r="Z373" t="str">
        <f t="shared" si="53"/>
        <v>A_CONTROLER</v>
      </c>
    </row>
    <row r="374" spans="2:26" x14ac:dyDescent="0.25">
      <c r="B374" t="str">
        <f t="shared" si="45"/>
        <v/>
      </c>
      <c r="C374" t="str">
        <f t="shared" si="46"/>
        <v/>
      </c>
      <c r="K374" t="str">
        <f t="shared" si="47"/>
        <v/>
      </c>
      <c r="N374" t="str">
        <f t="shared" si="48"/>
        <v/>
      </c>
      <c r="O374" t="str">
        <f t="shared" si="49"/>
        <v/>
      </c>
      <c r="Q374" t="str">
        <f t="shared" si="50"/>
        <v/>
      </c>
      <c r="V374" t="str">
        <f t="shared" si="51"/>
        <v/>
      </c>
      <c r="Y374" t="str">
        <f t="shared" si="52"/>
        <v>A_CONTROLER</v>
      </c>
      <c r="Z374" t="str">
        <f t="shared" si="53"/>
        <v>A_CONTROLER</v>
      </c>
    </row>
    <row r="375" spans="2:26" x14ac:dyDescent="0.25">
      <c r="B375" t="str">
        <f t="shared" si="45"/>
        <v/>
      </c>
      <c r="C375" t="str">
        <f t="shared" si="46"/>
        <v/>
      </c>
      <c r="K375" t="str">
        <f t="shared" si="47"/>
        <v/>
      </c>
      <c r="N375" t="str">
        <f t="shared" si="48"/>
        <v/>
      </c>
      <c r="O375" t="str">
        <f t="shared" si="49"/>
        <v/>
      </c>
      <c r="Q375" t="str">
        <f t="shared" si="50"/>
        <v/>
      </c>
      <c r="V375" t="str">
        <f t="shared" si="51"/>
        <v/>
      </c>
      <c r="Y375" t="str">
        <f t="shared" si="52"/>
        <v>A_CONTROLER</v>
      </c>
      <c r="Z375" t="str">
        <f t="shared" si="53"/>
        <v>A_CONTROLER</v>
      </c>
    </row>
    <row r="376" spans="2:26" x14ac:dyDescent="0.25">
      <c r="B376" t="str">
        <f t="shared" si="45"/>
        <v/>
      </c>
      <c r="C376" t="str">
        <f t="shared" si="46"/>
        <v/>
      </c>
      <c r="K376" t="str">
        <f t="shared" si="47"/>
        <v/>
      </c>
      <c r="N376" t="str">
        <f t="shared" si="48"/>
        <v/>
      </c>
      <c r="O376" t="str">
        <f t="shared" si="49"/>
        <v/>
      </c>
      <c r="Q376" t="str">
        <f t="shared" si="50"/>
        <v/>
      </c>
      <c r="V376" t="str">
        <f t="shared" si="51"/>
        <v/>
      </c>
      <c r="Y376" t="str">
        <f t="shared" si="52"/>
        <v>A_CONTROLER</v>
      </c>
      <c r="Z376" t="str">
        <f t="shared" si="53"/>
        <v>A_CONTROLER</v>
      </c>
    </row>
    <row r="377" spans="2:26" x14ac:dyDescent="0.25">
      <c r="B377" t="str">
        <f t="shared" si="45"/>
        <v/>
      </c>
      <c r="C377" t="str">
        <f t="shared" si="46"/>
        <v/>
      </c>
      <c r="K377" t="str">
        <f t="shared" si="47"/>
        <v/>
      </c>
      <c r="N377" t="str">
        <f t="shared" si="48"/>
        <v/>
      </c>
      <c r="O377" t="str">
        <f t="shared" si="49"/>
        <v/>
      </c>
      <c r="Q377" t="str">
        <f t="shared" si="50"/>
        <v/>
      </c>
      <c r="V377" t="str">
        <f t="shared" si="51"/>
        <v/>
      </c>
      <c r="Y377" t="str">
        <f t="shared" si="52"/>
        <v>A_CONTROLER</v>
      </c>
      <c r="Z377" t="str">
        <f t="shared" si="53"/>
        <v>A_CONTROLER</v>
      </c>
    </row>
    <row r="378" spans="2:26" x14ac:dyDescent="0.25">
      <c r="B378" t="str">
        <f t="shared" si="45"/>
        <v/>
      </c>
      <c r="C378" t="str">
        <f t="shared" si="46"/>
        <v/>
      </c>
      <c r="K378" t="str">
        <f t="shared" si="47"/>
        <v/>
      </c>
      <c r="N378" t="str">
        <f t="shared" si="48"/>
        <v/>
      </c>
      <c r="O378" t="str">
        <f t="shared" si="49"/>
        <v/>
      </c>
      <c r="Q378" t="str">
        <f t="shared" si="50"/>
        <v/>
      </c>
      <c r="V378" t="str">
        <f t="shared" si="51"/>
        <v/>
      </c>
      <c r="Y378" t="str">
        <f t="shared" si="52"/>
        <v>A_CONTROLER</v>
      </c>
      <c r="Z378" t="str">
        <f t="shared" si="53"/>
        <v>A_CONTROLER</v>
      </c>
    </row>
    <row r="379" spans="2:26" x14ac:dyDescent="0.25">
      <c r="B379" t="str">
        <f t="shared" si="45"/>
        <v/>
      </c>
      <c r="C379" t="str">
        <f t="shared" si="46"/>
        <v/>
      </c>
      <c r="K379" t="str">
        <f t="shared" si="47"/>
        <v/>
      </c>
      <c r="N379" t="str">
        <f t="shared" si="48"/>
        <v/>
      </c>
      <c r="O379" t="str">
        <f t="shared" si="49"/>
        <v/>
      </c>
      <c r="Q379" t="str">
        <f t="shared" si="50"/>
        <v/>
      </c>
      <c r="V379" t="str">
        <f t="shared" si="51"/>
        <v/>
      </c>
      <c r="Y379" t="str">
        <f t="shared" si="52"/>
        <v>A_CONTROLER</v>
      </c>
      <c r="Z379" t="str">
        <f t="shared" si="53"/>
        <v>A_CONTROLER</v>
      </c>
    </row>
    <row r="380" spans="2:26" x14ac:dyDescent="0.25">
      <c r="B380" t="str">
        <f t="shared" si="45"/>
        <v/>
      </c>
      <c r="C380" t="str">
        <f t="shared" si="46"/>
        <v/>
      </c>
      <c r="K380" t="str">
        <f t="shared" si="47"/>
        <v/>
      </c>
      <c r="N380" t="str">
        <f t="shared" si="48"/>
        <v/>
      </c>
      <c r="O380" t="str">
        <f t="shared" si="49"/>
        <v/>
      </c>
      <c r="Q380" t="str">
        <f t="shared" si="50"/>
        <v/>
      </c>
      <c r="V380" t="str">
        <f t="shared" si="51"/>
        <v/>
      </c>
      <c r="Y380" t="str">
        <f t="shared" si="52"/>
        <v>A_CONTROLER</v>
      </c>
      <c r="Z380" t="str">
        <f t="shared" si="53"/>
        <v>A_CONTROLER</v>
      </c>
    </row>
    <row r="381" spans="2:26" x14ac:dyDescent="0.25">
      <c r="B381" t="str">
        <f t="shared" si="45"/>
        <v/>
      </c>
      <c r="C381" t="str">
        <f t="shared" si="46"/>
        <v/>
      </c>
      <c r="K381" t="str">
        <f t="shared" si="47"/>
        <v/>
      </c>
      <c r="N381" t="str">
        <f t="shared" si="48"/>
        <v/>
      </c>
      <c r="O381" t="str">
        <f t="shared" si="49"/>
        <v/>
      </c>
      <c r="Q381" t="str">
        <f t="shared" si="50"/>
        <v/>
      </c>
      <c r="V381" t="str">
        <f t="shared" si="51"/>
        <v/>
      </c>
      <c r="Y381" t="str">
        <f t="shared" si="52"/>
        <v>A_CONTROLER</v>
      </c>
      <c r="Z381" t="str">
        <f t="shared" si="53"/>
        <v>A_CONTROLER</v>
      </c>
    </row>
    <row r="382" spans="2:26" x14ac:dyDescent="0.25">
      <c r="B382" t="str">
        <f t="shared" si="45"/>
        <v/>
      </c>
      <c r="C382" t="str">
        <f t="shared" si="46"/>
        <v/>
      </c>
      <c r="K382" t="str">
        <f t="shared" si="47"/>
        <v/>
      </c>
      <c r="N382" t="str">
        <f t="shared" si="48"/>
        <v/>
      </c>
      <c r="O382" t="str">
        <f t="shared" si="49"/>
        <v/>
      </c>
      <c r="Q382" t="str">
        <f t="shared" si="50"/>
        <v/>
      </c>
      <c r="V382" t="str">
        <f t="shared" si="51"/>
        <v/>
      </c>
      <c r="Y382" t="str">
        <f t="shared" si="52"/>
        <v>A_CONTROLER</v>
      </c>
      <c r="Z382" t="str">
        <f t="shared" si="53"/>
        <v>A_CONTROLER</v>
      </c>
    </row>
    <row r="383" spans="2:26" x14ac:dyDescent="0.25">
      <c r="B383" t="str">
        <f t="shared" si="45"/>
        <v/>
      </c>
      <c r="C383" t="str">
        <f t="shared" si="46"/>
        <v/>
      </c>
      <c r="K383" t="str">
        <f t="shared" si="47"/>
        <v/>
      </c>
      <c r="N383" t="str">
        <f t="shared" si="48"/>
        <v/>
      </c>
      <c r="O383" t="str">
        <f t="shared" si="49"/>
        <v/>
      </c>
      <c r="Q383" t="str">
        <f t="shared" si="50"/>
        <v/>
      </c>
      <c r="V383" t="str">
        <f t="shared" si="51"/>
        <v/>
      </c>
      <c r="Y383" t="str">
        <f t="shared" si="52"/>
        <v>A_CONTROLER</v>
      </c>
      <c r="Z383" t="str">
        <f t="shared" si="53"/>
        <v>A_CONTROLER</v>
      </c>
    </row>
    <row r="384" spans="2:26" x14ac:dyDescent="0.25">
      <c r="B384" t="str">
        <f t="shared" si="45"/>
        <v/>
      </c>
      <c r="C384" t="str">
        <f t="shared" si="46"/>
        <v/>
      </c>
      <c r="K384" t="str">
        <f t="shared" si="47"/>
        <v/>
      </c>
      <c r="N384" t="str">
        <f t="shared" si="48"/>
        <v/>
      </c>
      <c r="O384" t="str">
        <f t="shared" si="49"/>
        <v/>
      </c>
      <c r="Q384" t="str">
        <f t="shared" si="50"/>
        <v/>
      </c>
      <c r="V384" t="str">
        <f t="shared" si="51"/>
        <v/>
      </c>
      <c r="Y384" t="str">
        <f t="shared" si="52"/>
        <v>A_CONTROLER</v>
      </c>
      <c r="Z384" t="str">
        <f t="shared" si="53"/>
        <v>A_CONTROLER</v>
      </c>
    </row>
    <row r="385" spans="2:26" x14ac:dyDescent="0.25">
      <c r="B385" t="str">
        <f t="shared" si="45"/>
        <v/>
      </c>
      <c r="C385" t="str">
        <f t="shared" si="46"/>
        <v/>
      </c>
      <c r="K385" t="str">
        <f t="shared" si="47"/>
        <v/>
      </c>
      <c r="N385" t="str">
        <f t="shared" si="48"/>
        <v/>
      </c>
      <c r="O385" t="str">
        <f t="shared" si="49"/>
        <v/>
      </c>
      <c r="Q385" t="str">
        <f t="shared" si="50"/>
        <v/>
      </c>
      <c r="V385" t="str">
        <f t="shared" si="51"/>
        <v/>
      </c>
      <c r="Y385" t="str">
        <f t="shared" si="52"/>
        <v>A_CONTROLER</v>
      </c>
      <c r="Z385" t="str">
        <f t="shared" si="53"/>
        <v>A_CONTROLER</v>
      </c>
    </row>
    <row r="386" spans="2:26" x14ac:dyDescent="0.25">
      <c r="B386" t="str">
        <f t="shared" ref="B386:B449" si="54">IF(A386="","",A386&amp;"|"&amp;D386&amp;"|"&amp;F386&amp;"|"&amp;G386&amp;"|"&amp;IF(I386="","",YEAR(I386)&amp;RIGHT("0"&amp;MONTH(I386),2)&amp;RIGHT("0"&amp;DAY(I386),2))&amp;"|"&amp;IF(L386="","",IF(ROUND(L386*100,0)&lt;0,"-","")&amp;INT(ABS(ROUND(L386*100,0))/100)&amp;"."&amp;RIGHT("0"&amp;MOD(ABS(ROUND(L386*100,0)),100),2)))</f>
        <v/>
      </c>
      <c r="C386" t="str">
        <f t="shared" ref="C386:C449" si="55">IF(I386="","",YEAR(I386)&amp;"-"&amp;RIGHT("0"&amp;MONTH(I386),2))</f>
        <v/>
      </c>
      <c r="K386" t="str">
        <f t="shared" ref="K386:K449" si="56">IF(OR(I386="",J386=""),"",J386-I386)</f>
        <v/>
      </c>
      <c r="N386" t="str">
        <f t="shared" ref="N386:N449" si="57">IF(F386="","",IFERROR(VLOOKUP(F386,lst_PropTauxLookup,2,0),""))</f>
        <v/>
      </c>
      <c r="O386" t="str">
        <f t="shared" ref="O386:O449" si="58">IF(F386="","",IF(ISNUMBER(IFERROR(VLOOKUP(F386,lst_PropTauxLookup,2,0),"")),"REF_PROPRIETAIRE","A_CONTROLER"))</f>
        <v/>
      </c>
      <c r="Q386" t="str">
        <f t="shared" ref="Q386:Q449" si="59">IF(OR(L386="",N386=""),"",IFERROR((L386-IF(M386="",0,M386))*N386,0))</f>
        <v/>
      </c>
      <c r="V386" t="str">
        <f t="shared" ref="V386:V449" si="60">IF(L386="","",L386-IF(M386="",0,M386)-IF(Q386="",0,Q386)-IF(T386="",0,T386))</f>
        <v/>
      </c>
      <c r="Y386" t="str">
        <f t="shared" ref="Y386:Y449" si="61">IF(W386="IC","OUI",IF(W386="HC","OUI",IF(W386="HR","NON","A_CONTROLER")))</f>
        <v>A_CONTROLER</v>
      </c>
      <c r="Z386" t="str">
        <f t="shared" ref="Z386:Z449" si="62">IF(W386="IC","OUI",IF(W386="HC","NON",IF(W386="HR","NON","A_CONTROLER")))</f>
        <v>A_CONTROLER</v>
      </c>
    </row>
    <row r="387" spans="2:26" x14ac:dyDescent="0.25">
      <c r="B387" t="str">
        <f t="shared" si="54"/>
        <v/>
      </c>
      <c r="C387" t="str">
        <f t="shared" si="55"/>
        <v/>
      </c>
      <c r="K387" t="str">
        <f t="shared" si="56"/>
        <v/>
      </c>
      <c r="N387" t="str">
        <f t="shared" si="57"/>
        <v/>
      </c>
      <c r="O387" t="str">
        <f t="shared" si="58"/>
        <v/>
      </c>
      <c r="Q387" t="str">
        <f t="shared" si="59"/>
        <v/>
      </c>
      <c r="V387" t="str">
        <f t="shared" si="60"/>
        <v/>
      </c>
      <c r="Y387" t="str">
        <f t="shared" si="61"/>
        <v>A_CONTROLER</v>
      </c>
      <c r="Z387" t="str">
        <f t="shared" si="62"/>
        <v>A_CONTROLER</v>
      </c>
    </row>
    <row r="388" spans="2:26" x14ac:dyDescent="0.25">
      <c r="B388" t="str">
        <f t="shared" si="54"/>
        <v/>
      </c>
      <c r="C388" t="str">
        <f t="shared" si="55"/>
        <v/>
      </c>
      <c r="K388" t="str">
        <f t="shared" si="56"/>
        <v/>
      </c>
      <c r="N388" t="str">
        <f t="shared" si="57"/>
        <v/>
      </c>
      <c r="O388" t="str">
        <f t="shared" si="58"/>
        <v/>
      </c>
      <c r="Q388" t="str">
        <f t="shared" si="59"/>
        <v/>
      </c>
      <c r="V388" t="str">
        <f t="shared" si="60"/>
        <v/>
      </c>
      <c r="Y388" t="str">
        <f t="shared" si="61"/>
        <v>A_CONTROLER</v>
      </c>
      <c r="Z388" t="str">
        <f t="shared" si="62"/>
        <v>A_CONTROLER</v>
      </c>
    </row>
    <row r="389" spans="2:26" x14ac:dyDescent="0.25">
      <c r="B389" t="str">
        <f t="shared" si="54"/>
        <v/>
      </c>
      <c r="C389" t="str">
        <f t="shared" si="55"/>
        <v/>
      </c>
      <c r="K389" t="str">
        <f t="shared" si="56"/>
        <v/>
      </c>
      <c r="N389" t="str">
        <f t="shared" si="57"/>
        <v/>
      </c>
      <c r="O389" t="str">
        <f t="shared" si="58"/>
        <v/>
      </c>
      <c r="Q389" t="str">
        <f t="shared" si="59"/>
        <v/>
      </c>
      <c r="V389" t="str">
        <f t="shared" si="60"/>
        <v/>
      </c>
      <c r="Y389" t="str">
        <f t="shared" si="61"/>
        <v>A_CONTROLER</v>
      </c>
      <c r="Z389" t="str">
        <f t="shared" si="62"/>
        <v>A_CONTROLER</v>
      </c>
    </row>
    <row r="390" spans="2:26" x14ac:dyDescent="0.25">
      <c r="B390" t="str">
        <f t="shared" si="54"/>
        <v/>
      </c>
      <c r="C390" t="str">
        <f t="shared" si="55"/>
        <v/>
      </c>
      <c r="K390" t="str">
        <f t="shared" si="56"/>
        <v/>
      </c>
      <c r="N390" t="str">
        <f t="shared" si="57"/>
        <v/>
      </c>
      <c r="O390" t="str">
        <f t="shared" si="58"/>
        <v/>
      </c>
      <c r="Q390" t="str">
        <f t="shared" si="59"/>
        <v/>
      </c>
      <c r="V390" t="str">
        <f t="shared" si="60"/>
        <v/>
      </c>
      <c r="Y390" t="str">
        <f t="shared" si="61"/>
        <v>A_CONTROLER</v>
      </c>
      <c r="Z390" t="str">
        <f t="shared" si="62"/>
        <v>A_CONTROLER</v>
      </c>
    </row>
    <row r="391" spans="2:26" x14ac:dyDescent="0.25">
      <c r="B391" t="str">
        <f t="shared" si="54"/>
        <v/>
      </c>
      <c r="C391" t="str">
        <f t="shared" si="55"/>
        <v/>
      </c>
      <c r="K391" t="str">
        <f t="shared" si="56"/>
        <v/>
      </c>
      <c r="N391" t="str">
        <f t="shared" si="57"/>
        <v/>
      </c>
      <c r="O391" t="str">
        <f t="shared" si="58"/>
        <v/>
      </c>
      <c r="Q391" t="str">
        <f t="shared" si="59"/>
        <v/>
      </c>
      <c r="V391" t="str">
        <f t="shared" si="60"/>
        <v/>
      </c>
      <c r="Y391" t="str">
        <f t="shared" si="61"/>
        <v>A_CONTROLER</v>
      </c>
      <c r="Z391" t="str">
        <f t="shared" si="62"/>
        <v>A_CONTROLER</v>
      </c>
    </row>
    <row r="392" spans="2:26" x14ac:dyDescent="0.25">
      <c r="B392" t="str">
        <f t="shared" si="54"/>
        <v/>
      </c>
      <c r="C392" t="str">
        <f t="shared" si="55"/>
        <v/>
      </c>
      <c r="K392" t="str">
        <f t="shared" si="56"/>
        <v/>
      </c>
      <c r="N392" t="str">
        <f t="shared" si="57"/>
        <v/>
      </c>
      <c r="O392" t="str">
        <f t="shared" si="58"/>
        <v/>
      </c>
      <c r="Q392" t="str">
        <f t="shared" si="59"/>
        <v/>
      </c>
      <c r="V392" t="str">
        <f t="shared" si="60"/>
        <v/>
      </c>
      <c r="Y392" t="str">
        <f t="shared" si="61"/>
        <v>A_CONTROLER</v>
      </c>
      <c r="Z392" t="str">
        <f t="shared" si="62"/>
        <v>A_CONTROLER</v>
      </c>
    </row>
    <row r="393" spans="2:26" x14ac:dyDescent="0.25">
      <c r="B393" t="str">
        <f t="shared" si="54"/>
        <v/>
      </c>
      <c r="C393" t="str">
        <f t="shared" si="55"/>
        <v/>
      </c>
      <c r="K393" t="str">
        <f t="shared" si="56"/>
        <v/>
      </c>
      <c r="N393" t="str">
        <f t="shared" si="57"/>
        <v/>
      </c>
      <c r="O393" t="str">
        <f t="shared" si="58"/>
        <v/>
      </c>
      <c r="Q393" t="str">
        <f t="shared" si="59"/>
        <v/>
      </c>
      <c r="V393" t="str">
        <f t="shared" si="60"/>
        <v/>
      </c>
      <c r="Y393" t="str">
        <f t="shared" si="61"/>
        <v>A_CONTROLER</v>
      </c>
      <c r="Z393" t="str">
        <f t="shared" si="62"/>
        <v>A_CONTROLER</v>
      </c>
    </row>
    <row r="394" spans="2:26" x14ac:dyDescent="0.25">
      <c r="B394" t="str">
        <f t="shared" si="54"/>
        <v/>
      </c>
      <c r="C394" t="str">
        <f t="shared" si="55"/>
        <v/>
      </c>
      <c r="K394" t="str">
        <f t="shared" si="56"/>
        <v/>
      </c>
      <c r="N394" t="str">
        <f t="shared" si="57"/>
        <v/>
      </c>
      <c r="O394" t="str">
        <f t="shared" si="58"/>
        <v/>
      </c>
      <c r="Q394" t="str">
        <f t="shared" si="59"/>
        <v/>
      </c>
      <c r="V394" t="str">
        <f t="shared" si="60"/>
        <v/>
      </c>
      <c r="Y394" t="str">
        <f t="shared" si="61"/>
        <v>A_CONTROLER</v>
      </c>
      <c r="Z394" t="str">
        <f t="shared" si="62"/>
        <v>A_CONTROLER</v>
      </c>
    </row>
    <row r="395" spans="2:26" x14ac:dyDescent="0.25">
      <c r="B395" t="str">
        <f t="shared" si="54"/>
        <v/>
      </c>
      <c r="C395" t="str">
        <f t="shared" si="55"/>
        <v/>
      </c>
      <c r="K395" t="str">
        <f t="shared" si="56"/>
        <v/>
      </c>
      <c r="N395" t="str">
        <f t="shared" si="57"/>
        <v/>
      </c>
      <c r="O395" t="str">
        <f t="shared" si="58"/>
        <v/>
      </c>
      <c r="Q395" t="str">
        <f t="shared" si="59"/>
        <v/>
      </c>
      <c r="V395" t="str">
        <f t="shared" si="60"/>
        <v/>
      </c>
      <c r="Y395" t="str">
        <f t="shared" si="61"/>
        <v>A_CONTROLER</v>
      </c>
      <c r="Z395" t="str">
        <f t="shared" si="62"/>
        <v>A_CONTROLER</v>
      </c>
    </row>
    <row r="396" spans="2:26" x14ac:dyDescent="0.25">
      <c r="B396" t="str">
        <f t="shared" si="54"/>
        <v/>
      </c>
      <c r="C396" t="str">
        <f t="shared" si="55"/>
        <v/>
      </c>
      <c r="K396" t="str">
        <f t="shared" si="56"/>
        <v/>
      </c>
      <c r="N396" t="str">
        <f t="shared" si="57"/>
        <v/>
      </c>
      <c r="O396" t="str">
        <f t="shared" si="58"/>
        <v/>
      </c>
      <c r="Q396" t="str">
        <f t="shared" si="59"/>
        <v/>
      </c>
      <c r="V396" t="str">
        <f t="shared" si="60"/>
        <v/>
      </c>
      <c r="Y396" t="str">
        <f t="shared" si="61"/>
        <v>A_CONTROLER</v>
      </c>
      <c r="Z396" t="str">
        <f t="shared" si="62"/>
        <v>A_CONTROLER</v>
      </c>
    </row>
    <row r="397" spans="2:26" x14ac:dyDescent="0.25">
      <c r="B397" t="str">
        <f t="shared" si="54"/>
        <v/>
      </c>
      <c r="C397" t="str">
        <f t="shared" si="55"/>
        <v/>
      </c>
      <c r="K397" t="str">
        <f t="shared" si="56"/>
        <v/>
      </c>
      <c r="N397" t="str">
        <f t="shared" si="57"/>
        <v/>
      </c>
      <c r="O397" t="str">
        <f t="shared" si="58"/>
        <v/>
      </c>
      <c r="Q397" t="str">
        <f t="shared" si="59"/>
        <v/>
      </c>
      <c r="V397" t="str">
        <f t="shared" si="60"/>
        <v/>
      </c>
      <c r="Y397" t="str">
        <f t="shared" si="61"/>
        <v>A_CONTROLER</v>
      </c>
      <c r="Z397" t="str">
        <f t="shared" si="62"/>
        <v>A_CONTROLER</v>
      </c>
    </row>
    <row r="398" spans="2:26" x14ac:dyDescent="0.25">
      <c r="B398" t="str">
        <f t="shared" si="54"/>
        <v/>
      </c>
      <c r="C398" t="str">
        <f t="shared" si="55"/>
        <v/>
      </c>
      <c r="K398" t="str">
        <f t="shared" si="56"/>
        <v/>
      </c>
      <c r="N398" t="str">
        <f t="shared" si="57"/>
        <v/>
      </c>
      <c r="O398" t="str">
        <f t="shared" si="58"/>
        <v/>
      </c>
      <c r="Q398" t="str">
        <f t="shared" si="59"/>
        <v/>
      </c>
      <c r="V398" t="str">
        <f t="shared" si="60"/>
        <v/>
      </c>
      <c r="Y398" t="str">
        <f t="shared" si="61"/>
        <v>A_CONTROLER</v>
      </c>
      <c r="Z398" t="str">
        <f t="shared" si="62"/>
        <v>A_CONTROLER</v>
      </c>
    </row>
    <row r="399" spans="2:26" x14ac:dyDescent="0.25">
      <c r="B399" t="str">
        <f t="shared" si="54"/>
        <v/>
      </c>
      <c r="C399" t="str">
        <f t="shared" si="55"/>
        <v/>
      </c>
      <c r="K399" t="str">
        <f t="shared" si="56"/>
        <v/>
      </c>
      <c r="N399" t="str">
        <f t="shared" si="57"/>
        <v/>
      </c>
      <c r="O399" t="str">
        <f t="shared" si="58"/>
        <v/>
      </c>
      <c r="Q399" t="str">
        <f t="shared" si="59"/>
        <v/>
      </c>
      <c r="V399" t="str">
        <f t="shared" si="60"/>
        <v/>
      </c>
      <c r="Y399" t="str">
        <f t="shared" si="61"/>
        <v>A_CONTROLER</v>
      </c>
      <c r="Z399" t="str">
        <f t="shared" si="62"/>
        <v>A_CONTROLER</v>
      </c>
    </row>
    <row r="400" spans="2:26" x14ac:dyDescent="0.25">
      <c r="B400" t="str">
        <f t="shared" si="54"/>
        <v/>
      </c>
      <c r="C400" t="str">
        <f t="shared" si="55"/>
        <v/>
      </c>
      <c r="K400" t="str">
        <f t="shared" si="56"/>
        <v/>
      </c>
      <c r="N400" t="str">
        <f t="shared" si="57"/>
        <v/>
      </c>
      <c r="O400" t="str">
        <f t="shared" si="58"/>
        <v/>
      </c>
      <c r="Q400" t="str">
        <f t="shared" si="59"/>
        <v/>
      </c>
      <c r="V400" t="str">
        <f t="shared" si="60"/>
        <v/>
      </c>
      <c r="Y400" t="str">
        <f t="shared" si="61"/>
        <v>A_CONTROLER</v>
      </c>
      <c r="Z400" t="str">
        <f t="shared" si="62"/>
        <v>A_CONTROLER</v>
      </c>
    </row>
    <row r="401" spans="2:26" x14ac:dyDescent="0.25">
      <c r="B401" t="str">
        <f t="shared" si="54"/>
        <v/>
      </c>
      <c r="C401" t="str">
        <f t="shared" si="55"/>
        <v/>
      </c>
      <c r="K401" t="str">
        <f t="shared" si="56"/>
        <v/>
      </c>
      <c r="N401" t="str">
        <f t="shared" si="57"/>
        <v/>
      </c>
      <c r="O401" t="str">
        <f t="shared" si="58"/>
        <v/>
      </c>
      <c r="Q401" t="str">
        <f t="shared" si="59"/>
        <v/>
      </c>
      <c r="V401" t="str">
        <f t="shared" si="60"/>
        <v/>
      </c>
      <c r="Y401" t="str">
        <f t="shared" si="61"/>
        <v>A_CONTROLER</v>
      </c>
      <c r="Z401" t="str">
        <f t="shared" si="62"/>
        <v>A_CONTROLER</v>
      </c>
    </row>
    <row r="402" spans="2:26" x14ac:dyDescent="0.25">
      <c r="B402" t="str">
        <f t="shared" si="54"/>
        <v/>
      </c>
      <c r="C402" t="str">
        <f t="shared" si="55"/>
        <v/>
      </c>
      <c r="K402" t="str">
        <f t="shared" si="56"/>
        <v/>
      </c>
      <c r="N402" t="str">
        <f t="shared" si="57"/>
        <v/>
      </c>
      <c r="O402" t="str">
        <f t="shared" si="58"/>
        <v/>
      </c>
      <c r="Q402" t="str">
        <f t="shared" si="59"/>
        <v/>
      </c>
      <c r="V402" t="str">
        <f t="shared" si="60"/>
        <v/>
      </c>
      <c r="Y402" t="str">
        <f t="shared" si="61"/>
        <v>A_CONTROLER</v>
      </c>
      <c r="Z402" t="str">
        <f t="shared" si="62"/>
        <v>A_CONTROLER</v>
      </c>
    </row>
    <row r="403" spans="2:26" x14ac:dyDescent="0.25">
      <c r="B403" t="str">
        <f t="shared" si="54"/>
        <v/>
      </c>
      <c r="C403" t="str">
        <f t="shared" si="55"/>
        <v/>
      </c>
      <c r="K403" t="str">
        <f t="shared" si="56"/>
        <v/>
      </c>
      <c r="N403" t="str">
        <f t="shared" si="57"/>
        <v/>
      </c>
      <c r="O403" t="str">
        <f t="shared" si="58"/>
        <v/>
      </c>
      <c r="Q403" t="str">
        <f t="shared" si="59"/>
        <v/>
      </c>
      <c r="V403" t="str">
        <f t="shared" si="60"/>
        <v/>
      </c>
      <c r="Y403" t="str">
        <f t="shared" si="61"/>
        <v>A_CONTROLER</v>
      </c>
      <c r="Z403" t="str">
        <f t="shared" si="62"/>
        <v>A_CONTROLER</v>
      </c>
    </row>
    <row r="404" spans="2:26" x14ac:dyDescent="0.25">
      <c r="B404" t="str">
        <f t="shared" si="54"/>
        <v/>
      </c>
      <c r="C404" t="str">
        <f t="shared" si="55"/>
        <v/>
      </c>
      <c r="K404" t="str">
        <f t="shared" si="56"/>
        <v/>
      </c>
      <c r="N404" t="str">
        <f t="shared" si="57"/>
        <v/>
      </c>
      <c r="O404" t="str">
        <f t="shared" si="58"/>
        <v/>
      </c>
      <c r="Q404" t="str">
        <f t="shared" si="59"/>
        <v/>
      </c>
      <c r="V404" t="str">
        <f t="shared" si="60"/>
        <v/>
      </c>
      <c r="Y404" t="str">
        <f t="shared" si="61"/>
        <v>A_CONTROLER</v>
      </c>
      <c r="Z404" t="str">
        <f t="shared" si="62"/>
        <v>A_CONTROLER</v>
      </c>
    </row>
    <row r="405" spans="2:26" x14ac:dyDescent="0.25">
      <c r="B405" t="str">
        <f t="shared" si="54"/>
        <v/>
      </c>
      <c r="C405" t="str">
        <f t="shared" si="55"/>
        <v/>
      </c>
      <c r="K405" t="str">
        <f t="shared" si="56"/>
        <v/>
      </c>
      <c r="N405" t="str">
        <f t="shared" si="57"/>
        <v/>
      </c>
      <c r="O405" t="str">
        <f t="shared" si="58"/>
        <v/>
      </c>
      <c r="Q405" t="str">
        <f t="shared" si="59"/>
        <v/>
      </c>
      <c r="V405" t="str">
        <f t="shared" si="60"/>
        <v/>
      </c>
      <c r="Y405" t="str">
        <f t="shared" si="61"/>
        <v>A_CONTROLER</v>
      </c>
      <c r="Z405" t="str">
        <f t="shared" si="62"/>
        <v>A_CONTROLER</v>
      </c>
    </row>
    <row r="406" spans="2:26" x14ac:dyDescent="0.25">
      <c r="B406" t="str">
        <f t="shared" si="54"/>
        <v/>
      </c>
      <c r="C406" t="str">
        <f t="shared" si="55"/>
        <v/>
      </c>
      <c r="K406" t="str">
        <f t="shared" si="56"/>
        <v/>
      </c>
      <c r="N406" t="str">
        <f t="shared" si="57"/>
        <v/>
      </c>
      <c r="O406" t="str">
        <f t="shared" si="58"/>
        <v/>
      </c>
      <c r="Q406" t="str">
        <f t="shared" si="59"/>
        <v/>
      </c>
      <c r="V406" t="str">
        <f t="shared" si="60"/>
        <v/>
      </c>
      <c r="Y406" t="str">
        <f t="shared" si="61"/>
        <v>A_CONTROLER</v>
      </c>
      <c r="Z406" t="str">
        <f t="shared" si="62"/>
        <v>A_CONTROLER</v>
      </c>
    </row>
    <row r="407" spans="2:26" x14ac:dyDescent="0.25">
      <c r="B407" t="str">
        <f t="shared" si="54"/>
        <v/>
      </c>
      <c r="C407" t="str">
        <f t="shared" si="55"/>
        <v/>
      </c>
      <c r="K407" t="str">
        <f t="shared" si="56"/>
        <v/>
      </c>
      <c r="N407" t="str">
        <f t="shared" si="57"/>
        <v/>
      </c>
      <c r="O407" t="str">
        <f t="shared" si="58"/>
        <v/>
      </c>
      <c r="Q407" t="str">
        <f t="shared" si="59"/>
        <v/>
      </c>
      <c r="V407" t="str">
        <f t="shared" si="60"/>
        <v/>
      </c>
      <c r="Y407" t="str">
        <f t="shared" si="61"/>
        <v>A_CONTROLER</v>
      </c>
      <c r="Z407" t="str">
        <f t="shared" si="62"/>
        <v>A_CONTROLER</v>
      </c>
    </row>
    <row r="408" spans="2:26" x14ac:dyDescent="0.25">
      <c r="B408" t="str">
        <f t="shared" si="54"/>
        <v/>
      </c>
      <c r="C408" t="str">
        <f t="shared" si="55"/>
        <v/>
      </c>
      <c r="K408" t="str">
        <f t="shared" si="56"/>
        <v/>
      </c>
      <c r="N408" t="str">
        <f t="shared" si="57"/>
        <v/>
      </c>
      <c r="O408" t="str">
        <f t="shared" si="58"/>
        <v/>
      </c>
      <c r="Q408" t="str">
        <f t="shared" si="59"/>
        <v/>
      </c>
      <c r="V408" t="str">
        <f t="shared" si="60"/>
        <v/>
      </c>
      <c r="Y408" t="str">
        <f t="shared" si="61"/>
        <v>A_CONTROLER</v>
      </c>
      <c r="Z408" t="str">
        <f t="shared" si="62"/>
        <v>A_CONTROLER</v>
      </c>
    </row>
    <row r="409" spans="2:26" x14ac:dyDescent="0.25">
      <c r="B409" t="str">
        <f t="shared" si="54"/>
        <v/>
      </c>
      <c r="C409" t="str">
        <f t="shared" si="55"/>
        <v/>
      </c>
      <c r="K409" t="str">
        <f t="shared" si="56"/>
        <v/>
      </c>
      <c r="N409" t="str">
        <f t="shared" si="57"/>
        <v/>
      </c>
      <c r="O409" t="str">
        <f t="shared" si="58"/>
        <v/>
      </c>
      <c r="Q409" t="str">
        <f t="shared" si="59"/>
        <v/>
      </c>
      <c r="V409" t="str">
        <f t="shared" si="60"/>
        <v/>
      </c>
      <c r="Y409" t="str">
        <f t="shared" si="61"/>
        <v>A_CONTROLER</v>
      </c>
      <c r="Z409" t="str">
        <f t="shared" si="62"/>
        <v>A_CONTROLER</v>
      </c>
    </row>
    <row r="410" spans="2:26" x14ac:dyDescent="0.25">
      <c r="B410" t="str">
        <f t="shared" si="54"/>
        <v/>
      </c>
      <c r="C410" t="str">
        <f t="shared" si="55"/>
        <v/>
      </c>
      <c r="K410" t="str">
        <f t="shared" si="56"/>
        <v/>
      </c>
      <c r="N410" t="str">
        <f t="shared" si="57"/>
        <v/>
      </c>
      <c r="O410" t="str">
        <f t="shared" si="58"/>
        <v/>
      </c>
      <c r="Q410" t="str">
        <f t="shared" si="59"/>
        <v/>
      </c>
      <c r="V410" t="str">
        <f t="shared" si="60"/>
        <v/>
      </c>
      <c r="Y410" t="str">
        <f t="shared" si="61"/>
        <v>A_CONTROLER</v>
      </c>
      <c r="Z410" t="str">
        <f t="shared" si="62"/>
        <v>A_CONTROLER</v>
      </c>
    </row>
    <row r="411" spans="2:26" x14ac:dyDescent="0.25">
      <c r="B411" t="str">
        <f t="shared" si="54"/>
        <v/>
      </c>
      <c r="C411" t="str">
        <f t="shared" si="55"/>
        <v/>
      </c>
      <c r="K411" t="str">
        <f t="shared" si="56"/>
        <v/>
      </c>
      <c r="N411" t="str">
        <f t="shared" si="57"/>
        <v/>
      </c>
      <c r="O411" t="str">
        <f t="shared" si="58"/>
        <v/>
      </c>
      <c r="Q411" t="str">
        <f t="shared" si="59"/>
        <v/>
      </c>
      <c r="V411" t="str">
        <f t="shared" si="60"/>
        <v/>
      </c>
      <c r="Y411" t="str">
        <f t="shared" si="61"/>
        <v>A_CONTROLER</v>
      </c>
      <c r="Z411" t="str">
        <f t="shared" si="62"/>
        <v>A_CONTROLER</v>
      </c>
    </row>
    <row r="412" spans="2:26" x14ac:dyDescent="0.25">
      <c r="B412" t="str">
        <f t="shared" si="54"/>
        <v/>
      </c>
      <c r="C412" t="str">
        <f t="shared" si="55"/>
        <v/>
      </c>
      <c r="K412" t="str">
        <f t="shared" si="56"/>
        <v/>
      </c>
      <c r="N412" t="str">
        <f t="shared" si="57"/>
        <v/>
      </c>
      <c r="O412" t="str">
        <f t="shared" si="58"/>
        <v/>
      </c>
      <c r="Q412" t="str">
        <f t="shared" si="59"/>
        <v/>
      </c>
      <c r="V412" t="str">
        <f t="shared" si="60"/>
        <v/>
      </c>
      <c r="Y412" t="str">
        <f t="shared" si="61"/>
        <v>A_CONTROLER</v>
      </c>
      <c r="Z412" t="str">
        <f t="shared" si="62"/>
        <v>A_CONTROLER</v>
      </c>
    </row>
    <row r="413" spans="2:26" x14ac:dyDescent="0.25">
      <c r="B413" t="str">
        <f t="shared" si="54"/>
        <v/>
      </c>
      <c r="C413" t="str">
        <f t="shared" si="55"/>
        <v/>
      </c>
      <c r="K413" t="str">
        <f t="shared" si="56"/>
        <v/>
      </c>
      <c r="N413" t="str">
        <f t="shared" si="57"/>
        <v/>
      </c>
      <c r="O413" t="str">
        <f t="shared" si="58"/>
        <v/>
      </c>
      <c r="Q413" t="str">
        <f t="shared" si="59"/>
        <v/>
      </c>
      <c r="V413" t="str">
        <f t="shared" si="60"/>
        <v/>
      </c>
      <c r="Y413" t="str">
        <f t="shared" si="61"/>
        <v>A_CONTROLER</v>
      </c>
      <c r="Z413" t="str">
        <f t="shared" si="62"/>
        <v>A_CONTROLER</v>
      </c>
    </row>
    <row r="414" spans="2:26" x14ac:dyDescent="0.25">
      <c r="B414" t="str">
        <f t="shared" si="54"/>
        <v/>
      </c>
      <c r="C414" t="str">
        <f t="shared" si="55"/>
        <v/>
      </c>
      <c r="K414" t="str">
        <f t="shared" si="56"/>
        <v/>
      </c>
      <c r="N414" t="str">
        <f t="shared" si="57"/>
        <v/>
      </c>
      <c r="O414" t="str">
        <f t="shared" si="58"/>
        <v/>
      </c>
      <c r="Q414" t="str">
        <f t="shared" si="59"/>
        <v/>
      </c>
      <c r="V414" t="str">
        <f t="shared" si="60"/>
        <v/>
      </c>
      <c r="Y414" t="str">
        <f t="shared" si="61"/>
        <v>A_CONTROLER</v>
      </c>
      <c r="Z414" t="str">
        <f t="shared" si="62"/>
        <v>A_CONTROLER</v>
      </c>
    </row>
    <row r="415" spans="2:26" x14ac:dyDescent="0.25">
      <c r="B415" t="str">
        <f t="shared" si="54"/>
        <v/>
      </c>
      <c r="C415" t="str">
        <f t="shared" si="55"/>
        <v/>
      </c>
      <c r="K415" t="str">
        <f t="shared" si="56"/>
        <v/>
      </c>
      <c r="N415" t="str">
        <f t="shared" si="57"/>
        <v/>
      </c>
      <c r="O415" t="str">
        <f t="shared" si="58"/>
        <v/>
      </c>
      <c r="Q415" t="str">
        <f t="shared" si="59"/>
        <v/>
      </c>
      <c r="V415" t="str">
        <f t="shared" si="60"/>
        <v/>
      </c>
      <c r="Y415" t="str">
        <f t="shared" si="61"/>
        <v>A_CONTROLER</v>
      </c>
      <c r="Z415" t="str">
        <f t="shared" si="62"/>
        <v>A_CONTROLER</v>
      </c>
    </row>
    <row r="416" spans="2:26" x14ac:dyDescent="0.25">
      <c r="B416" t="str">
        <f t="shared" si="54"/>
        <v/>
      </c>
      <c r="C416" t="str">
        <f t="shared" si="55"/>
        <v/>
      </c>
      <c r="K416" t="str">
        <f t="shared" si="56"/>
        <v/>
      </c>
      <c r="N416" t="str">
        <f t="shared" si="57"/>
        <v/>
      </c>
      <c r="O416" t="str">
        <f t="shared" si="58"/>
        <v/>
      </c>
      <c r="Q416" t="str">
        <f t="shared" si="59"/>
        <v/>
      </c>
      <c r="V416" t="str">
        <f t="shared" si="60"/>
        <v/>
      </c>
      <c r="Y416" t="str">
        <f t="shared" si="61"/>
        <v>A_CONTROLER</v>
      </c>
      <c r="Z416" t="str">
        <f t="shared" si="62"/>
        <v>A_CONTROLER</v>
      </c>
    </row>
    <row r="417" spans="2:26" x14ac:dyDescent="0.25">
      <c r="B417" t="str">
        <f t="shared" si="54"/>
        <v/>
      </c>
      <c r="C417" t="str">
        <f t="shared" si="55"/>
        <v/>
      </c>
      <c r="K417" t="str">
        <f t="shared" si="56"/>
        <v/>
      </c>
      <c r="N417" t="str">
        <f t="shared" si="57"/>
        <v/>
      </c>
      <c r="O417" t="str">
        <f t="shared" si="58"/>
        <v/>
      </c>
      <c r="Q417" t="str">
        <f t="shared" si="59"/>
        <v/>
      </c>
      <c r="V417" t="str">
        <f t="shared" si="60"/>
        <v/>
      </c>
      <c r="Y417" t="str">
        <f t="shared" si="61"/>
        <v>A_CONTROLER</v>
      </c>
      <c r="Z417" t="str">
        <f t="shared" si="62"/>
        <v>A_CONTROLER</v>
      </c>
    </row>
    <row r="418" spans="2:26" x14ac:dyDescent="0.25">
      <c r="B418" t="str">
        <f t="shared" si="54"/>
        <v/>
      </c>
      <c r="C418" t="str">
        <f t="shared" si="55"/>
        <v/>
      </c>
      <c r="K418" t="str">
        <f t="shared" si="56"/>
        <v/>
      </c>
      <c r="N418" t="str">
        <f t="shared" si="57"/>
        <v/>
      </c>
      <c r="O418" t="str">
        <f t="shared" si="58"/>
        <v/>
      </c>
      <c r="Q418" t="str">
        <f t="shared" si="59"/>
        <v/>
      </c>
      <c r="V418" t="str">
        <f t="shared" si="60"/>
        <v/>
      </c>
      <c r="Y418" t="str">
        <f t="shared" si="61"/>
        <v>A_CONTROLER</v>
      </c>
      <c r="Z418" t="str">
        <f t="shared" si="62"/>
        <v>A_CONTROLER</v>
      </c>
    </row>
    <row r="419" spans="2:26" x14ac:dyDescent="0.25">
      <c r="B419" t="str">
        <f t="shared" si="54"/>
        <v/>
      </c>
      <c r="C419" t="str">
        <f t="shared" si="55"/>
        <v/>
      </c>
      <c r="K419" t="str">
        <f t="shared" si="56"/>
        <v/>
      </c>
      <c r="N419" t="str">
        <f t="shared" si="57"/>
        <v/>
      </c>
      <c r="O419" t="str">
        <f t="shared" si="58"/>
        <v/>
      </c>
      <c r="Q419" t="str">
        <f t="shared" si="59"/>
        <v/>
      </c>
      <c r="V419" t="str">
        <f t="shared" si="60"/>
        <v/>
      </c>
      <c r="Y419" t="str">
        <f t="shared" si="61"/>
        <v>A_CONTROLER</v>
      </c>
      <c r="Z419" t="str">
        <f t="shared" si="62"/>
        <v>A_CONTROLER</v>
      </c>
    </row>
    <row r="420" spans="2:26" x14ac:dyDescent="0.25">
      <c r="B420" t="str">
        <f t="shared" si="54"/>
        <v/>
      </c>
      <c r="C420" t="str">
        <f t="shared" si="55"/>
        <v/>
      </c>
      <c r="K420" t="str">
        <f t="shared" si="56"/>
        <v/>
      </c>
      <c r="N420" t="str">
        <f t="shared" si="57"/>
        <v/>
      </c>
      <c r="O420" t="str">
        <f t="shared" si="58"/>
        <v/>
      </c>
      <c r="Q420" t="str">
        <f t="shared" si="59"/>
        <v/>
      </c>
      <c r="V420" t="str">
        <f t="shared" si="60"/>
        <v/>
      </c>
      <c r="Y420" t="str">
        <f t="shared" si="61"/>
        <v>A_CONTROLER</v>
      </c>
      <c r="Z420" t="str">
        <f t="shared" si="62"/>
        <v>A_CONTROLER</v>
      </c>
    </row>
    <row r="421" spans="2:26" x14ac:dyDescent="0.25">
      <c r="B421" t="str">
        <f t="shared" si="54"/>
        <v/>
      </c>
      <c r="C421" t="str">
        <f t="shared" si="55"/>
        <v/>
      </c>
      <c r="K421" t="str">
        <f t="shared" si="56"/>
        <v/>
      </c>
      <c r="N421" t="str">
        <f t="shared" si="57"/>
        <v/>
      </c>
      <c r="O421" t="str">
        <f t="shared" si="58"/>
        <v/>
      </c>
      <c r="Q421" t="str">
        <f t="shared" si="59"/>
        <v/>
      </c>
      <c r="V421" t="str">
        <f t="shared" si="60"/>
        <v/>
      </c>
      <c r="Y421" t="str">
        <f t="shared" si="61"/>
        <v>A_CONTROLER</v>
      </c>
      <c r="Z421" t="str">
        <f t="shared" si="62"/>
        <v>A_CONTROLER</v>
      </c>
    </row>
    <row r="422" spans="2:26" x14ac:dyDescent="0.25">
      <c r="B422" t="str">
        <f t="shared" si="54"/>
        <v/>
      </c>
      <c r="C422" t="str">
        <f t="shared" si="55"/>
        <v/>
      </c>
      <c r="K422" t="str">
        <f t="shared" si="56"/>
        <v/>
      </c>
      <c r="N422" t="str">
        <f t="shared" si="57"/>
        <v/>
      </c>
      <c r="O422" t="str">
        <f t="shared" si="58"/>
        <v/>
      </c>
      <c r="Q422" t="str">
        <f t="shared" si="59"/>
        <v/>
      </c>
      <c r="V422" t="str">
        <f t="shared" si="60"/>
        <v/>
      </c>
      <c r="Y422" t="str">
        <f t="shared" si="61"/>
        <v>A_CONTROLER</v>
      </c>
      <c r="Z422" t="str">
        <f t="shared" si="62"/>
        <v>A_CONTROLER</v>
      </c>
    </row>
    <row r="423" spans="2:26" x14ac:dyDescent="0.25">
      <c r="B423" t="str">
        <f t="shared" si="54"/>
        <v/>
      </c>
      <c r="C423" t="str">
        <f t="shared" si="55"/>
        <v/>
      </c>
      <c r="K423" t="str">
        <f t="shared" si="56"/>
        <v/>
      </c>
      <c r="N423" t="str">
        <f t="shared" si="57"/>
        <v/>
      </c>
      <c r="O423" t="str">
        <f t="shared" si="58"/>
        <v/>
      </c>
      <c r="Q423" t="str">
        <f t="shared" si="59"/>
        <v/>
      </c>
      <c r="V423" t="str">
        <f t="shared" si="60"/>
        <v/>
      </c>
      <c r="Y423" t="str">
        <f t="shared" si="61"/>
        <v>A_CONTROLER</v>
      </c>
      <c r="Z423" t="str">
        <f t="shared" si="62"/>
        <v>A_CONTROLER</v>
      </c>
    </row>
    <row r="424" spans="2:26" x14ac:dyDescent="0.25">
      <c r="B424" t="str">
        <f t="shared" si="54"/>
        <v/>
      </c>
      <c r="C424" t="str">
        <f t="shared" si="55"/>
        <v/>
      </c>
      <c r="K424" t="str">
        <f t="shared" si="56"/>
        <v/>
      </c>
      <c r="N424" t="str">
        <f t="shared" si="57"/>
        <v/>
      </c>
      <c r="O424" t="str">
        <f t="shared" si="58"/>
        <v/>
      </c>
      <c r="Q424" t="str">
        <f t="shared" si="59"/>
        <v/>
      </c>
      <c r="V424" t="str">
        <f t="shared" si="60"/>
        <v/>
      </c>
      <c r="Y424" t="str">
        <f t="shared" si="61"/>
        <v>A_CONTROLER</v>
      </c>
      <c r="Z424" t="str">
        <f t="shared" si="62"/>
        <v>A_CONTROLER</v>
      </c>
    </row>
    <row r="425" spans="2:26" x14ac:dyDescent="0.25">
      <c r="B425" t="str">
        <f t="shared" si="54"/>
        <v/>
      </c>
      <c r="C425" t="str">
        <f t="shared" si="55"/>
        <v/>
      </c>
      <c r="K425" t="str">
        <f t="shared" si="56"/>
        <v/>
      </c>
      <c r="N425" t="str">
        <f t="shared" si="57"/>
        <v/>
      </c>
      <c r="O425" t="str">
        <f t="shared" si="58"/>
        <v/>
      </c>
      <c r="Q425" t="str">
        <f t="shared" si="59"/>
        <v/>
      </c>
      <c r="V425" t="str">
        <f t="shared" si="60"/>
        <v/>
      </c>
      <c r="Y425" t="str">
        <f t="shared" si="61"/>
        <v>A_CONTROLER</v>
      </c>
      <c r="Z425" t="str">
        <f t="shared" si="62"/>
        <v>A_CONTROLER</v>
      </c>
    </row>
    <row r="426" spans="2:26" x14ac:dyDescent="0.25">
      <c r="B426" t="str">
        <f t="shared" si="54"/>
        <v/>
      </c>
      <c r="C426" t="str">
        <f t="shared" si="55"/>
        <v/>
      </c>
      <c r="K426" t="str">
        <f t="shared" si="56"/>
        <v/>
      </c>
      <c r="N426" t="str">
        <f t="shared" si="57"/>
        <v/>
      </c>
      <c r="O426" t="str">
        <f t="shared" si="58"/>
        <v/>
      </c>
      <c r="Q426" t="str">
        <f t="shared" si="59"/>
        <v/>
      </c>
      <c r="V426" t="str">
        <f t="shared" si="60"/>
        <v/>
      </c>
      <c r="Y426" t="str">
        <f t="shared" si="61"/>
        <v>A_CONTROLER</v>
      </c>
      <c r="Z426" t="str">
        <f t="shared" si="62"/>
        <v>A_CONTROLER</v>
      </c>
    </row>
    <row r="427" spans="2:26" x14ac:dyDescent="0.25">
      <c r="B427" t="str">
        <f t="shared" si="54"/>
        <v/>
      </c>
      <c r="C427" t="str">
        <f t="shared" si="55"/>
        <v/>
      </c>
      <c r="K427" t="str">
        <f t="shared" si="56"/>
        <v/>
      </c>
      <c r="N427" t="str">
        <f t="shared" si="57"/>
        <v/>
      </c>
      <c r="O427" t="str">
        <f t="shared" si="58"/>
        <v/>
      </c>
      <c r="Q427" t="str">
        <f t="shared" si="59"/>
        <v/>
      </c>
      <c r="V427" t="str">
        <f t="shared" si="60"/>
        <v/>
      </c>
      <c r="Y427" t="str">
        <f t="shared" si="61"/>
        <v>A_CONTROLER</v>
      </c>
      <c r="Z427" t="str">
        <f t="shared" si="62"/>
        <v>A_CONTROLER</v>
      </c>
    </row>
    <row r="428" spans="2:26" x14ac:dyDescent="0.25">
      <c r="B428" t="str">
        <f t="shared" si="54"/>
        <v/>
      </c>
      <c r="C428" t="str">
        <f t="shared" si="55"/>
        <v/>
      </c>
      <c r="K428" t="str">
        <f t="shared" si="56"/>
        <v/>
      </c>
      <c r="N428" t="str">
        <f t="shared" si="57"/>
        <v/>
      </c>
      <c r="O428" t="str">
        <f t="shared" si="58"/>
        <v/>
      </c>
      <c r="Q428" t="str">
        <f t="shared" si="59"/>
        <v/>
      </c>
      <c r="V428" t="str">
        <f t="shared" si="60"/>
        <v/>
      </c>
      <c r="Y428" t="str">
        <f t="shared" si="61"/>
        <v>A_CONTROLER</v>
      </c>
      <c r="Z428" t="str">
        <f t="shared" si="62"/>
        <v>A_CONTROLER</v>
      </c>
    </row>
    <row r="429" spans="2:26" x14ac:dyDescent="0.25">
      <c r="B429" t="str">
        <f t="shared" si="54"/>
        <v/>
      </c>
      <c r="C429" t="str">
        <f t="shared" si="55"/>
        <v/>
      </c>
      <c r="K429" t="str">
        <f t="shared" si="56"/>
        <v/>
      </c>
      <c r="N429" t="str">
        <f t="shared" si="57"/>
        <v/>
      </c>
      <c r="O429" t="str">
        <f t="shared" si="58"/>
        <v/>
      </c>
      <c r="Q429" t="str">
        <f t="shared" si="59"/>
        <v/>
      </c>
      <c r="V429" t="str">
        <f t="shared" si="60"/>
        <v/>
      </c>
      <c r="Y429" t="str">
        <f t="shared" si="61"/>
        <v>A_CONTROLER</v>
      </c>
      <c r="Z429" t="str">
        <f t="shared" si="62"/>
        <v>A_CONTROLER</v>
      </c>
    </row>
    <row r="430" spans="2:26" x14ac:dyDescent="0.25">
      <c r="B430" t="str">
        <f t="shared" si="54"/>
        <v/>
      </c>
      <c r="C430" t="str">
        <f t="shared" si="55"/>
        <v/>
      </c>
      <c r="K430" t="str">
        <f t="shared" si="56"/>
        <v/>
      </c>
      <c r="N430" t="str">
        <f t="shared" si="57"/>
        <v/>
      </c>
      <c r="O430" t="str">
        <f t="shared" si="58"/>
        <v/>
      </c>
      <c r="Q430" t="str">
        <f t="shared" si="59"/>
        <v/>
      </c>
      <c r="V430" t="str">
        <f t="shared" si="60"/>
        <v/>
      </c>
      <c r="Y430" t="str">
        <f t="shared" si="61"/>
        <v>A_CONTROLER</v>
      </c>
      <c r="Z430" t="str">
        <f t="shared" si="62"/>
        <v>A_CONTROLER</v>
      </c>
    </row>
    <row r="431" spans="2:26" x14ac:dyDescent="0.25">
      <c r="B431" t="str">
        <f t="shared" si="54"/>
        <v/>
      </c>
      <c r="C431" t="str">
        <f t="shared" si="55"/>
        <v/>
      </c>
      <c r="K431" t="str">
        <f t="shared" si="56"/>
        <v/>
      </c>
      <c r="N431" t="str">
        <f t="shared" si="57"/>
        <v/>
      </c>
      <c r="O431" t="str">
        <f t="shared" si="58"/>
        <v/>
      </c>
      <c r="Q431" t="str">
        <f t="shared" si="59"/>
        <v/>
      </c>
      <c r="V431" t="str">
        <f t="shared" si="60"/>
        <v/>
      </c>
      <c r="Y431" t="str">
        <f t="shared" si="61"/>
        <v>A_CONTROLER</v>
      </c>
      <c r="Z431" t="str">
        <f t="shared" si="62"/>
        <v>A_CONTROLER</v>
      </c>
    </row>
    <row r="432" spans="2:26" x14ac:dyDescent="0.25">
      <c r="B432" t="str">
        <f t="shared" si="54"/>
        <v/>
      </c>
      <c r="C432" t="str">
        <f t="shared" si="55"/>
        <v/>
      </c>
      <c r="K432" t="str">
        <f t="shared" si="56"/>
        <v/>
      </c>
      <c r="N432" t="str">
        <f t="shared" si="57"/>
        <v/>
      </c>
      <c r="O432" t="str">
        <f t="shared" si="58"/>
        <v/>
      </c>
      <c r="Q432" t="str">
        <f t="shared" si="59"/>
        <v/>
      </c>
      <c r="V432" t="str">
        <f t="shared" si="60"/>
        <v/>
      </c>
      <c r="Y432" t="str">
        <f t="shared" si="61"/>
        <v>A_CONTROLER</v>
      </c>
      <c r="Z432" t="str">
        <f t="shared" si="62"/>
        <v>A_CONTROLER</v>
      </c>
    </row>
    <row r="433" spans="2:26" x14ac:dyDescent="0.25">
      <c r="B433" t="str">
        <f t="shared" si="54"/>
        <v/>
      </c>
      <c r="C433" t="str">
        <f t="shared" si="55"/>
        <v/>
      </c>
      <c r="K433" t="str">
        <f t="shared" si="56"/>
        <v/>
      </c>
      <c r="N433" t="str">
        <f t="shared" si="57"/>
        <v/>
      </c>
      <c r="O433" t="str">
        <f t="shared" si="58"/>
        <v/>
      </c>
      <c r="Q433" t="str">
        <f t="shared" si="59"/>
        <v/>
      </c>
      <c r="V433" t="str">
        <f t="shared" si="60"/>
        <v/>
      </c>
      <c r="Y433" t="str">
        <f t="shared" si="61"/>
        <v>A_CONTROLER</v>
      </c>
      <c r="Z433" t="str">
        <f t="shared" si="62"/>
        <v>A_CONTROLER</v>
      </c>
    </row>
    <row r="434" spans="2:26" x14ac:dyDescent="0.25">
      <c r="B434" t="str">
        <f t="shared" si="54"/>
        <v/>
      </c>
      <c r="C434" t="str">
        <f t="shared" si="55"/>
        <v/>
      </c>
      <c r="K434" t="str">
        <f t="shared" si="56"/>
        <v/>
      </c>
      <c r="N434" t="str">
        <f t="shared" si="57"/>
        <v/>
      </c>
      <c r="O434" t="str">
        <f t="shared" si="58"/>
        <v/>
      </c>
      <c r="Q434" t="str">
        <f t="shared" si="59"/>
        <v/>
      </c>
      <c r="V434" t="str">
        <f t="shared" si="60"/>
        <v/>
      </c>
      <c r="Y434" t="str">
        <f t="shared" si="61"/>
        <v>A_CONTROLER</v>
      </c>
      <c r="Z434" t="str">
        <f t="shared" si="62"/>
        <v>A_CONTROLER</v>
      </c>
    </row>
    <row r="435" spans="2:26" x14ac:dyDescent="0.25">
      <c r="B435" t="str">
        <f t="shared" si="54"/>
        <v/>
      </c>
      <c r="C435" t="str">
        <f t="shared" si="55"/>
        <v/>
      </c>
      <c r="K435" t="str">
        <f t="shared" si="56"/>
        <v/>
      </c>
      <c r="N435" t="str">
        <f t="shared" si="57"/>
        <v/>
      </c>
      <c r="O435" t="str">
        <f t="shared" si="58"/>
        <v/>
      </c>
      <c r="Q435" t="str">
        <f t="shared" si="59"/>
        <v/>
      </c>
      <c r="V435" t="str">
        <f t="shared" si="60"/>
        <v/>
      </c>
      <c r="Y435" t="str">
        <f t="shared" si="61"/>
        <v>A_CONTROLER</v>
      </c>
      <c r="Z435" t="str">
        <f t="shared" si="62"/>
        <v>A_CONTROLER</v>
      </c>
    </row>
    <row r="436" spans="2:26" x14ac:dyDescent="0.25">
      <c r="B436" t="str">
        <f t="shared" si="54"/>
        <v/>
      </c>
      <c r="C436" t="str">
        <f t="shared" si="55"/>
        <v/>
      </c>
      <c r="K436" t="str">
        <f t="shared" si="56"/>
        <v/>
      </c>
      <c r="N436" t="str">
        <f t="shared" si="57"/>
        <v/>
      </c>
      <c r="O436" t="str">
        <f t="shared" si="58"/>
        <v/>
      </c>
      <c r="Q436" t="str">
        <f t="shared" si="59"/>
        <v/>
      </c>
      <c r="V436" t="str">
        <f t="shared" si="60"/>
        <v/>
      </c>
      <c r="Y436" t="str">
        <f t="shared" si="61"/>
        <v>A_CONTROLER</v>
      </c>
      <c r="Z436" t="str">
        <f t="shared" si="62"/>
        <v>A_CONTROLER</v>
      </c>
    </row>
    <row r="437" spans="2:26" x14ac:dyDescent="0.25">
      <c r="B437" t="str">
        <f t="shared" si="54"/>
        <v/>
      </c>
      <c r="C437" t="str">
        <f t="shared" si="55"/>
        <v/>
      </c>
      <c r="K437" t="str">
        <f t="shared" si="56"/>
        <v/>
      </c>
      <c r="N437" t="str">
        <f t="shared" si="57"/>
        <v/>
      </c>
      <c r="O437" t="str">
        <f t="shared" si="58"/>
        <v/>
      </c>
      <c r="Q437" t="str">
        <f t="shared" si="59"/>
        <v/>
      </c>
      <c r="V437" t="str">
        <f t="shared" si="60"/>
        <v/>
      </c>
      <c r="Y437" t="str">
        <f t="shared" si="61"/>
        <v>A_CONTROLER</v>
      </c>
      <c r="Z437" t="str">
        <f t="shared" si="62"/>
        <v>A_CONTROLER</v>
      </c>
    </row>
    <row r="438" spans="2:26" x14ac:dyDescent="0.25">
      <c r="B438" t="str">
        <f t="shared" si="54"/>
        <v/>
      </c>
      <c r="C438" t="str">
        <f t="shared" si="55"/>
        <v/>
      </c>
      <c r="K438" t="str">
        <f t="shared" si="56"/>
        <v/>
      </c>
      <c r="N438" t="str">
        <f t="shared" si="57"/>
        <v/>
      </c>
      <c r="O438" t="str">
        <f t="shared" si="58"/>
        <v/>
      </c>
      <c r="Q438" t="str">
        <f t="shared" si="59"/>
        <v/>
      </c>
      <c r="V438" t="str">
        <f t="shared" si="60"/>
        <v/>
      </c>
      <c r="Y438" t="str">
        <f t="shared" si="61"/>
        <v>A_CONTROLER</v>
      </c>
      <c r="Z438" t="str">
        <f t="shared" si="62"/>
        <v>A_CONTROLER</v>
      </c>
    </row>
    <row r="439" spans="2:26" x14ac:dyDescent="0.25">
      <c r="B439" t="str">
        <f t="shared" si="54"/>
        <v/>
      </c>
      <c r="C439" t="str">
        <f t="shared" si="55"/>
        <v/>
      </c>
      <c r="K439" t="str">
        <f t="shared" si="56"/>
        <v/>
      </c>
      <c r="N439" t="str">
        <f t="shared" si="57"/>
        <v/>
      </c>
      <c r="O439" t="str">
        <f t="shared" si="58"/>
        <v/>
      </c>
      <c r="Q439" t="str">
        <f t="shared" si="59"/>
        <v/>
      </c>
      <c r="V439" t="str">
        <f t="shared" si="60"/>
        <v/>
      </c>
      <c r="Y439" t="str">
        <f t="shared" si="61"/>
        <v>A_CONTROLER</v>
      </c>
      <c r="Z439" t="str">
        <f t="shared" si="62"/>
        <v>A_CONTROLER</v>
      </c>
    </row>
    <row r="440" spans="2:26" x14ac:dyDescent="0.25">
      <c r="B440" t="str">
        <f t="shared" si="54"/>
        <v/>
      </c>
      <c r="C440" t="str">
        <f t="shared" si="55"/>
        <v/>
      </c>
      <c r="K440" t="str">
        <f t="shared" si="56"/>
        <v/>
      </c>
      <c r="N440" t="str">
        <f t="shared" si="57"/>
        <v/>
      </c>
      <c r="O440" t="str">
        <f t="shared" si="58"/>
        <v/>
      </c>
      <c r="Q440" t="str">
        <f t="shared" si="59"/>
        <v/>
      </c>
      <c r="V440" t="str">
        <f t="shared" si="60"/>
        <v/>
      </c>
      <c r="Y440" t="str">
        <f t="shared" si="61"/>
        <v>A_CONTROLER</v>
      </c>
      <c r="Z440" t="str">
        <f t="shared" si="62"/>
        <v>A_CONTROLER</v>
      </c>
    </row>
    <row r="441" spans="2:26" x14ac:dyDescent="0.25">
      <c r="B441" t="str">
        <f t="shared" si="54"/>
        <v/>
      </c>
      <c r="C441" t="str">
        <f t="shared" si="55"/>
        <v/>
      </c>
      <c r="K441" t="str">
        <f t="shared" si="56"/>
        <v/>
      </c>
      <c r="N441" t="str">
        <f t="shared" si="57"/>
        <v/>
      </c>
      <c r="O441" t="str">
        <f t="shared" si="58"/>
        <v/>
      </c>
      <c r="Q441" t="str">
        <f t="shared" si="59"/>
        <v/>
      </c>
      <c r="V441" t="str">
        <f t="shared" si="60"/>
        <v/>
      </c>
      <c r="Y441" t="str">
        <f t="shared" si="61"/>
        <v>A_CONTROLER</v>
      </c>
      <c r="Z441" t="str">
        <f t="shared" si="62"/>
        <v>A_CONTROLER</v>
      </c>
    </row>
    <row r="442" spans="2:26" x14ac:dyDescent="0.25">
      <c r="B442" t="str">
        <f t="shared" si="54"/>
        <v/>
      </c>
      <c r="C442" t="str">
        <f t="shared" si="55"/>
        <v/>
      </c>
      <c r="K442" t="str">
        <f t="shared" si="56"/>
        <v/>
      </c>
      <c r="N442" t="str">
        <f t="shared" si="57"/>
        <v/>
      </c>
      <c r="O442" t="str">
        <f t="shared" si="58"/>
        <v/>
      </c>
      <c r="Q442" t="str">
        <f t="shared" si="59"/>
        <v/>
      </c>
      <c r="V442" t="str">
        <f t="shared" si="60"/>
        <v/>
      </c>
      <c r="Y442" t="str">
        <f t="shared" si="61"/>
        <v>A_CONTROLER</v>
      </c>
      <c r="Z442" t="str">
        <f t="shared" si="62"/>
        <v>A_CONTROLER</v>
      </c>
    </row>
    <row r="443" spans="2:26" x14ac:dyDescent="0.25">
      <c r="B443" t="str">
        <f t="shared" si="54"/>
        <v/>
      </c>
      <c r="C443" t="str">
        <f t="shared" si="55"/>
        <v/>
      </c>
      <c r="K443" t="str">
        <f t="shared" si="56"/>
        <v/>
      </c>
      <c r="N443" t="str">
        <f t="shared" si="57"/>
        <v/>
      </c>
      <c r="O443" t="str">
        <f t="shared" si="58"/>
        <v/>
      </c>
      <c r="Q443" t="str">
        <f t="shared" si="59"/>
        <v/>
      </c>
      <c r="V443" t="str">
        <f t="shared" si="60"/>
        <v/>
      </c>
      <c r="Y443" t="str">
        <f t="shared" si="61"/>
        <v>A_CONTROLER</v>
      </c>
      <c r="Z443" t="str">
        <f t="shared" si="62"/>
        <v>A_CONTROLER</v>
      </c>
    </row>
    <row r="444" spans="2:26" x14ac:dyDescent="0.25">
      <c r="B444" t="str">
        <f t="shared" si="54"/>
        <v/>
      </c>
      <c r="C444" t="str">
        <f t="shared" si="55"/>
        <v/>
      </c>
      <c r="K444" t="str">
        <f t="shared" si="56"/>
        <v/>
      </c>
      <c r="N444" t="str">
        <f t="shared" si="57"/>
        <v/>
      </c>
      <c r="O444" t="str">
        <f t="shared" si="58"/>
        <v/>
      </c>
      <c r="Q444" t="str">
        <f t="shared" si="59"/>
        <v/>
      </c>
      <c r="V444" t="str">
        <f t="shared" si="60"/>
        <v/>
      </c>
      <c r="Y444" t="str">
        <f t="shared" si="61"/>
        <v>A_CONTROLER</v>
      </c>
      <c r="Z444" t="str">
        <f t="shared" si="62"/>
        <v>A_CONTROLER</v>
      </c>
    </row>
    <row r="445" spans="2:26" x14ac:dyDescent="0.25">
      <c r="B445" t="str">
        <f t="shared" si="54"/>
        <v/>
      </c>
      <c r="C445" t="str">
        <f t="shared" si="55"/>
        <v/>
      </c>
      <c r="K445" t="str">
        <f t="shared" si="56"/>
        <v/>
      </c>
      <c r="N445" t="str">
        <f t="shared" si="57"/>
        <v/>
      </c>
      <c r="O445" t="str">
        <f t="shared" si="58"/>
        <v/>
      </c>
      <c r="Q445" t="str">
        <f t="shared" si="59"/>
        <v/>
      </c>
      <c r="V445" t="str">
        <f t="shared" si="60"/>
        <v/>
      </c>
      <c r="Y445" t="str">
        <f t="shared" si="61"/>
        <v>A_CONTROLER</v>
      </c>
      <c r="Z445" t="str">
        <f t="shared" si="62"/>
        <v>A_CONTROLER</v>
      </c>
    </row>
    <row r="446" spans="2:26" x14ac:dyDescent="0.25">
      <c r="B446" t="str">
        <f t="shared" si="54"/>
        <v/>
      </c>
      <c r="C446" t="str">
        <f t="shared" si="55"/>
        <v/>
      </c>
      <c r="K446" t="str">
        <f t="shared" si="56"/>
        <v/>
      </c>
      <c r="N446" t="str">
        <f t="shared" si="57"/>
        <v/>
      </c>
      <c r="O446" t="str">
        <f t="shared" si="58"/>
        <v/>
      </c>
      <c r="Q446" t="str">
        <f t="shared" si="59"/>
        <v/>
      </c>
      <c r="V446" t="str">
        <f t="shared" si="60"/>
        <v/>
      </c>
      <c r="Y446" t="str">
        <f t="shared" si="61"/>
        <v>A_CONTROLER</v>
      </c>
      <c r="Z446" t="str">
        <f t="shared" si="62"/>
        <v>A_CONTROLER</v>
      </c>
    </row>
    <row r="447" spans="2:26" x14ac:dyDescent="0.25">
      <c r="B447" t="str">
        <f t="shared" si="54"/>
        <v/>
      </c>
      <c r="C447" t="str">
        <f t="shared" si="55"/>
        <v/>
      </c>
      <c r="K447" t="str">
        <f t="shared" si="56"/>
        <v/>
      </c>
      <c r="N447" t="str">
        <f t="shared" si="57"/>
        <v/>
      </c>
      <c r="O447" t="str">
        <f t="shared" si="58"/>
        <v/>
      </c>
      <c r="Q447" t="str">
        <f t="shared" si="59"/>
        <v/>
      </c>
      <c r="V447" t="str">
        <f t="shared" si="60"/>
        <v/>
      </c>
      <c r="Y447" t="str">
        <f t="shared" si="61"/>
        <v>A_CONTROLER</v>
      </c>
      <c r="Z447" t="str">
        <f t="shared" si="62"/>
        <v>A_CONTROLER</v>
      </c>
    </row>
    <row r="448" spans="2:26" x14ac:dyDescent="0.25">
      <c r="B448" t="str">
        <f t="shared" si="54"/>
        <v/>
      </c>
      <c r="C448" t="str">
        <f t="shared" si="55"/>
        <v/>
      </c>
      <c r="K448" t="str">
        <f t="shared" si="56"/>
        <v/>
      </c>
      <c r="N448" t="str">
        <f t="shared" si="57"/>
        <v/>
      </c>
      <c r="O448" t="str">
        <f t="shared" si="58"/>
        <v/>
      </c>
      <c r="Q448" t="str">
        <f t="shared" si="59"/>
        <v/>
      </c>
      <c r="V448" t="str">
        <f t="shared" si="60"/>
        <v/>
      </c>
      <c r="Y448" t="str">
        <f t="shared" si="61"/>
        <v>A_CONTROLER</v>
      </c>
      <c r="Z448" t="str">
        <f t="shared" si="62"/>
        <v>A_CONTROLER</v>
      </c>
    </row>
    <row r="449" spans="2:26" x14ac:dyDescent="0.25">
      <c r="B449" t="str">
        <f t="shared" si="54"/>
        <v/>
      </c>
      <c r="C449" t="str">
        <f t="shared" si="55"/>
        <v/>
      </c>
      <c r="K449" t="str">
        <f t="shared" si="56"/>
        <v/>
      </c>
      <c r="N449" t="str">
        <f t="shared" si="57"/>
        <v/>
      </c>
      <c r="O449" t="str">
        <f t="shared" si="58"/>
        <v/>
      </c>
      <c r="Q449" t="str">
        <f t="shared" si="59"/>
        <v/>
      </c>
      <c r="V449" t="str">
        <f t="shared" si="60"/>
        <v/>
      </c>
      <c r="Y449" t="str">
        <f t="shared" si="61"/>
        <v>A_CONTROLER</v>
      </c>
      <c r="Z449" t="str">
        <f t="shared" si="62"/>
        <v>A_CONTROLER</v>
      </c>
    </row>
    <row r="450" spans="2:26" x14ac:dyDescent="0.25">
      <c r="B450" t="str">
        <f t="shared" ref="B450:B501" si="63">IF(A450="","",A450&amp;"|"&amp;D450&amp;"|"&amp;F450&amp;"|"&amp;G450&amp;"|"&amp;IF(I450="","",YEAR(I450)&amp;RIGHT("0"&amp;MONTH(I450),2)&amp;RIGHT("0"&amp;DAY(I450),2))&amp;"|"&amp;IF(L450="","",IF(ROUND(L450*100,0)&lt;0,"-","")&amp;INT(ABS(ROUND(L450*100,0))/100)&amp;"."&amp;RIGHT("0"&amp;MOD(ABS(ROUND(L450*100,0)),100),2)))</f>
        <v/>
      </c>
      <c r="C450" t="str">
        <f t="shared" ref="C450:C501" si="64">IF(I450="","",YEAR(I450)&amp;"-"&amp;RIGHT("0"&amp;MONTH(I450),2))</f>
        <v/>
      </c>
      <c r="K450" t="str">
        <f t="shared" ref="K450:K501" si="65">IF(OR(I450="",J450=""),"",J450-I450)</f>
        <v/>
      </c>
      <c r="N450" t="str">
        <f t="shared" ref="N450:N501" si="66">IF(F450="","",IFERROR(VLOOKUP(F450,lst_PropTauxLookup,2,0),""))</f>
        <v/>
      </c>
      <c r="O450" t="str">
        <f t="shared" ref="O450:O501" si="67">IF(F450="","",IF(ISNUMBER(IFERROR(VLOOKUP(F450,lst_PropTauxLookup,2,0),"")),"REF_PROPRIETAIRE","A_CONTROLER"))</f>
        <v/>
      </c>
      <c r="Q450" t="str">
        <f t="shared" ref="Q450:Q501" si="68">IF(OR(L450="",N450=""),"",IFERROR((L450-IF(M450="",0,M450))*N450,0))</f>
        <v/>
      </c>
      <c r="V450" t="str">
        <f t="shared" ref="V450:V501" si="69">IF(L450="","",L450-IF(M450="",0,M450)-IF(Q450="",0,Q450)-IF(T450="",0,T450))</f>
        <v/>
      </c>
      <c r="Y450" t="str">
        <f t="shared" ref="Y450:Y501" si="70">IF(W450="IC","OUI",IF(W450="HC","OUI",IF(W450="HR","NON","A_CONTROLER")))</f>
        <v>A_CONTROLER</v>
      </c>
      <c r="Z450" t="str">
        <f t="shared" ref="Z450:Z501" si="71">IF(W450="IC","OUI",IF(W450="HC","NON",IF(W450="HR","NON","A_CONTROLER")))</f>
        <v>A_CONTROLER</v>
      </c>
    </row>
    <row r="451" spans="2:26" x14ac:dyDescent="0.25">
      <c r="B451" t="str">
        <f t="shared" si="63"/>
        <v/>
      </c>
      <c r="C451" t="str">
        <f t="shared" si="64"/>
        <v/>
      </c>
      <c r="K451" t="str">
        <f t="shared" si="65"/>
        <v/>
      </c>
      <c r="N451" t="str">
        <f t="shared" si="66"/>
        <v/>
      </c>
      <c r="O451" t="str">
        <f t="shared" si="67"/>
        <v/>
      </c>
      <c r="Q451" t="str">
        <f t="shared" si="68"/>
        <v/>
      </c>
      <c r="V451" t="str">
        <f t="shared" si="69"/>
        <v/>
      </c>
      <c r="Y451" t="str">
        <f t="shared" si="70"/>
        <v>A_CONTROLER</v>
      </c>
      <c r="Z451" t="str">
        <f t="shared" si="71"/>
        <v>A_CONTROLER</v>
      </c>
    </row>
    <row r="452" spans="2:26" x14ac:dyDescent="0.25">
      <c r="B452" t="str">
        <f t="shared" si="63"/>
        <v/>
      </c>
      <c r="C452" t="str">
        <f t="shared" si="64"/>
        <v/>
      </c>
      <c r="K452" t="str">
        <f t="shared" si="65"/>
        <v/>
      </c>
      <c r="N452" t="str">
        <f t="shared" si="66"/>
        <v/>
      </c>
      <c r="O452" t="str">
        <f t="shared" si="67"/>
        <v/>
      </c>
      <c r="Q452" t="str">
        <f t="shared" si="68"/>
        <v/>
      </c>
      <c r="V452" t="str">
        <f t="shared" si="69"/>
        <v/>
      </c>
      <c r="Y452" t="str">
        <f t="shared" si="70"/>
        <v>A_CONTROLER</v>
      </c>
      <c r="Z452" t="str">
        <f t="shared" si="71"/>
        <v>A_CONTROLER</v>
      </c>
    </row>
    <row r="453" spans="2:26" x14ac:dyDescent="0.25">
      <c r="B453" t="str">
        <f t="shared" si="63"/>
        <v/>
      </c>
      <c r="C453" t="str">
        <f t="shared" si="64"/>
        <v/>
      </c>
      <c r="K453" t="str">
        <f t="shared" si="65"/>
        <v/>
      </c>
      <c r="N453" t="str">
        <f t="shared" si="66"/>
        <v/>
      </c>
      <c r="O453" t="str">
        <f t="shared" si="67"/>
        <v/>
      </c>
      <c r="Q453" t="str">
        <f t="shared" si="68"/>
        <v/>
      </c>
      <c r="V453" t="str">
        <f t="shared" si="69"/>
        <v/>
      </c>
      <c r="Y453" t="str">
        <f t="shared" si="70"/>
        <v>A_CONTROLER</v>
      </c>
      <c r="Z453" t="str">
        <f t="shared" si="71"/>
        <v>A_CONTROLER</v>
      </c>
    </row>
    <row r="454" spans="2:26" x14ac:dyDescent="0.25">
      <c r="B454" t="str">
        <f t="shared" si="63"/>
        <v/>
      </c>
      <c r="C454" t="str">
        <f t="shared" si="64"/>
        <v/>
      </c>
      <c r="K454" t="str">
        <f t="shared" si="65"/>
        <v/>
      </c>
      <c r="N454" t="str">
        <f t="shared" si="66"/>
        <v/>
      </c>
      <c r="O454" t="str">
        <f t="shared" si="67"/>
        <v/>
      </c>
      <c r="Q454" t="str">
        <f t="shared" si="68"/>
        <v/>
      </c>
      <c r="V454" t="str">
        <f t="shared" si="69"/>
        <v/>
      </c>
      <c r="Y454" t="str">
        <f t="shared" si="70"/>
        <v>A_CONTROLER</v>
      </c>
      <c r="Z454" t="str">
        <f t="shared" si="71"/>
        <v>A_CONTROLER</v>
      </c>
    </row>
    <row r="455" spans="2:26" x14ac:dyDescent="0.25">
      <c r="B455" t="str">
        <f t="shared" si="63"/>
        <v/>
      </c>
      <c r="C455" t="str">
        <f t="shared" si="64"/>
        <v/>
      </c>
      <c r="K455" t="str">
        <f t="shared" si="65"/>
        <v/>
      </c>
      <c r="N455" t="str">
        <f t="shared" si="66"/>
        <v/>
      </c>
      <c r="O455" t="str">
        <f t="shared" si="67"/>
        <v/>
      </c>
      <c r="Q455" t="str">
        <f t="shared" si="68"/>
        <v/>
      </c>
      <c r="V455" t="str">
        <f t="shared" si="69"/>
        <v/>
      </c>
      <c r="Y455" t="str">
        <f t="shared" si="70"/>
        <v>A_CONTROLER</v>
      </c>
      <c r="Z455" t="str">
        <f t="shared" si="71"/>
        <v>A_CONTROLER</v>
      </c>
    </row>
    <row r="456" spans="2:26" x14ac:dyDescent="0.25">
      <c r="B456" t="str">
        <f t="shared" si="63"/>
        <v/>
      </c>
      <c r="C456" t="str">
        <f t="shared" si="64"/>
        <v/>
      </c>
      <c r="K456" t="str">
        <f t="shared" si="65"/>
        <v/>
      </c>
      <c r="N456" t="str">
        <f t="shared" si="66"/>
        <v/>
      </c>
      <c r="O456" t="str">
        <f t="shared" si="67"/>
        <v/>
      </c>
      <c r="Q456" t="str">
        <f t="shared" si="68"/>
        <v/>
      </c>
      <c r="V456" t="str">
        <f t="shared" si="69"/>
        <v/>
      </c>
      <c r="Y456" t="str">
        <f t="shared" si="70"/>
        <v>A_CONTROLER</v>
      </c>
      <c r="Z456" t="str">
        <f t="shared" si="71"/>
        <v>A_CONTROLER</v>
      </c>
    </row>
    <row r="457" spans="2:26" x14ac:dyDescent="0.25">
      <c r="B457" t="str">
        <f t="shared" si="63"/>
        <v/>
      </c>
      <c r="C457" t="str">
        <f t="shared" si="64"/>
        <v/>
      </c>
      <c r="K457" t="str">
        <f t="shared" si="65"/>
        <v/>
      </c>
      <c r="N457" t="str">
        <f t="shared" si="66"/>
        <v/>
      </c>
      <c r="O457" t="str">
        <f t="shared" si="67"/>
        <v/>
      </c>
      <c r="Q457" t="str">
        <f t="shared" si="68"/>
        <v/>
      </c>
      <c r="V457" t="str">
        <f t="shared" si="69"/>
        <v/>
      </c>
      <c r="Y457" t="str">
        <f t="shared" si="70"/>
        <v>A_CONTROLER</v>
      </c>
      <c r="Z457" t="str">
        <f t="shared" si="71"/>
        <v>A_CONTROLER</v>
      </c>
    </row>
    <row r="458" spans="2:26" x14ac:dyDescent="0.25">
      <c r="B458" t="str">
        <f t="shared" si="63"/>
        <v/>
      </c>
      <c r="C458" t="str">
        <f t="shared" si="64"/>
        <v/>
      </c>
      <c r="K458" t="str">
        <f t="shared" si="65"/>
        <v/>
      </c>
      <c r="N458" t="str">
        <f t="shared" si="66"/>
        <v/>
      </c>
      <c r="O458" t="str">
        <f t="shared" si="67"/>
        <v/>
      </c>
      <c r="Q458" t="str">
        <f t="shared" si="68"/>
        <v/>
      </c>
      <c r="V458" t="str">
        <f t="shared" si="69"/>
        <v/>
      </c>
      <c r="Y458" t="str">
        <f t="shared" si="70"/>
        <v>A_CONTROLER</v>
      </c>
      <c r="Z458" t="str">
        <f t="shared" si="71"/>
        <v>A_CONTROLER</v>
      </c>
    </row>
    <row r="459" spans="2:26" x14ac:dyDescent="0.25">
      <c r="B459" t="str">
        <f t="shared" si="63"/>
        <v/>
      </c>
      <c r="C459" t="str">
        <f t="shared" si="64"/>
        <v/>
      </c>
      <c r="K459" t="str">
        <f t="shared" si="65"/>
        <v/>
      </c>
      <c r="N459" t="str">
        <f t="shared" si="66"/>
        <v/>
      </c>
      <c r="O459" t="str">
        <f t="shared" si="67"/>
        <v/>
      </c>
      <c r="Q459" t="str">
        <f t="shared" si="68"/>
        <v/>
      </c>
      <c r="V459" t="str">
        <f t="shared" si="69"/>
        <v/>
      </c>
      <c r="Y459" t="str">
        <f t="shared" si="70"/>
        <v>A_CONTROLER</v>
      </c>
      <c r="Z459" t="str">
        <f t="shared" si="71"/>
        <v>A_CONTROLER</v>
      </c>
    </row>
    <row r="460" spans="2:26" x14ac:dyDescent="0.25">
      <c r="B460" t="str">
        <f t="shared" si="63"/>
        <v/>
      </c>
      <c r="C460" t="str">
        <f t="shared" si="64"/>
        <v/>
      </c>
      <c r="K460" t="str">
        <f t="shared" si="65"/>
        <v/>
      </c>
      <c r="N460" t="str">
        <f t="shared" si="66"/>
        <v/>
      </c>
      <c r="O460" t="str">
        <f t="shared" si="67"/>
        <v/>
      </c>
      <c r="Q460" t="str">
        <f t="shared" si="68"/>
        <v/>
      </c>
      <c r="V460" t="str">
        <f t="shared" si="69"/>
        <v/>
      </c>
      <c r="Y460" t="str">
        <f t="shared" si="70"/>
        <v>A_CONTROLER</v>
      </c>
      <c r="Z460" t="str">
        <f t="shared" si="71"/>
        <v>A_CONTROLER</v>
      </c>
    </row>
    <row r="461" spans="2:26" x14ac:dyDescent="0.25">
      <c r="B461" t="str">
        <f t="shared" si="63"/>
        <v/>
      </c>
      <c r="C461" t="str">
        <f t="shared" si="64"/>
        <v/>
      </c>
      <c r="K461" t="str">
        <f t="shared" si="65"/>
        <v/>
      </c>
      <c r="N461" t="str">
        <f t="shared" si="66"/>
        <v/>
      </c>
      <c r="O461" t="str">
        <f t="shared" si="67"/>
        <v/>
      </c>
      <c r="Q461" t="str">
        <f t="shared" si="68"/>
        <v/>
      </c>
      <c r="V461" t="str">
        <f t="shared" si="69"/>
        <v/>
      </c>
      <c r="Y461" t="str">
        <f t="shared" si="70"/>
        <v>A_CONTROLER</v>
      </c>
      <c r="Z461" t="str">
        <f t="shared" si="71"/>
        <v>A_CONTROLER</v>
      </c>
    </row>
    <row r="462" spans="2:26" x14ac:dyDescent="0.25">
      <c r="B462" t="str">
        <f t="shared" si="63"/>
        <v/>
      </c>
      <c r="C462" t="str">
        <f t="shared" si="64"/>
        <v/>
      </c>
      <c r="K462" t="str">
        <f t="shared" si="65"/>
        <v/>
      </c>
      <c r="N462" t="str">
        <f t="shared" si="66"/>
        <v/>
      </c>
      <c r="O462" t="str">
        <f t="shared" si="67"/>
        <v/>
      </c>
      <c r="Q462" t="str">
        <f t="shared" si="68"/>
        <v/>
      </c>
      <c r="V462" t="str">
        <f t="shared" si="69"/>
        <v/>
      </c>
      <c r="Y462" t="str">
        <f t="shared" si="70"/>
        <v>A_CONTROLER</v>
      </c>
      <c r="Z462" t="str">
        <f t="shared" si="71"/>
        <v>A_CONTROLER</v>
      </c>
    </row>
    <row r="463" spans="2:26" x14ac:dyDescent="0.25">
      <c r="B463" t="str">
        <f t="shared" si="63"/>
        <v/>
      </c>
      <c r="C463" t="str">
        <f t="shared" si="64"/>
        <v/>
      </c>
      <c r="K463" t="str">
        <f t="shared" si="65"/>
        <v/>
      </c>
      <c r="N463" t="str">
        <f t="shared" si="66"/>
        <v/>
      </c>
      <c r="O463" t="str">
        <f t="shared" si="67"/>
        <v/>
      </c>
      <c r="Q463" t="str">
        <f t="shared" si="68"/>
        <v/>
      </c>
      <c r="V463" t="str">
        <f t="shared" si="69"/>
        <v/>
      </c>
      <c r="Y463" t="str">
        <f t="shared" si="70"/>
        <v>A_CONTROLER</v>
      </c>
      <c r="Z463" t="str">
        <f t="shared" si="71"/>
        <v>A_CONTROLER</v>
      </c>
    </row>
    <row r="464" spans="2:26" x14ac:dyDescent="0.25">
      <c r="B464" t="str">
        <f t="shared" si="63"/>
        <v/>
      </c>
      <c r="C464" t="str">
        <f t="shared" si="64"/>
        <v/>
      </c>
      <c r="K464" t="str">
        <f t="shared" si="65"/>
        <v/>
      </c>
      <c r="N464" t="str">
        <f t="shared" si="66"/>
        <v/>
      </c>
      <c r="O464" t="str">
        <f t="shared" si="67"/>
        <v/>
      </c>
      <c r="Q464" t="str">
        <f t="shared" si="68"/>
        <v/>
      </c>
      <c r="V464" t="str">
        <f t="shared" si="69"/>
        <v/>
      </c>
      <c r="Y464" t="str">
        <f t="shared" si="70"/>
        <v>A_CONTROLER</v>
      </c>
      <c r="Z464" t="str">
        <f t="shared" si="71"/>
        <v>A_CONTROLER</v>
      </c>
    </row>
    <row r="465" spans="2:26" x14ac:dyDescent="0.25">
      <c r="B465" t="str">
        <f t="shared" si="63"/>
        <v/>
      </c>
      <c r="C465" t="str">
        <f t="shared" si="64"/>
        <v/>
      </c>
      <c r="K465" t="str">
        <f t="shared" si="65"/>
        <v/>
      </c>
      <c r="N465" t="str">
        <f t="shared" si="66"/>
        <v/>
      </c>
      <c r="O465" t="str">
        <f t="shared" si="67"/>
        <v/>
      </c>
      <c r="Q465" t="str">
        <f t="shared" si="68"/>
        <v/>
      </c>
      <c r="V465" t="str">
        <f t="shared" si="69"/>
        <v/>
      </c>
      <c r="Y465" t="str">
        <f t="shared" si="70"/>
        <v>A_CONTROLER</v>
      </c>
      <c r="Z465" t="str">
        <f t="shared" si="71"/>
        <v>A_CONTROLER</v>
      </c>
    </row>
    <row r="466" spans="2:26" x14ac:dyDescent="0.25">
      <c r="B466" t="str">
        <f t="shared" si="63"/>
        <v/>
      </c>
      <c r="C466" t="str">
        <f t="shared" si="64"/>
        <v/>
      </c>
      <c r="K466" t="str">
        <f t="shared" si="65"/>
        <v/>
      </c>
      <c r="N466" t="str">
        <f t="shared" si="66"/>
        <v/>
      </c>
      <c r="O466" t="str">
        <f t="shared" si="67"/>
        <v/>
      </c>
      <c r="Q466" t="str">
        <f t="shared" si="68"/>
        <v/>
      </c>
      <c r="V466" t="str">
        <f t="shared" si="69"/>
        <v/>
      </c>
      <c r="Y466" t="str">
        <f t="shared" si="70"/>
        <v>A_CONTROLER</v>
      </c>
      <c r="Z466" t="str">
        <f t="shared" si="71"/>
        <v>A_CONTROLER</v>
      </c>
    </row>
    <row r="467" spans="2:26" x14ac:dyDescent="0.25">
      <c r="B467" t="str">
        <f t="shared" si="63"/>
        <v/>
      </c>
      <c r="C467" t="str">
        <f t="shared" si="64"/>
        <v/>
      </c>
      <c r="K467" t="str">
        <f t="shared" si="65"/>
        <v/>
      </c>
      <c r="N467" t="str">
        <f t="shared" si="66"/>
        <v/>
      </c>
      <c r="O467" t="str">
        <f t="shared" si="67"/>
        <v/>
      </c>
      <c r="Q467" t="str">
        <f t="shared" si="68"/>
        <v/>
      </c>
      <c r="V467" t="str">
        <f t="shared" si="69"/>
        <v/>
      </c>
      <c r="Y467" t="str">
        <f t="shared" si="70"/>
        <v>A_CONTROLER</v>
      </c>
      <c r="Z467" t="str">
        <f t="shared" si="71"/>
        <v>A_CONTROLER</v>
      </c>
    </row>
    <row r="468" spans="2:26" x14ac:dyDescent="0.25">
      <c r="B468" t="str">
        <f t="shared" si="63"/>
        <v/>
      </c>
      <c r="C468" t="str">
        <f t="shared" si="64"/>
        <v/>
      </c>
      <c r="K468" t="str">
        <f t="shared" si="65"/>
        <v/>
      </c>
      <c r="N468" t="str">
        <f t="shared" si="66"/>
        <v/>
      </c>
      <c r="O468" t="str">
        <f t="shared" si="67"/>
        <v/>
      </c>
      <c r="Q468" t="str">
        <f t="shared" si="68"/>
        <v/>
      </c>
      <c r="V468" t="str">
        <f t="shared" si="69"/>
        <v/>
      </c>
      <c r="Y468" t="str">
        <f t="shared" si="70"/>
        <v>A_CONTROLER</v>
      </c>
      <c r="Z468" t="str">
        <f t="shared" si="71"/>
        <v>A_CONTROLER</v>
      </c>
    </row>
    <row r="469" spans="2:26" x14ac:dyDescent="0.25">
      <c r="B469" t="str">
        <f t="shared" si="63"/>
        <v/>
      </c>
      <c r="C469" t="str">
        <f t="shared" si="64"/>
        <v/>
      </c>
      <c r="K469" t="str">
        <f t="shared" si="65"/>
        <v/>
      </c>
      <c r="N469" t="str">
        <f t="shared" si="66"/>
        <v/>
      </c>
      <c r="O469" t="str">
        <f t="shared" si="67"/>
        <v/>
      </c>
      <c r="Q469" t="str">
        <f t="shared" si="68"/>
        <v/>
      </c>
      <c r="V469" t="str">
        <f t="shared" si="69"/>
        <v/>
      </c>
      <c r="Y469" t="str">
        <f t="shared" si="70"/>
        <v>A_CONTROLER</v>
      </c>
      <c r="Z469" t="str">
        <f t="shared" si="71"/>
        <v>A_CONTROLER</v>
      </c>
    </row>
    <row r="470" spans="2:26" x14ac:dyDescent="0.25">
      <c r="B470" t="str">
        <f t="shared" si="63"/>
        <v/>
      </c>
      <c r="C470" t="str">
        <f t="shared" si="64"/>
        <v/>
      </c>
      <c r="K470" t="str">
        <f t="shared" si="65"/>
        <v/>
      </c>
      <c r="N470" t="str">
        <f t="shared" si="66"/>
        <v/>
      </c>
      <c r="O470" t="str">
        <f t="shared" si="67"/>
        <v/>
      </c>
      <c r="Q470" t="str">
        <f t="shared" si="68"/>
        <v/>
      </c>
      <c r="V470" t="str">
        <f t="shared" si="69"/>
        <v/>
      </c>
      <c r="Y470" t="str">
        <f t="shared" si="70"/>
        <v>A_CONTROLER</v>
      </c>
      <c r="Z470" t="str">
        <f t="shared" si="71"/>
        <v>A_CONTROLER</v>
      </c>
    </row>
    <row r="471" spans="2:26" x14ac:dyDescent="0.25">
      <c r="B471" t="str">
        <f t="shared" si="63"/>
        <v/>
      </c>
      <c r="C471" t="str">
        <f t="shared" si="64"/>
        <v/>
      </c>
      <c r="K471" t="str">
        <f t="shared" si="65"/>
        <v/>
      </c>
      <c r="N471" t="str">
        <f t="shared" si="66"/>
        <v/>
      </c>
      <c r="O471" t="str">
        <f t="shared" si="67"/>
        <v/>
      </c>
      <c r="Q471" t="str">
        <f t="shared" si="68"/>
        <v/>
      </c>
      <c r="V471" t="str">
        <f t="shared" si="69"/>
        <v/>
      </c>
      <c r="Y471" t="str">
        <f t="shared" si="70"/>
        <v>A_CONTROLER</v>
      </c>
      <c r="Z471" t="str">
        <f t="shared" si="71"/>
        <v>A_CONTROLER</v>
      </c>
    </row>
    <row r="472" spans="2:26" x14ac:dyDescent="0.25">
      <c r="B472" t="str">
        <f t="shared" si="63"/>
        <v/>
      </c>
      <c r="C472" t="str">
        <f t="shared" si="64"/>
        <v/>
      </c>
      <c r="K472" t="str">
        <f t="shared" si="65"/>
        <v/>
      </c>
      <c r="N472" t="str">
        <f t="shared" si="66"/>
        <v/>
      </c>
      <c r="O472" t="str">
        <f t="shared" si="67"/>
        <v/>
      </c>
      <c r="Q472" t="str">
        <f t="shared" si="68"/>
        <v/>
      </c>
      <c r="V472" t="str">
        <f t="shared" si="69"/>
        <v/>
      </c>
      <c r="Y472" t="str">
        <f t="shared" si="70"/>
        <v>A_CONTROLER</v>
      </c>
      <c r="Z472" t="str">
        <f t="shared" si="71"/>
        <v>A_CONTROLER</v>
      </c>
    </row>
    <row r="473" spans="2:26" x14ac:dyDescent="0.25">
      <c r="B473" t="str">
        <f t="shared" si="63"/>
        <v/>
      </c>
      <c r="C473" t="str">
        <f t="shared" si="64"/>
        <v/>
      </c>
      <c r="K473" t="str">
        <f t="shared" si="65"/>
        <v/>
      </c>
      <c r="N473" t="str">
        <f t="shared" si="66"/>
        <v/>
      </c>
      <c r="O473" t="str">
        <f t="shared" si="67"/>
        <v/>
      </c>
      <c r="Q473" t="str">
        <f t="shared" si="68"/>
        <v/>
      </c>
      <c r="V473" t="str">
        <f t="shared" si="69"/>
        <v/>
      </c>
      <c r="Y473" t="str">
        <f t="shared" si="70"/>
        <v>A_CONTROLER</v>
      </c>
      <c r="Z473" t="str">
        <f t="shared" si="71"/>
        <v>A_CONTROLER</v>
      </c>
    </row>
    <row r="474" spans="2:26" x14ac:dyDescent="0.25">
      <c r="B474" t="str">
        <f t="shared" si="63"/>
        <v/>
      </c>
      <c r="C474" t="str">
        <f t="shared" si="64"/>
        <v/>
      </c>
      <c r="K474" t="str">
        <f t="shared" si="65"/>
        <v/>
      </c>
      <c r="N474" t="str">
        <f t="shared" si="66"/>
        <v/>
      </c>
      <c r="O474" t="str">
        <f t="shared" si="67"/>
        <v/>
      </c>
      <c r="Q474" t="str">
        <f t="shared" si="68"/>
        <v/>
      </c>
      <c r="V474" t="str">
        <f t="shared" si="69"/>
        <v/>
      </c>
      <c r="Y474" t="str">
        <f t="shared" si="70"/>
        <v>A_CONTROLER</v>
      </c>
      <c r="Z474" t="str">
        <f t="shared" si="71"/>
        <v>A_CONTROLER</v>
      </c>
    </row>
    <row r="475" spans="2:26" x14ac:dyDescent="0.25">
      <c r="B475" t="str">
        <f t="shared" si="63"/>
        <v/>
      </c>
      <c r="C475" t="str">
        <f t="shared" si="64"/>
        <v/>
      </c>
      <c r="K475" t="str">
        <f t="shared" si="65"/>
        <v/>
      </c>
      <c r="N475" t="str">
        <f t="shared" si="66"/>
        <v/>
      </c>
      <c r="O475" t="str">
        <f t="shared" si="67"/>
        <v/>
      </c>
      <c r="Q475" t="str">
        <f t="shared" si="68"/>
        <v/>
      </c>
      <c r="V475" t="str">
        <f t="shared" si="69"/>
        <v/>
      </c>
      <c r="Y475" t="str">
        <f t="shared" si="70"/>
        <v>A_CONTROLER</v>
      </c>
      <c r="Z475" t="str">
        <f t="shared" si="71"/>
        <v>A_CONTROLER</v>
      </c>
    </row>
    <row r="476" spans="2:26" x14ac:dyDescent="0.25">
      <c r="B476" t="str">
        <f t="shared" si="63"/>
        <v/>
      </c>
      <c r="C476" t="str">
        <f t="shared" si="64"/>
        <v/>
      </c>
      <c r="K476" t="str">
        <f t="shared" si="65"/>
        <v/>
      </c>
      <c r="N476" t="str">
        <f t="shared" si="66"/>
        <v/>
      </c>
      <c r="O476" t="str">
        <f t="shared" si="67"/>
        <v/>
      </c>
      <c r="Q476" t="str">
        <f t="shared" si="68"/>
        <v/>
      </c>
      <c r="V476" t="str">
        <f t="shared" si="69"/>
        <v/>
      </c>
      <c r="Y476" t="str">
        <f t="shared" si="70"/>
        <v>A_CONTROLER</v>
      </c>
      <c r="Z476" t="str">
        <f t="shared" si="71"/>
        <v>A_CONTROLER</v>
      </c>
    </row>
    <row r="477" spans="2:26" x14ac:dyDescent="0.25">
      <c r="B477" t="str">
        <f t="shared" si="63"/>
        <v/>
      </c>
      <c r="C477" t="str">
        <f t="shared" si="64"/>
        <v/>
      </c>
      <c r="K477" t="str">
        <f t="shared" si="65"/>
        <v/>
      </c>
      <c r="N477" t="str">
        <f t="shared" si="66"/>
        <v/>
      </c>
      <c r="O477" t="str">
        <f t="shared" si="67"/>
        <v/>
      </c>
      <c r="Q477" t="str">
        <f t="shared" si="68"/>
        <v/>
      </c>
      <c r="V477" t="str">
        <f t="shared" si="69"/>
        <v/>
      </c>
      <c r="Y477" t="str">
        <f t="shared" si="70"/>
        <v>A_CONTROLER</v>
      </c>
      <c r="Z477" t="str">
        <f t="shared" si="71"/>
        <v>A_CONTROLER</v>
      </c>
    </row>
    <row r="478" spans="2:26" x14ac:dyDescent="0.25">
      <c r="B478" t="str">
        <f t="shared" si="63"/>
        <v/>
      </c>
      <c r="C478" t="str">
        <f t="shared" si="64"/>
        <v/>
      </c>
      <c r="K478" t="str">
        <f t="shared" si="65"/>
        <v/>
      </c>
      <c r="N478" t="str">
        <f t="shared" si="66"/>
        <v/>
      </c>
      <c r="O478" t="str">
        <f t="shared" si="67"/>
        <v/>
      </c>
      <c r="Q478" t="str">
        <f t="shared" si="68"/>
        <v/>
      </c>
      <c r="V478" t="str">
        <f t="shared" si="69"/>
        <v/>
      </c>
      <c r="Y478" t="str">
        <f t="shared" si="70"/>
        <v>A_CONTROLER</v>
      </c>
      <c r="Z478" t="str">
        <f t="shared" si="71"/>
        <v>A_CONTROLER</v>
      </c>
    </row>
    <row r="479" spans="2:26" x14ac:dyDescent="0.25">
      <c r="B479" t="str">
        <f t="shared" si="63"/>
        <v/>
      </c>
      <c r="C479" t="str">
        <f t="shared" si="64"/>
        <v/>
      </c>
      <c r="K479" t="str">
        <f t="shared" si="65"/>
        <v/>
      </c>
      <c r="N479" t="str">
        <f t="shared" si="66"/>
        <v/>
      </c>
      <c r="O479" t="str">
        <f t="shared" si="67"/>
        <v/>
      </c>
      <c r="Q479" t="str">
        <f t="shared" si="68"/>
        <v/>
      </c>
      <c r="V479" t="str">
        <f t="shared" si="69"/>
        <v/>
      </c>
      <c r="Y479" t="str">
        <f t="shared" si="70"/>
        <v>A_CONTROLER</v>
      </c>
      <c r="Z479" t="str">
        <f t="shared" si="71"/>
        <v>A_CONTROLER</v>
      </c>
    </row>
    <row r="480" spans="2:26" x14ac:dyDescent="0.25">
      <c r="B480" t="str">
        <f t="shared" si="63"/>
        <v/>
      </c>
      <c r="C480" t="str">
        <f t="shared" si="64"/>
        <v/>
      </c>
      <c r="K480" t="str">
        <f t="shared" si="65"/>
        <v/>
      </c>
      <c r="N480" t="str">
        <f t="shared" si="66"/>
        <v/>
      </c>
      <c r="O480" t="str">
        <f t="shared" si="67"/>
        <v/>
      </c>
      <c r="Q480" t="str">
        <f t="shared" si="68"/>
        <v/>
      </c>
      <c r="V480" t="str">
        <f t="shared" si="69"/>
        <v/>
      </c>
      <c r="Y480" t="str">
        <f t="shared" si="70"/>
        <v>A_CONTROLER</v>
      </c>
      <c r="Z480" t="str">
        <f t="shared" si="71"/>
        <v>A_CONTROLER</v>
      </c>
    </row>
    <row r="481" spans="2:26" x14ac:dyDescent="0.25">
      <c r="B481" t="str">
        <f t="shared" si="63"/>
        <v/>
      </c>
      <c r="C481" t="str">
        <f t="shared" si="64"/>
        <v/>
      </c>
      <c r="K481" t="str">
        <f t="shared" si="65"/>
        <v/>
      </c>
      <c r="N481" t="str">
        <f t="shared" si="66"/>
        <v/>
      </c>
      <c r="O481" t="str">
        <f t="shared" si="67"/>
        <v/>
      </c>
      <c r="Q481" t="str">
        <f t="shared" si="68"/>
        <v/>
      </c>
      <c r="V481" t="str">
        <f t="shared" si="69"/>
        <v/>
      </c>
      <c r="Y481" t="str">
        <f t="shared" si="70"/>
        <v>A_CONTROLER</v>
      </c>
      <c r="Z481" t="str">
        <f t="shared" si="71"/>
        <v>A_CONTROLER</v>
      </c>
    </row>
    <row r="482" spans="2:26" x14ac:dyDescent="0.25">
      <c r="B482" t="str">
        <f t="shared" si="63"/>
        <v/>
      </c>
      <c r="C482" t="str">
        <f t="shared" si="64"/>
        <v/>
      </c>
      <c r="K482" t="str">
        <f t="shared" si="65"/>
        <v/>
      </c>
      <c r="N482" t="str">
        <f t="shared" si="66"/>
        <v/>
      </c>
      <c r="O482" t="str">
        <f t="shared" si="67"/>
        <v/>
      </c>
      <c r="Q482" t="str">
        <f t="shared" si="68"/>
        <v/>
      </c>
      <c r="V482" t="str">
        <f t="shared" si="69"/>
        <v/>
      </c>
      <c r="Y482" t="str">
        <f t="shared" si="70"/>
        <v>A_CONTROLER</v>
      </c>
      <c r="Z482" t="str">
        <f t="shared" si="71"/>
        <v>A_CONTROLER</v>
      </c>
    </row>
    <row r="483" spans="2:26" x14ac:dyDescent="0.25">
      <c r="B483" t="str">
        <f t="shared" si="63"/>
        <v/>
      </c>
      <c r="C483" t="str">
        <f t="shared" si="64"/>
        <v/>
      </c>
      <c r="K483" t="str">
        <f t="shared" si="65"/>
        <v/>
      </c>
      <c r="N483" t="str">
        <f t="shared" si="66"/>
        <v/>
      </c>
      <c r="O483" t="str">
        <f t="shared" si="67"/>
        <v/>
      </c>
      <c r="Q483" t="str">
        <f t="shared" si="68"/>
        <v/>
      </c>
      <c r="V483" t="str">
        <f t="shared" si="69"/>
        <v/>
      </c>
      <c r="Y483" t="str">
        <f t="shared" si="70"/>
        <v>A_CONTROLER</v>
      </c>
      <c r="Z483" t="str">
        <f t="shared" si="71"/>
        <v>A_CONTROLER</v>
      </c>
    </row>
    <row r="484" spans="2:26" x14ac:dyDescent="0.25">
      <c r="B484" t="str">
        <f t="shared" si="63"/>
        <v/>
      </c>
      <c r="C484" t="str">
        <f t="shared" si="64"/>
        <v/>
      </c>
      <c r="K484" t="str">
        <f t="shared" si="65"/>
        <v/>
      </c>
      <c r="N484" t="str">
        <f t="shared" si="66"/>
        <v/>
      </c>
      <c r="O484" t="str">
        <f t="shared" si="67"/>
        <v/>
      </c>
      <c r="Q484" t="str">
        <f t="shared" si="68"/>
        <v/>
      </c>
      <c r="V484" t="str">
        <f t="shared" si="69"/>
        <v/>
      </c>
      <c r="Y484" t="str">
        <f t="shared" si="70"/>
        <v>A_CONTROLER</v>
      </c>
      <c r="Z484" t="str">
        <f t="shared" si="71"/>
        <v>A_CONTROLER</v>
      </c>
    </row>
    <row r="485" spans="2:26" x14ac:dyDescent="0.25">
      <c r="B485" t="str">
        <f t="shared" si="63"/>
        <v/>
      </c>
      <c r="C485" t="str">
        <f t="shared" si="64"/>
        <v/>
      </c>
      <c r="K485" t="str">
        <f t="shared" si="65"/>
        <v/>
      </c>
      <c r="N485" t="str">
        <f t="shared" si="66"/>
        <v/>
      </c>
      <c r="O485" t="str">
        <f t="shared" si="67"/>
        <v/>
      </c>
      <c r="Q485" t="str">
        <f t="shared" si="68"/>
        <v/>
      </c>
      <c r="V485" t="str">
        <f t="shared" si="69"/>
        <v/>
      </c>
      <c r="Y485" t="str">
        <f t="shared" si="70"/>
        <v>A_CONTROLER</v>
      </c>
      <c r="Z485" t="str">
        <f t="shared" si="71"/>
        <v>A_CONTROLER</v>
      </c>
    </row>
    <row r="486" spans="2:26" x14ac:dyDescent="0.25">
      <c r="B486" t="str">
        <f t="shared" si="63"/>
        <v/>
      </c>
      <c r="C486" t="str">
        <f t="shared" si="64"/>
        <v/>
      </c>
      <c r="K486" t="str">
        <f t="shared" si="65"/>
        <v/>
      </c>
      <c r="N486" t="str">
        <f t="shared" si="66"/>
        <v/>
      </c>
      <c r="O486" t="str">
        <f t="shared" si="67"/>
        <v/>
      </c>
      <c r="Q486" t="str">
        <f t="shared" si="68"/>
        <v/>
      </c>
      <c r="V486" t="str">
        <f t="shared" si="69"/>
        <v/>
      </c>
      <c r="Y486" t="str">
        <f t="shared" si="70"/>
        <v>A_CONTROLER</v>
      </c>
      <c r="Z486" t="str">
        <f t="shared" si="71"/>
        <v>A_CONTROLER</v>
      </c>
    </row>
    <row r="487" spans="2:26" x14ac:dyDescent="0.25">
      <c r="B487" t="str">
        <f t="shared" si="63"/>
        <v/>
      </c>
      <c r="C487" t="str">
        <f t="shared" si="64"/>
        <v/>
      </c>
      <c r="K487" t="str">
        <f t="shared" si="65"/>
        <v/>
      </c>
      <c r="N487" t="str">
        <f t="shared" si="66"/>
        <v/>
      </c>
      <c r="O487" t="str">
        <f t="shared" si="67"/>
        <v/>
      </c>
      <c r="Q487" t="str">
        <f t="shared" si="68"/>
        <v/>
      </c>
      <c r="V487" t="str">
        <f t="shared" si="69"/>
        <v/>
      </c>
      <c r="Y487" t="str">
        <f t="shared" si="70"/>
        <v>A_CONTROLER</v>
      </c>
      <c r="Z487" t="str">
        <f t="shared" si="71"/>
        <v>A_CONTROLER</v>
      </c>
    </row>
    <row r="488" spans="2:26" x14ac:dyDescent="0.25">
      <c r="B488" t="str">
        <f t="shared" si="63"/>
        <v/>
      </c>
      <c r="C488" t="str">
        <f t="shared" si="64"/>
        <v/>
      </c>
      <c r="K488" t="str">
        <f t="shared" si="65"/>
        <v/>
      </c>
      <c r="N488" t="str">
        <f t="shared" si="66"/>
        <v/>
      </c>
      <c r="O488" t="str">
        <f t="shared" si="67"/>
        <v/>
      </c>
      <c r="Q488" t="str">
        <f t="shared" si="68"/>
        <v/>
      </c>
      <c r="V488" t="str">
        <f t="shared" si="69"/>
        <v/>
      </c>
      <c r="Y488" t="str">
        <f t="shared" si="70"/>
        <v>A_CONTROLER</v>
      </c>
      <c r="Z488" t="str">
        <f t="shared" si="71"/>
        <v>A_CONTROLER</v>
      </c>
    </row>
    <row r="489" spans="2:26" x14ac:dyDescent="0.25">
      <c r="B489" t="str">
        <f t="shared" si="63"/>
        <v/>
      </c>
      <c r="C489" t="str">
        <f t="shared" si="64"/>
        <v/>
      </c>
      <c r="K489" t="str">
        <f t="shared" si="65"/>
        <v/>
      </c>
      <c r="N489" t="str">
        <f t="shared" si="66"/>
        <v/>
      </c>
      <c r="O489" t="str">
        <f t="shared" si="67"/>
        <v/>
      </c>
      <c r="Q489" t="str">
        <f t="shared" si="68"/>
        <v/>
      </c>
      <c r="V489" t="str">
        <f t="shared" si="69"/>
        <v/>
      </c>
      <c r="Y489" t="str">
        <f t="shared" si="70"/>
        <v>A_CONTROLER</v>
      </c>
      <c r="Z489" t="str">
        <f t="shared" si="71"/>
        <v>A_CONTROLER</v>
      </c>
    </row>
    <row r="490" spans="2:26" x14ac:dyDescent="0.25">
      <c r="B490" t="str">
        <f t="shared" si="63"/>
        <v/>
      </c>
      <c r="C490" t="str">
        <f t="shared" si="64"/>
        <v/>
      </c>
      <c r="K490" t="str">
        <f t="shared" si="65"/>
        <v/>
      </c>
      <c r="N490" t="str">
        <f t="shared" si="66"/>
        <v/>
      </c>
      <c r="O490" t="str">
        <f t="shared" si="67"/>
        <v/>
      </c>
      <c r="Q490" t="str">
        <f t="shared" si="68"/>
        <v/>
      </c>
      <c r="V490" t="str">
        <f t="shared" si="69"/>
        <v/>
      </c>
      <c r="Y490" t="str">
        <f t="shared" si="70"/>
        <v>A_CONTROLER</v>
      </c>
      <c r="Z490" t="str">
        <f t="shared" si="71"/>
        <v>A_CONTROLER</v>
      </c>
    </row>
    <row r="491" spans="2:26" x14ac:dyDescent="0.25">
      <c r="B491" t="str">
        <f t="shared" si="63"/>
        <v/>
      </c>
      <c r="C491" t="str">
        <f t="shared" si="64"/>
        <v/>
      </c>
      <c r="K491" t="str">
        <f t="shared" si="65"/>
        <v/>
      </c>
      <c r="N491" t="str">
        <f t="shared" si="66"/>
        <v/>
      </c>
      <c r="O491" t="str">
        <f t="shared" si="67"/>
        <v/>
      </c>
      <c r="Q491" t="str">
        <f t="shared" si="68"/>
        <v/>
      </c>
      <c r="V491" t="str">
        <f t="shared" si="69"/>
        <v/>
      </c>
      <c r="Y491" t="str">
        <f t="shared" si="70"/>
        <v>A_CONTROLER</v>
      </c>
      <c r="Z491" t="str">
        <f t="shared" si="71"/>
        <v>A_CONTROLER</v>
      </c>
    </row>
    <row r="492" spans="2:26" x14ac:dyDescent="0.25">
      <c r="B492" t="str">
        <f t="shared" si="63"/>
        <v/>
      </c>
      <c r="C492" t="str">
        <f t="shared" si="64"/>
        <v/>
      </c>
      <c r="K492" t="str">
        <f t="shared" si="65"/>
        <v/>
      </c>
      <c r="N492" t="str">
        <f t="shared" si="66"/>
        <v/>
      </c>
      <c r="O492" t="str">
        <f t="shared" si="67"/>
        <v/>
      </c>
      <c r="Q492" t="str">
        <f t="shared" si="68"/>
        <v/>
      </c>
      <c r="V492" t="str">
        <f t="shared" si="69"/>
        <v/>
      </c>
      <c r="Y492" t="str">
        <f t="shared" si="70"/>
        <v>A_CONTROLER</v>
      </c>
      <c r="Z492" t="str">
        <f t="shared" si="71"/>
        <v>A_CONTROLER</v>
      </c>
    </row>
    <row r="493" spans="2:26" x14ac:dyDescent="0.25">
      <c r="B493" t="str">
        <f t="shared" si="63"/>
        <v/>
      </c>
      <c r="C493" t="str">
        <f t="shared" si="64"/>
        <v/>
      </c>
      <c r="K493" t="str">
        <f t="shared" si="65"/>
        <v/>
      </c>
      <c r="N493" t="str">
        <f t="shared" si="66"/>
        <v/>
      </c>
      <c r="O493" t="str">
        <f t="shared" si="67"/>
        <v/>
      </c>
      <c r="Q493" t="str">
        <f t="shared" si="68"/>
        <v/>
      </c>
      <c r="V493" t="str">
        <f t="shared" si="69"/>
        <v/>
      </c>
      <c r="Y493" t="str">
        <f t="shared" si="70"/>
        <v>A_CONTROLER</v>
      </c>
      <c r="Z493" t="str">
        <f t="shared" si="71"/>
        <v>A_CONTROLER</v>
      </c>
    </row>
    <row r="494" spans="2:26" x14ac:dyDescent="0.25">
      <c r="B494" t="str">
        <f t="shared" si="63"/>
        <v/>
      </c>
      <c r="C494" t="str">
        <f t="shared" si="64"/>
        <v/>
      </c>
      <c r="K494" t="str">
        <f t="shared" si="65"/>
        <v/>
      </c>
      <c r="N494" t="str">
        <f t="shared" si="66"/>
        <v/>
      </c>
      <c r="O494" t="str">
        <f t="shared" si="67"/>
        <v/>
      </c>
      <c r="Q494" t="str">
        <f t="shared" si="68"/>
        <v/>
      </c>
      <c r="V494" t="str">
        <f t="shared" si="69"/>
        <v/>
      </c>
      <c r="Y494" t="str">
        <f t="shared" si="70"/>
        <v>A_CONTROLER</v>
      </c>
      <c r="Z494" t="str">
        <f t="shared" si="71"/>
        <v>A_CONTROLER</v>
      </c>
    </row>
    <row r="495" spans="2:26" x14ac:dyDescent="0.25">
      <c r="B495" t="str">
        <f t="shared" si="63"/>
        <v/>
      </c>
      <c r="C495" t="str">
        <f t="shared" si="64"/>
        <v/>
      </c>
      <c r="K495" t="str">
        <f t="shared" si="65"/>
        <v/>
      </c>
      <c r="N495" t="str">
        <f t="shared" si="66"/>
        <v/>
      </c>
      <c r="O495" t="str">
        <f t="shared" si="67"/>
        <v/>
      </c>
      <c r="Q495" t="str">
        <f t="shared" si="68"/>
        <v/>
      </c>
      <c r="V495" t="str">
        <f t="shared" si="69"/>
        <v/>
      </c>
      <c r="Y495" t="str">
        <f t="shared" si="70"/>
        <v>A_CONTROLER</v>
      </c>
      <c r="Z495" t="str">
        <f t="shared" si="71"/>
        <v>A_CONTROLER</v>
      </c>
    </row>
    <row r="496" spans="2:26" x14ac:dyDescent="0.25">
      <c r="B496" t="str">
        <f t="shared" si="63"/>
        <v/>
      </c>
      <c r="C496" t="str">
        <f t="shared" si="64"/>
        <v/>
      </c>
      <c r="K496" t="str">
        <f t="shared" si="65"/>
        <v/>
      </c>
      <c r="N496" t="str">
        <f t="shared" si="66"/>
        <v/>
      </c>
      <c r="O496" t="str">
        <f t="shared" si="67"/>
        <v/>
      </c>
      <c r="Q496" t="str">
        <f t="shared" si="68"/>
        <v/>
      </c>
      <c r="V496" t="str">
        <f t="shared" si="69"/>
        <v/>
      </c>
      <c r="Y496" t="str">
        <f t="shared" si="70"/>
        <v>A_CONTROLER</v>
      </c>
      <c r="Z496" t="str">
        <f t="shared" si="71"/>
        <v>A_CONTROLER</v>
      </c>
    </row>
    <row r="497" spans="2:26" x14ac:dyDescent="0.25">
      <c r="B497" t="str">
        <f t="shared" si="63"/>
        <v/>
      </c>
      <c r="C497" t="str">
        <f t="shared" si="64"/>
        <v/>
      </c>
      <c r="K497" t="str">
        <f t="shared" si="65"/>
        <v/>
      </c>
      <c r="N497" t="str">
        <f t="shared" si="66"/>
        <v/>
      </c>
      <c r="O497" t="str">
        <f t="shared" si="67"/>
        <v/>
      </c>
      <c r="Q497" t="str">
        <f t="shared" si="68"/>
        <v/>
      </c>
      <c r="V497" t="str">
        <f t="shared" si="69"/>
        <v/>
      </c>
      <c r="Y497" t="str">
        <f t="shared" si="70"/>
        <v>A_CONTROLER</v>
      </c>
      <c r="Z497" t="str">
        <f t="shared" si="71"/>
        <v>A_CONTROLER</v>
      </c>
    </row>
    <row r="498" spans="2:26" x14ac:dyDescent="0.25">
      <c r="B498" t="str">
        <f t="shared" si="63"/>
        <v/>
      </c>
      <c r="C498" t="str">
        <f t="shared" si="64"/>
        <v/>
      </c>
      <c r="K498" t="str">
        <f t="shared" si="65"/>
        <v/>
      </c>
      <c r="N498" t="str">
        <f t="shared" si="66"/>
        <v/>
      </c>
      <c r="O498" t="str">
        <f t="shared" si="67"/>
        <v/>
      </c>
      <c r="Q498" t="str">
        <f t="shared" si="68"/>
        <v/>
      </c>
      <c r="V498" t="str">
        <f t="shared" si="69"/>
        <v/>
      </c>
      <c r="Y498" t="str">
        <f t="shared" si="70"/>
        <v>A_CONTROLER</v>
      </c>
      <c r="Z498" t="str">
        <f t="shared" si="71"/>
        <v>A_CONTROLER</v>
      </c>
    </row>
    <row r="499" spans="2:26" x14ac:dyDescent="0.25">
      <c r="B499" t="str">
        <f t="shared" si="63"/>
        <v/>
      </c>
      <c r="C499" t="str">
        <f t="shared" si="64"/>
        <v/>
      </c>
      <c r="K499" t="str">
        <f t="shared" si="65"/>
        <v/>
      </c>
      <c r="N499" t="str">
        <f t="shared" si="66"/>
        <v/>
      </c>
      <c r="O499" t="str">
        <f t="shared" si="67"/>
        <v/>
      </c>
      <c r="Q499" t="str">
        <f t="shared" si="68"/>
        <v/>
      </c>
      <c r="V499" t="str">
        <f t="shared" si="69"/>
        <v/>
      </c>
      <c r="Y499" t="str">
        <f t="shared" si="70"/>
        <v>A_CONTROLER</v>
      </c>
      <c r="Z499" t="str">
        <f t="shared" si="71"/>
        <v>A_CONTROLER</v>
      </c>
    </row>
    <row r="500" spans="2:26" x14ac:dyDescent="0.25">
      <c r="B500" t="str">
        <f t="shared" si="63"/>
        <v/>
      </c>
      <c r="C500" t="str">
        <f t="shared" si="64"/>
        <v/>
      </c>
      <c r="K500" t="str">
        <f t="shared" si="65"/>
        <v/>
      </c>
      <c r="N500" t="str">
        <f t="shared" si="66"/>
        <v/>
      </c>
      <c r="O500" t="str">
        <f t="shared" si="67"/>
        <v/>
      </c>
      <c r="Q500" t="str">
        <f t="shared" si="68"/>
        <v/>
      </c>
      <c r="V500" t="str">
        <f t="shared" si="69"/>
        <v/>
      </c>
      <c r="Y500" t="str">
        <f t="shared" si="70"/>
        <v>A_CONTROLER</v>
      </c>
      <c r="Z500" t="str">
        <f t="shared" si="71"/>
        <v>A_CONTROLER</v>
      </c>
    </row>
    <row r="501" spans="2:26" x14ac:dyDescent="0.25">
      <c r="B501" t="str">
        <f t="shared" si="63"/>
        <v/>
      </c>
      <c r="C501" t="str">
        <f t="shared" si="64"/>
        <v/>
      </c>
      <c r="K501" t="str">
        <f t="shared" si="65"/>
        <v/>
      </c>
      <c r="N501" t="str">
        <f t="shared" si="66"/>
        <v/>
      </c>
      <c r="O501" t="str">
        <f t="shared" si="67"/>
        <v/>
      </c>
      <c r="Q501" t="str">
        <f t="shared" si="68"/>
        <v/>
      </c>
      <c r="V501" t="str">
        <f t="shared" si="69"/>
        <v/>
      </c>
      <c r="Y501" t="str">
        <f t="shared" si="70"/>
        <v>A_CONTROLER</v>
      </c>
      <c r="Z501" t="str">
        <f t="shared" si="71"/>
        <v>A_CONTROLER</v>
      </c>
    </row>
  </sheetData>
  <conditionalFormatting sqref="A2:AD501">
    <cfRule type="expression" dxfId="1" priority="1">
      <formula>$AB2="BLOQUANT"</formula>
    </cfRule>
    <cfRule type="expression" dxfId="0" priority="2">
      <formula>$AB2="A_CONTROLER"</formula>
    </cfRule>
  </conditionalFormatting>
  <dataValidations count="11">
    <dataValidation type="list" allowBlank="1" showErrorMessage="1" errorTitle="Valeur invalide" error="Valeur hors liste. Utiliser la liste deroulante." sqref="D2:D501" xr:uid="{00000000-0002-0000-0000-000000000000}">
      <formula1>lst_Canaux</formula1>
    </dataValidation>
    <dataValidation type="list" allowBlank="1" showErrorMessage="1" errorTitle="Valeur invalide" error="Valeur hors liste. Utiliser la liste deroulante." sqref="E2:E501" xr:uid="{00000000-0002-0000-0000-000001000000}">
      <formula1>lst_Source_Financiere</formula1>
    </dataValidation>
    <dataValidation type="list" allowBlank="1" showErrorMessage="1" errorTitle="Valeur invalide" error="Valeur hors liste. Utiliser la liste deroulante." sqref="F2:F501" xr:uid="{00000000-0002-0000-0000-000002000000}">
      <formula1>lst_Proprietaires</formula1>
    </dataValidation>
    <dataValidation type="list" allowBlank="1" showErrorMessage="1" errorTitle="Valeur invalide" error="Valeur hors liste. Utiliser la liste deroulante." sqref="G2:G501" xr:uid="{00000000-0002-0000-0000-000003000000}">
      <formula1>lst_Logements</formula1>
    </dataValidation>
    <dataValidation type="list" allowBlank="1" showErrorMessage="1" errorTitle="Valeur invalide" error="Valeur hors liste. Utiliser la liste deroulante." sqref="O2:O501" xr:uid="{00000000-0002-0000-0000-000004000000}">
      <formula1>lst_TauxCommissionSource</formula1>
    </dataValidation>
    <dataValidation type="list" allowBlank="1" showErrorMessage="1" errorTitle="Valeur invalide" error="Valeur hors liste. Utiliser la liste deroulante." sqref="S2:S501" xr:uid="{00000000-0002-0000-0000-000005000000}">
      <formula1>lst_Associes</formula1>
    </dataValidation>
    <dataValidation type="list" allowBlank="1" showErrorMessage="1" errorTitle="Valeur invalide" error="Valeur hors liste. Utiliser la liste deroulante." sqref="U2:U501" xr:uid="{00000000-0002-0000-0000-000006000000}">
      <formula1>lst_ModesPaiement</formula1>
    </dataValidation>
    <dataValidation type="list" allowBlank="1" showErrorMessage="1" errorTitle="Valeur invalide" error="Valeur hors liste. Utiliser la liste deroulante." sqref="W2:W501" xr:uid="{00000000-0002-0000-0000-000007000000}">
      <formula1>lst_Codes_Impact</formula1>
    </dataValidation>
    <dataValidation type="list" allowBlank="1" showErrorMessage="1" errorTitle="Valeur invalide" error="Valeur hors liste. Utiliser la liste deroulante." sqref="X2:X501" xr:uid="{00000000-0002-0000-0000-000008000000}">
      <formula1>lst_Comptabilisation</formula1>
    </dataValidation>
    <dataValidation type="list" allowBlank="1" showErrorMessage="1" errorTitle="Valeur invalide" error="Valeur hors liste. Utiliser la liste deroulante." sqref="AA2:AA501" xr:uid="{00000000-0002-0000-0000-000009000000}">
      <formula1>lst_Statuts_Controle</formula1>
    </dataValidation>
    <dataValidation type="list" allowBlank="1" showErrorMessage="1" errorTitle="Valeur invalide" error="Valeur hors liste. Utiliser la liste deroulante." sqref="AB2:AB501" xr:uid="{00000000-0002-0000-0000-00000A000000}">
      <formula1>lst_Niveau_Anomalie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9" customWidth="1"/>
    <col min="3" max="3" width="20" customWidth="1"/>
    <col min="4" max="4" width="14" customWidth="1"/>
    <col min="5" max="5" width="19" customWidth="1"/>
    <col min="6" max="6" width="23" customWidth="1"/>
    <col min="7" max="7" width="26" customWidth="1"/>
    <col min="8" max="8" width="18" customWidth="1"/>
    <col min="9" max="10" width="22" customWidth="1"/>
    <col min="11" max="11" width="21" customWidth="1"/>
  </cols>
  <sheetData>
    <row r="1" spans="1:14" x14ac:dyDescent="0.25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M1" s="12" t="s">
        <v>59</v>
      </c>
      <c r="N1" s="12" t="s">
        <v>60</v>
      </c>
    </row>
    <row r="2" spans="1:14" x14ac:dyDescent="0.25">
      <c r="A2" t="s">
        <v>41</v>
      </c>
      <c r="B2" t="s">
        <v>43</v>
      </c>
      <c r="C2" t="s">
        <v>44</v>
      </c>
      <c r="D2" t="s">
        <v>61</v>
      </c>
      <c r="E2" t="s">
        <v>62</v>
      </c>
      <c r="F2" t="s">
        <v>42</v>
      </c>
      <c r="G2" t="s">
        <v>63</v>
      </c>
      <c r="H2" t="s">
        <v>35</v>
      </c>
      <c r="I2" t="s">
        <v>45</v>
      </c>
      <c r="J2" t="s">
        <v>37</v>
      </c>
      <c r="K2" t="s">
        <v>38</v>
      </c>
      <c r="M2" t="s">
        <v>43</v>
      </c>
      <c r="N2">
        <v>0.18</v>
      </c>
    </row>
    <row r="3" spans="1:14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36</v>
      </c>
      <c r="J3" t="s">
        <v>46</v>
      </c>
      <c r="K3" t="s">
        <v>46</v>
      </c>
      <c r="M3" t="s">
        <v>65</v>
      </c>
      <c r="N3">
        <v>0.15</v>
      </c>
    </row>
    <row r="4" spans="1:14" x14ac:dyDescent="0.25">
      <c r="A4" t="s">
        <v>72</v>
      </c>
      <c r="B4" t="s">
        <v>33</v>
      </c>
      <c r="C4" t="s">
        <v>73</v>
      </c>
      <c r="E4" t="s">
        <v>74</v>
      </c>
      <c r="F4" t="s">
        <v>75</v>
      </c>
      <c r="G4" t="s">
        <v>42</v>
      </c>
      <c r="H4" t="s">
        <v>76</v>
      </c>
      <c r="J4" t="s">
        <v>77</v>
      </c>
      <c r="K4" t="s">
        <v>78</v>
      </c>
      <c r="M4" t="s">
        <v>33</v>
      </c>
      <c r="N4">
        <v>0.15</v>
      </c>
    </row>
    <row r="5" spans="1:14" x14ac:dyDescent="0.25">
      <c r="A5" t="s">
        <v>31</v>
      </c>
      <c r="B5" t="s">
        <v>79</v>
      </c>
      <c r="C5" t="s">
        <v>80</v>
      </c>
      <c r="E5" t="s">
        <v>81</v>
      </c>
      <c r="F5" t="s">
        <v>32</v>
      </c>
      <c r="G5" t="s">
        <v>46</v>
      </c>
      <c r="J5" t="s">
        <v>82</v>
      </c>
      <c r="M5" t="s">
        <v>79</v>
      </c>
      <c r="N5">
        <v>0.15</v>
      </c>
    </row>
    <row r="6" spans="1:14" x14ac:dyDescent="0.25">
      <c r="A6" t="s">
        <v>83</v>
      </c>
      <c r="B6" t="s">
        <v>84</v>
      </c>
      <c r="C6" t="s">
        <v>85</v>
      </c>
      <c r="E6" t="s">
        <v>86</v>
      </c>
      <c r="F6" t="s">
        <v>46</v>
      </c>
      <c r="M6" t="s">
        <v>84</v>
      </c>
      <c r="N6">
        <v>0.19</v>
      </c>
    </row>
    <row r="7" spans="1:14" x14ac:dyDescent="0.25">
      <c r="B7" t="s">
        <v>87</v>
      </c>
      <c r="C7" t="s">
        <v>88</v>
      </c>
      <c r="M7" t="s">
        <v>87</v>
      </c>
      <c r="N7">
        <v>0.15</v>
      </c>
    </row>
    <row r="8" spans="1:14" x14ac:dyDescent="0.25">
      <c r="B8" t="s">
        <v>89</v>
      </c>
      <c r="C8" t="s">
        <v>90</v>
      </c>
      <c r="M8" t="s">
        <v>89</v>
      </c>
      <c r="N8">
        <v>0.19</v>
      </c>
    </row>
    <row r="9" spans="1:14" x14ac:dyDescent="0.25">
      <c r="B9" t="s">
        <v>91</v>
      </c>
      <c r="C9" t="s">
        <v>34</v>
      </c>
      <c r="M9" t="s">
        <v>91</v>
      </c>
      <c r="N9">
        <v>0.19</v>
      </c>
    </row>
    <row r="10" spans="1:14" x14ac:dyDescent="0.25">
      <c r="B10" t="s">
        <v>92</v>
      </c>
      <c r="C10" t="s">
        <v>93</v>
      </c>
      <c r="M10" t="s">
        <v>92</v>
      </c>
      <c r="N10">
        <v>0.18</v>
      </c>
    </row>
    <row r="11" spans="1:14" x14ac:dyDescent="0.25">
      <c r="B11" t="s">
        <v>94</v>
      </c>
      <c r="C11" t="s">
        <v>95</v>
      </c>
      <c r="M11" t="s">
        <v>94</v>
      </c>
      <c r="N11">
        <v>0.19</v>
      </c>
    </row>
    <row r="12" spans="1:14" x14ac:dyDescent="0.25">
      <c r="B12" t="s">
        <v>96</v>
      </c>
      <c r="C12" t="s">
        <v>97</v>
      </c>
      <c r="M12" t="s">
        <v>96</v>
      </c>
      <c r="N12">
        <v>0.15</v>
      </c>
    </row>
    <row r="13" spans="1:14" x14ac:dyDescent="0.25">
      <c r="B13" t="s">
        <v>98</v>
      </c>
      <c r="C13" t="s">
        <v>99</v>
      </c>
      <c r="M13" t="s">
        <v>98</v>
      </c>
      <c r="N13">
        <v>0.12</v>
      </c>
    </row>
    <row r="14" spans="1:14" x14ac:dyDescent="0.25">
      <c r="C14" t="s">
        <v>100</v>
      </c>
    </row>
    <row r="15" spans="1:14" x14ac:dyDescent="0.25">
      <c r="C15" t="s">
        <v>101</v>
      </c>
    </row>
    <row r="16" spans="1:14" x14ac:dyDescent="0.25">
      <c r="C16" t="s">
        <v>102</v>
      </c>
    </row>
    <row r="17" spans="3:3" x14ac:dyDescent="0.25">
      <c r="C17" t="s">
        <v>103</v>
      </c>
    </row>
    <row r="18" spans="3:3" x14ac:dyDescent="0.25">
      <c r="C18" t="s">
        <v>104</v>
      </c>
    </row>
    <row r="19" spans="3:3" x14ac:dyDescent="0.25">
      <c r="C19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55" customWidth="1"/>
    <col min="3" max="3" width="65" customWidth="1"/>
    <col min="4" max="4" width="22" customWidth="1"/>
    <col min="5" max="5" width="55" customWidth="1"/>
  </cols>
  <sheetData>
    <row r="1" spans="1:5" x14ac:dyDescent="0.25">
      <c r="A1" s="11" t="s">
        <v>106</v>
      </c>
      <c r="B1" s="11" t="s">
        <v>107</v>
      </c>
      <c r="C1" s="11" t="s">
        <v>108</v>
      </c>
      <c r="D1" s="11" t="s">
        <v>109</v>
      </c>
      <c r="E1" s="11" t="s">
        <v>110</v>
      </c>
    </row>
    <row r="2" spans="1:5" x14ac:dyDescent="0.25">
      <c r="A2" t="s">
        <v>111</v>
      </c>
      <c r="B2" t="s">
        <v>112</v>
      </c>
      <c r="C2">
        <f>MAX(0,COUNTA(SAISIE!A:A)-1)</f>
        <v>2</v>
      </c>
      <c r="D2" t="s">
        <v>38</v>
      </c>
    </row>
    <row r="3" spans="1:5" x14ac:dyDescent="0.25">
      <c r="A3" t="s">
        <v>113</v>
      </c>
      <c r="B3" t="s">
        <v>114</v>
      </c>
      <c r="C3">
        <f>COUNTIF(SAISIE!AA:AA,"VALIDE")</f>
        <v>1</v>
      </c>
      <c r="D3" t="s">
        <v>38</v>
      </c>
    </row>
    <row r="4" spans="1:5" x14ac:dyDescent="0.25">
      <c r="A4" t="s">
        <v>115</v>
      </c>
      <c r="B4" t="s">
        <v>116</v>
      </c>
      <c r="C4">
        <f>COUNTIF(SAISIE!AA:AA,"A_CONTROLER")</f>
        <v>1</v>
      </c>
      <c r="D4" t="s">
        <v>117</v>
      </c>
    </row>
    <row r="5" spans="1:5" x14ac:dyDescent="0.25">
      <c r="A5" t="s">
        <v>118</v>
      </c>
      <c r="B5" t="s">
        <v>119</v>
      </c>
      <c r="C5">
        <f>COUNTIF(SAISIE!AA:AA,"EXCLU_RESULTAT")</f>
        <v>0</v>
      </c>
      <c r="D5" t="s">
        <v>38</v>
      </c>
    </row>
    <row r="6" spans="1:5" x14ac:dyDescent="0.25">
      <c r="A6" t="s">
        <v>120</v>
      </c>
      <c r="B6" t="s">
        <v>121</v>
      </c>
      <c r="C6">
        <f>COUNTIF(SAISIE!AA:AA,"A_VENTILER")</f>
        <v>0</v>
      </c>
      <c r="D6" t="s">
        <v>117</v>
      </c>
    </row>
    <row r="7" spans="1:5" x14ac:dyDescent="0.25">
      <c r="A7" t="s">
        <v>122</v>
      </c>
      <c r="B7" t="s">
        <v>123</v>
      </c>
      <c r="C7">
        <f>COUNTIF(SAISIE!AB:AB,"BLOQUANT")</f>
        <v>0</v>
      </c>
      <c r="D7" t="s">
        <v>124</v>
      </c>
      <c r="E7" t="s">
        <v>125</v>
      </c>
    </row>
    <row r="8" spans="1:5" x14ac:dyDescent="0.25">
      <c r="A8" t="s">
        <v>126</v>
      </c>
      <c r="B8" t="s">
        <v>127</v>
      </c>
      <c r="C8">
        <f>SUMPRODUCT((COUNTIF(SAISIE!A2:A501,SAISIE!A2:A501)-1)*(SAISIE!A2:A501&lt;&gt;""))</f>
        <v>0</v>
      </c>
      <c r="D8" t="s">
        <v>124</v>
      </c>
      <c r="E8" t="s">
        <v>128</v>
      </c>
    </row>
    <row r="9" spans="1:5" x14ac:dyDescent="0.25">
      <c r="A9" t="s">
        <v>129</v>
      </c>
      <c r="B9" t="s">
        <v>130</v>
      </c>
      <c r="C9">
        <f>COUNTIFS(SAISIE!A2:A501,"&lt;&gt;",SAISIE!F2:F501,"")</f>
        <v>0</v>
      </c>
      <c r="D9" t="s">
        <v>124</v>
      </c>
      <c r="E9" t="s">
        <v>131</v>
      </c>
    </row>
    <row r="10" spans="1:5" x14ac:dyDescent="0.25">
      <c r="A10" t="s">
        <v>132</v>
      </c>
      <c r="B10" t="s">
        <v>133</v>
      </c>
      <c r="C10">
        <f>COUNTIFS(SAISIE!A2:A501,"&lt;&gt;",SAISIE!G2:G501,"")</f>
        <v>0</v>
      </c>
      <c r="D10" t="s">
        <v>124</v>
      </c>
      <c r="E10" t="s">
        <v>134</v>
      </c>
    </row>
    <row r="11" spans="1:5" x14ac:dyDescent="0.25">
      <c r="A11" t="s">
        <v>135</v>
      </c>
      <c r="B11" t="s">
        <v>136</v>
      </c>
      <c r="C11">
        <f>COUNTIFS(SAISIE!A2:A501,"&lt;&gt;",SAISIE!D2:D501,"")</f>
        <v>0</v>
      </c>
      <c r="D11" t="s">
        <v>124</v>
      </c>
      <c r="E11" t="s">
        <v>137</v>
      </c>
    </row>
    <row r="12" spans="1:5" x14ac:dyDescent="0.25">
      <c r="A12" t="s">
        <v>138</v>
      </c>
      <c r="B12" t="s">
        <v>139</v>
      </c>
      <c r="C12">
        <f>COUNTIFS(SAISIE!A2:A501,"&lt;&gt;",SAISIE!E2:E501,"")</f>
        <v>0</v>
      </c>
      <c r="D12" t="s">
        <v>124</v>
      </c>
      <c r="E12" t="s">
        <v>140</v>
      </c>
    </row>
    <row r="13" spans="1:5" x14ac:dyDescent="0.25">
      <c r="A13" t="s">
        <v>141</v>
      </c>
      <c r="B13" t="s">
        <v>142</v>
      </c>
      <c r="C13">
        <f>COUNTIF(SAISIE!V2:V501,"&lt;0")</f>
        <v>0</v>
      </c>
      <c r="D13" t="s">
        <v>124</v>
      </c>
      <c r="E13" t="s">
        <v>143</v>
      </c>
    </row>
    <row r="14" spans="1:5" x14ac:dyDescent="0.25">
      <c r="A14" t="s">
        <v>144</v>
      </c>
      <c r="B14" t="s">
        <v>145</v>
      </c>
      <c r="C14">
        <f>COUNTIFS(SAISIE!E2:E501,"VRBO_UNKNOWN",SAISIE!L2:L501,"")</f>
        <v>0</v>
      </c>
      <c r="D14" t="s">
        <v>146</v>
      </c>
      <c r="E14" t="s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5"/>
  <sheetViews>
    <sheetView workbookViewId="0"/>
  </sheetViews>
  <sheetFormatPr baseColWidth="10" defaultColWidth="9.140625" defaultRowHeight="15" x14ac:dyDescent="0.25"/>
  <cols>
    <col min="1" max="1" width="95" customWidth="1"/>
  </cols>
  <sheetData>
    <row r="1" spans="1:1" ht="15.75" x14ac:dyDescent="0.25">
      <c r="A1" s="13" t="s">
        <v>148</v>
      </c>
    </row>
    <row r="2" spans="1:1" x14ac:dyDescent="0.25">
      <c r="A2" s="14"/>
    </row>
    <row r="3" spans="1:1" ht="15.75" x14ac:dyDescent="0.25">
      <c r="A3" s="13" t="s">
        <v>149</v>
      </c>
    </row>
    <row r="4" spans="1:1" x14ac:dyDescent="0.25">
      <c r="A4" s="14" t="s">
        <v>150</v>
      </c>
    </row>
    <row r="5" spans="1:1" x14ac:dyDescent="0.25">
      <c r="A5" s="14" t="s">
        <v>151</v>
      </c>
    </row>
    <row r="6" spans="1:1" x14ac:dyDescent="0.25">
      <c r="A6" s="14" t="s">
        <v>152</v>
      </c>
    </row>
    <row r="7" spans="1:1" x14ac:dyDescent="0.25">
      <c r="A7" s="14" t="s">
        <v>153</v>
      </c>
    </row>
    <row r="8" spans="1:1" x14ac:dyDescent="0.25">
      <c r="A8" s="14" t="s">
        <v>154</v>
      </c>
    </row>
    <row r="9" spans="1:1" x14ac:dyDescent="0.25">
      <c r="A9" s="14"/>
    </row>
    <row r="10" spans="1:1" ht="15.75" x14ac:dyDescent="0.25">
      <c r="A10" s="13" t="s">
        <v>155</v>
      </c>
    </row>
    <row r="11" spans="1:1" x14ac:dyDescent="0.25">
      <c r="A11" s="14" t="s">
        <v>156</v>
      </c>
    </row>
    <row r="12" spans="1:1" x14ac:dyDescent="0.25">
      <c r="A12" s="14" t="s">
        <v>157</v>
      </c>
    </row>
    <row r="13" spans="1:1" x14ac:dyDescent="0.25">
      <c r="A13" s="14" t="s">
        <v>158</v>
      </c>
    </row>
    <row r="14" spans="1:1" x14ac:dyDescent="0.25">
      <c r="A14" s="14" t="s">
        <v>159</v>
      </c>
    </row>
    <row r="15" spans="1:1" x14ac:dyDescent="0.25">
      <c r="A15" s="14" t="s">
        <v>160</v>
      </c>
    </row>
    <row r="16" spans="1:1" x14ac:dyDescent="0.25">
      <c r="A16" s="14" t="s">
        <v>161</v>
      </c>
    </row>
    <row r="17" spans="1:1" x14ac:dyDescent="0.25">
      <c r="A17" s="14" t="s">
        <v>162</v>
      </c>
    </row>
    <row r="18" spans="1:1" x14ac:dyDescent="0.25">
      <c r="A18" s="14" t="s">
        <v>163</v>
      </c>
    </row>
    <row r="19" spans="1:1" x14ac:dyDescent="0.25">
      <c r="A19" s="14" t="s">
        <v>164</v>
      </c>
    </row>
    <row r="20" spans="1:1" x14ac:dyDescent="0.25">
      <c r="A20" s="14" t="s">
        <v>165</v>
      </c>
    </row>
    <row r="21" spans="1:1" x14ac:dyDescent="0.25">
      <c r="A21" s="14" t="s">
        <v>166</v>
      </c>
    </row>
    <row r="22" spans="1:1" x14ac:dyDescent="0.25">
      <c r="A22" s="14" t="s">
        <v>167</v>
      </c>
    </row>
    <row r="23" spans="1:1" x14ac:dyDescent="0.25">
      <c r="A23" s="14" t="s">
        <v>168</v>
      </c>
    </row>
    <row r="24" spans="1:1" x14ac:dyDescent="0.25">
      <c r="A24" s="14" t="s">
        <v>169</v>
      </c>
    </row>
    <row r="25" spans="1:1" x14ac:dyDescent="0.25">
      <c r="A25" s="14" t="s">
        <v>170</v>
      </c>
    </row>
    <row r="26" spans="1:1" x14ac:dyDescent="0.25">
      <c r="A26" s="14" t="s">
        <v>171</v>
      </c>
    </row>
    <row r="27" spans="1:1" x14ac:dyDescent="0.25">
      <c r="A27" s="14" t="s">
        <v>172</v>
      </c>
    </row>
    <row r="28" spans="1:1" x14ac:dyDescent="0.25">
      <c r="A28" s="14" t="s">
        <v>173</v>
      </c>
    </row>
    <row r="29" spans="1:1" x14ac:dyDescent="0.25">
      <c r="A29" s="14"/>
    </row>
    <row r="30" spans="1:1" ht="15.75" x14ac:dyDescent="0.25">
      <c r="A30" s="13" t="s">
        <v>174</v>
      </c>
    </row>
    <row r="31" spans="1:1" x14ac:dyDescent="0.25">
      <c r="A31" s="14" t="s">
        <v>175</v>
      </c>
    </row>
    <row r="32" spans="1:1" x14ac:dyDescent="0.25">
      <c r="A32" s="14" t="s">
        <v>176</v>
      </c>
    </row>
    <row r="33" spans="1:1" x14ac:dyDescent="0.25">
      <c r="A33" s="14" t="s">
        <v>177</v>
      </c>
    </row>
    <row r="34" spans="1:1" x14ac:dyDescent="0.25">
      <c r="A34" s="14" t="s">
        <v>178</v>
      </c>
    </row>
    <row r="35" spans="1:1" x14ac:dyDescent="0.25">
      <c r="A35" s="14" t="s">
        <v>179</v>
      </c>
    </row>
    <row r="36" spans="1:1" x14ac:dyDescent="0.25">
      <c r="A36" s="14"/>
    </row>
    <row r="37" spans="1:1" ht="15.75" x14ac:dyDescent="0.25">
      <c r="A37" s="13" t="s">
        <v>180</v>
      </c>
    </row>
    <row r="38" spans="1:1" x14ac:dyDescent="0.25">
      <c r="A38" s="14" t="s">
        <v>181</v>
      </c>
    </row>
    <row r="39" spans="1:1" x14ac:dyDescent="0.25">
      <c r="A39" s="14" t="s">
        <v>182</v>
      </c>
    </row>
    <row r="40" spans="1:1" x14ac:dyDescent="0.25">
      <c r="A40" s="14"/>
    </row>
    <row r="41" spans="1:1" ht="15.75" x14ac:dyDescent="0.25">
      <c r="A41" s="13" t="s">
        <v>183</v>
      </c>
    </row>
    <row r="42" spans="1:1" x14ac:dyDescent="0.25">
      <c r="A42" s="14" t="s">
        <v>184</v>
      </c>
    </row>
    <row r="43" spans="1:1" x14ac:dyDescent="0.25">
      <c r="A43" s="14" t="s">
        <v>185</v>
      </c>
    </row>
    <row r="44" spans="1:1" x14ac:dyDescent="0.25">
      <c r="A44" s="14" t="s">
        <v>186</v>
      </c>
    </row>
    <row r="45" spans="1:1" x14ac:dyDescent="0.25">
      <c r="A45" s="14" t="s">
        <v>187</v>
      </c>
    </row>
    <row r="46" spans="1:1" x14ac:dyDescent="0.25">
      <c r="A46" s="14"/>
    </row>
    <row r="47" spans="1:1" ht="15.75" x14ac:dyDescent="0.25">
      <c r="A47" s="13" t="s">
        <v>188</v>
      </c>
    </row>
    <row r="48" spans="1:1" x14ac:dyDescent="0.25">
      <c r="A48" s="14" t="s">
        <v>189</v>
      </c>
    </row>
    <row r="49" spans="1:1" x14ac:dyDescent="0.25">
      <c r="A49" s="14" t="s">
        <v>190</v>
      </c>
    </row>
    <row r="50" spans="1:1" x14ac:dyDescent="0.25">
      <c r="A50" s="14" t="s">
        <v>191</v>
      </c>
    </row>
    <row r="51" spans="1:1" x14ac:dyDescent="0.25">
      <c r="A51" s="14" t="s">
        <v>192</v>
      </c>
    </row>
    <row r="52" spans="1:1" x14ac:dyDescent="0.25">
      <c r="A52" s="14" t="s">
        <v>193</v>
      </c>
    </row>
    <row r="53" spans="1:1" x14ac:dyDescent="0.25">
      <c r="A53" s="14" t="s">
        <v>194</v>
      </c>
    </row>
    <row r="54" spans="1:1" x14ac:dyDescent="0.25">
      <c r="A54" s="14" t="s">
        <v>195</v>
      </c>
    </row>
    <row r="55" spans="1:1" x14ac:dyDescent="0.25">
      <c r="A55" s="14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12</vt:i4>
      </vt:variant>
    </vt:vector>
  </HeadingPairs>
  <TitlesOfParts>
    <vt:vector size="16" baseType="lpstr">
      <vt:lpstr>SAISIE</vt:lpstr>
      <vt:lpstr>REF_LOCALE</vt:lpstr>
      <vt:lpstr>CONTROLES_SAISIE</vt:lpstr>
      <vt:lpstr>README</vt:lpstr>
      <vt:lpstr>lst_Associes</vt:lpstr>
      <vt:lpstr>lst_Canaux</vt:lpstr>
      <vt:lpstr>lst_Codes_Impact</vt:lpstr>
      <vt:lpstr>lst_Comptabilisation</vt:lpstr>
      <vt:lpstr>lst_Logements</vt:lpstr>
      <vt:lpstr>lst_ModesPaiement</vt:lpstr>
      <vt:lpstr>lst_Niveau_Anomalie</vt:lpstr>
      <vt:lpstr>lst_Proprietaires</vt:lpstr>
      <vt:lpstr>lst_PropTauxLookup</vt:lpstr>
      <vt:lpstr>lst_Source_Financiere</vt:lpstr>
      <vt:lpstr>lst_Statuts_Controle</vt:lpstr>
      <vt:lpstr>lst_TauxCommissionSource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Ewan Schmitt</cp:lastModifiedBy>
  <dcterms:created xsi:type="dcterms:W3CDTF">2026-06-09T00:32:45Z</dcterms:created>
  <dcterms:modified xsi:type="dcterms:W3CDTF">2026-07-02T15:10:29Z</dcterms:modified>
</cp:coreProperties>
</file>
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REF_LOCALE" sheetId="2" state="visible" r:id="rId2"/>
    <sheet xmlns:r="http://schemas.openxmlformats.org/officeDocument/2006/relationships" name="CONTROLES_SAISIE" sheetId="3" state="visible" r:id="rId3"/>
    <sheet xmlns:r="http://schemas.openxmlformats.org/officeDocument/2006/relationships" name="README" sheetId="4" state="visible" r:id="rId4"/>
  </sheets>
  <definedNames>
    <definedName name="lst_Canaux">'REF_LOCALE'!$A$2:$A$6</definedName>
    <definedName name="lst_Proprietaires">'REF_LOCALE'!$B$2:$B$13</definedName>
    <definedName name="lst_Logements">'REF_LOCALE'!$C$2:$C$19</definedName>
    <definedName name="lst_Associes">'REF_LOCALE'!$D$2:$D$3</definedName>
    <definedName name="lst_ModesPaiement">'REF_LOCALE'!$E$2:$E$6</definedName>
    <definedName name="lst_Source_Financiere">'REF_LOCALE'!$F$2:$F$6</definedName>
    <definedName name="lst_TauxCommissionSource">'REF_LOCALE'!$G$2:$G$5</definedName>
    <definedName name="lst_Codes_Impact">'REF_LOCALE'!$H$2:$H$4</definedName>
    <definedName name="lst_Comptabilisation">'REF_LOCALE'!$I$2:$I$3</definedName>
    <definedName name="lst_Statuts_Controle">'REF_LOCALE'!$J$2:$J$5</definedName>
    <definedName name="lst_Niveau_Anomalie">'REF_LOCALE'!$K$2:$K$4</definedName>
    <definedName name="lst_PropTauxLookup">'REF_LOCALE'!$M$2:$N$13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  <font>
      <b val="1"/>
      <color rgb="001F497D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04040"/>
        <bgColor rgb="0040404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974706"/>
        <bgColor rgb="00974706"/>
      </patternFill>
    </fill>
    <fill>
      <patternFill patternType="solid">
        <fgColor rgb="00C55A11"/>
        <bgColor rgb="00C55A11"/>
      </patternFill>
    </fill>
    <fill>
      <patternFill patternType="solid">
        <fgColor rgb="00833C00"/>
        <bgColor rgb="00833C00"/>
      </patternFill>
    </fill>
    <fill>
      <patternFill patternType="solid">
        <fgColor rgb="00C00000"/>
        <bgColor rgb="00C00000"/>
      </patternFill>
    </fill>
    <fill>
      <patternFill patternType="solid">
        <fgColor rgb="007B0000"/>
        <bgColor rgb="007B0000"/>
      </patternFill>
    </fill>
    <fill>
      <patternFill patternType="solid">
        <fgColor rgb="00595959"/>
        <b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AAAA"/>
          <bgColor rgb="00FFAAAA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2" customWidth="1" min="3" max="3"/>
    <col width="14" customWidth="1" min="4" max="4"/>
    <col width="22" customWidth="1" min="5" max="5"/>
    <col width="14" customWidth="1" min="6" max="6"/>
    <col width="22" customWidth="1" min="7" max="7"/>
    <col width="22" customWidth="1" min="8" max="8"/>
    <col width="14" customWidth="1" min="9" max="9"/>
    <col width="14" customWidth="1" min="10" max="10"/>
    <col width="8" customWidth="1" min="11" max="11"/>
    <col width="14" customWidth="1" min="12" max="12"/>
    <col width="12" customWidth="1" min="13" max="13"/>
    <col width="16" customWidth="1" min="14" max="14"/>
    <col width="24" customWidth="1" min="15" max="15"/>
    <col width="30" customWidth="1" min="16" max="16"/>
    <col width="14" customWidth="1" min="17" max="17"/>
    <col width="14" customWidth="1" min="18" max="18"/>
    <col width="22" customWidth="1" min="19" max="19"/>
    <col width="26" customWidth="1" min="20" max="20"/>
    <col width="18" customWidth="1" min="21" max="21"/>
    <col width="14" customWidth="1" min="22" max="22"/>
    <col width="12" customWidth="1" min="23" max="23"/>
    <col width="16" customWidth="1" min="24" max="24"/>
    <col width="22" customWidth="1" min="25" max="25"/>
    <col width="24" customWidth="1" min="26" max="26"/>
    <col width="18" customWidth="1" min="27" max="27"/>
    <col width="18" customWidth="1" min="28" max="28"/>
    <col width="24" customWidth="1" min="29" max="29"/>
    <col width="30" customWidth="1" min="30" max="30"/>
  </cols>
  <sheetData>
    <row r="1" ht="42" customHeight="1">
      <c r="A1" s="1" t="inlineStr">
        <is>
          <t>reservation_hh_id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canal_id</t>
        </is>
      </c>
      <c r="E1" s="2" t="inlineStr">
        <is>
          <t>source_financiere</t>
        </is>
      </c>
      <c r="F1" s="2" t="inlineStr">
        <is>
          <t>proprietaire_id</t>
        </is>
      </c>
      <c r="G1" s="2" t="inlineStr">
        <is>
          <t>logement_id</t>
        </is>
      </c>
      <c r="H1" s="2" t="inlineStr">
        <is>
          <t>reservation_id_hostaway</t>
        </is>
      </c>
      <c r="I1" s="3" t="inlineStr">
        <is>
          <t>date_arrivee</t>
        </is>
      </c>
      <c r="J1" s="3" t="inlineStr">
        <is>
          <t>date_depart</t>
        </is>
      </c>
      <c r="K1" s="3" t="inlineStr">
        <is>
          <t>nuits</t>
        </is>
      </c>
      <c r="L1" s="4" t="inlineStr">
        <is>
          <t>total_percu</t>
        </is>
      </c>
      <c r="M1" s="4" t="inlineStr">
        <is>
          <t>menage</t>
        </is>
      </c>
      <c r="N1" s="4" t="inlineStr">
        <is>
          <t>taux_commission</t>
        </is>
      </c>
      <c r="O1" s="4" t="inlineStr">
        <is>
          <t>taux_commission_source</t>
        </is>
      </c>
      <c r="P1" s="4" t="inlineStr">
        <is>
          <t>commentaire_taux_commission</t>
        </is>
      </c>
      <c r="Q1" s="4" t="inlineStr">
        <is>
          <t>commission</t>
        </is>
      </c>
      <c r="R1" s="5" t="inlineStr">
        <is>
          <t>montant_recupere</t>
        </is>
      </c>
      <c r="S1" s="5" t="inlineStr">
        <is>
          <t>associe_id_recuperateur</t>
        </is>
      </c>
      <c r="T1" s="6" t="inlineStr">
        <is>
          <t>montant_reverse_proprietaire</t>
        </is>
      </c>
      <c r="U1" s="6" t="inlineStr">
        <is>
          <t>mode_paiement_id</t>
        </is>
      </c>
      <c r="V1" s="7" t="inlineStr">
        <is>
          <t>acompte_facture</t>
        </is>
      </c>
      <c r="W1" s="8" t="inlineStr">
        <is>
          <t>code_impact</t>
        </is>
      </c>
      <c r="X1" s="8" t="inlineStr">
        <is>
          <t>comptabilisation</t>
        </is>
      </c>
      <c r="Y1" s="8" t="inlineStr">
        <is>
          <t>impact_resultat_reel</t>
        </is>
      </c>
      <c r="Z1" s="8" t="inlineStr">
        <is>
          <t>impact_resultat_comptable</t>
        </is>
      </c>
      <c r="AA1" s="9" t="inlineStr">
        <is>
          <t>statut_controle</t>
        </is>
      </c>
      <c r="AB1" s="9" t="inlineStr">
        <is>
          <t>niveau_anomalie</t>
        </is>
      </c>
      <c r="AC1" s="9" t="inlineStr">
        <is>
          <t>code_anomalie</t>
        </is>
      </c>
      <c r="AD1" s="10" t="inlineStr">
        <is>
          <t>commentaire</t>
        </is>
      </c>
    </row>
    <row r="2">
      <c r="A2" t="inlineStr">
        <is>
          <t>RESHH-2026-05-001</t>
        </is>
      </c>
      <c r="B2">
        <f>IF(A2="","",A2&amp;"|"&amp;D2&amp;"|"&amp;F2&amp;"|"&amp;G2&amp;"|"&amp;TEXT(I2,"YYYYMMDD")&amp;"|"&amp;TEXT(L2,"0.00"))</f>
        <v/>
      </c>
      <c r="C2">
        <f>IF(I2="","",TEXT(I2,"YYYY-MM"))</f>
        <v/>
      </c>
      <c r="D2" t="inlineStr">
        <is>
          <t>CANAL_004</t>
        </is>
      </c>
      <c r="E2" t="inlineStr">
        <is>
          <t>DIRECT_HA_PAYANT</t>
        </is>
      </c>
      <c r="F2" t="inlineStr">
        <is>
          <t>PROP_0003</t>
        </is>
      </c>
      <c r="G2" t="inlineStr">
        <is>
          <t>LOG_0009</t>
        </is>
      </c>
      <c r="H2" t="n">
        <v>60559486</v>
      </c>
      <c r="I2" s="15" t="n">
        <v>46167</v>
      </c>
      <c r="J2" s="15" t="n">
        <v>46222</v>
      </c>
      <c r="K2">
        <f>IF(OR(I2="",J2=""),"",J2-I2)</f>
        <v/>
      </c>
      <c r="L2" t="n">
        <v>2343.48</v>
      </c>
      <c r="M2" t="n">
        <v>55</v>
      </c>
      <c r="N2">
        <f>IF(F2="","",IFERROR(VLOOKUP(F2,lst_PropTauxLookup,2,0),""))</f>
        <v/>
      </c>
      <c r="O2">
        <f>IF(F2="","",IF(ISNUMBER(IFERROR(VLOOKUP(F2,lst_PropTauxLookup,2,0),"")),"REF_PROPRIETAIRE","A_CONTROLER"))</f>
        <v/>
      </c>
      <c r="Q2">
        <f>IF(OR(L2="",N2=""),"",IFERROR((L2-IF(M2="",0,M2))*N2,0))</f>
        <v/>
      </c>
      <c r="V2">
        <f>IF(L2="","",L2-IF(M2="",0,M2)-IF(Q2="",0,Q2)-IF(T2="",0,T2))</f>
        <v/>
      </c>
      <c r="W2" t="inlineStr">
        <is>
          <t>HC</t>
        </is>
      </c>
      <c r="X2" t="inlineStr">
        <is>
          <t>NON</t>
        </is>
      </c>
      <c r="Y2">
        <f>IF(W2="IC","OUI",IF(W2="HC","OUI",IF(W2="HR","NON","A_CONTROLER")))</f>
        <v/>
      </c>
      <c r="Z2">
        <f>IF(W2="IC","OUI",IF(W2="HC","NON",IF(W2="HR","NON","A_CONTROLER")))</f>
        <v/>
      </c>
      <c r="AA2" t="inlineStr">
        <is>
          <t>VALIDE</t>
        </is>
      </c>
      <c r="AB2" t="inlineStr">
        <is>
          <t>INFO</t>
        </is>
      </c>
      <c r="AD2" t="inlineStr">
        <is>
          <t>Reservation directe Hostaway 60559486 integree (decision humaine 2026-06-15). Menage standard T3 deduit pour assiette commission.</t>
        </is>
      </c>
    </row>
    <row r="3">
      <c r="B3">
        <f>IF(A3="","",A3&amp;"|"&amp;D3&amp;"|"&amp;F3&amp;"|"&amp;G3&amp;"|"&amp;TEXT(I3,"YYYYMMDD")&amp;"|"&amp;TEXT(L3,"0.00"))</f>
        <v/>
      </c>
      <c r="C3">
        <f>IF(I3="","",TEXT(I3,"YYYY-MM"))</f>
        <v/>
      </c>
      <c r="K3">
        <f>IF(OR(I3="",J3=""),"",J3-I3)</f>
        <v/>
      </c>
      <c r="N3">
        <f>IF(F3="","",IFERROR(VLOOKUP(F3,lst_PropTauxLookup,2,0),""))</f>
        <v/>
      </c>
      <c r="O3">
        <f>IF(F3="","",IF(ISNUMBER(IFERROR(VLOOKUP(F3,lst_PropTauxLookup,2,0),"")),"REF_PROPRIETAIRE","A_CONTROLER"))</f>
        <v/>
      </c>
      <c r="Q3">
        <f>IF(OR(L3="",N3=""),"",IFERROR((L3-IF(M3="",0,M3))*N3,0))</f>
        <v/>
      </c>
      <c r="V3">
        <f>IF(L3="","",L3-IF(M3="",0,M3)-IF(Q3="",0,Q3)-IF(T3="",0,T3))</f>
        <v/>
      </c>
      <c r="Y3">
        <f>IF(W3="IC","OUI",IF(W3="HC","OUI",IF(W3="HR","NON","A_CONTROLER")))</f>
        <v/>
      </c>
      <c r="Z3">
        <f>IF(W3="IC","OUI",IF(W3="HC","NON",IF(W3="HR","NON","A_CONTROLER")))</f>
        <v/>
      </c>
    </row>
    <row r="4">
      <c r="B4">
        <f>IF(A4="","",A4&amp;"|"&amp;D4&amp;"|"&amp;F4&amp;"|"&amp;G4&amp;"|"&amp;TEXT(I4,"YYYYMMDD")&amp;"|"&amp;TEXT(L4,"0.00"))</f>
        <v/>
      </c>
      <c r="C4">
        <f>IF(I4="","",TEXT(I4,"YYYY-MM"))</f>
        <v/>
      </c>
      <c r="K4">
        <f>IF(OR(I4="",J4=""),"",J4-I4)</f>
        <v/>
      </c>
      <c r="N4">
        <f>IF(F4="","",IFERROR(VLOOKUP(F4,lst_PropTauxLookup,2,0),""))</f>
        <v/>
      </c>
      <c r="O4">
        <f>IF(F4="","",IF(ISNUMBER(IFERROR(VLOOKUP(F4,lst_PropTauxLookup,2,0),"")),"REF_PROPRIETAIRE","A_CONTROLER"))</f>
        <v/>
      </c>
      <c r="Q4">
        <f>IF(OR(L4="",N4=""),"",IFERROR((L4-IF(M4="",0,M4))*N4,0))</f>
        <v/>
      </c>
      <c r="V4">
        <f>IF(L4="","",L4-IF(M4="",0,M4)-IF(Q4="",0,Q4)-IF(T4="",0,T4))</f>
        <v/>
      </c>
      <c r="Y4">
        <f>IF(W4="IC","OUI",IF(W4="HC","OUI",IF(W4="HR","NON","A_CONTROLER")))</f>
        <v/>
      </c>
      <c r="Z4">
        <f>IF(W4="IC","OUI",IF(W4="HC","NON",IF(W4="HR","NON","A_CONTROLER")))</f>
        <v/>
      </c>
    </row>
    <row r="5">
      <c r="B5">
        <f>IF(A5="","",A5&amp;"|"&amp;D5&amp;"|"&amp;F5&amp;"|"&amp;G5&amp;"|"&amp;TEXT(I5,"YYYYMMDD")&amp;"|"&amp;TEXT(L5,"0.00"))</f>
        <v/>
      </c>
      <c r="C5">
        <f>IF(I5="","",TEXT(I5,"YYYY-MM"))</f>
        <v/>
      </c>
      <c r="K5">
        <f>IF(OR(I5="",J5=""),"",J5-I5)</f>
        <v/>
      </c>
      <c r="N5">
        <f>IF(F5="","",IFERROR(VLOOKUP(F5,lst_PropTauxLookup,2,0),""))</f>
        <v/>
      </c>
      <c r="O5">
        <f>IF(F5="","",IF(ISNUMBER(IFERROR(VLOOKUP(F5,lst_PropTauxLookup,2,0),"")),"REF_PROPRIETAIRE","A_CONTROLER"))</f>
        <v/>
      </c>
      <c r="Q5">
        <f>IF(OR(L5="",N5=""),"",IFERROR((L5-IF(M5="",0,M5))*N5,0))</f>
        <v/>
      </c>
      <c r="V5">
        <f>IF(L5="","",L5-IF(M5="",0,M5)-IF(Q5="",0,Q5)-IF(T5="",0,T5))</f>
        <v/>
      </c>
      <c r="Y5">
        <f>IF(W5="IC","OUI",IF(W5="HC","OUI",IF(W5="HR","NON","A_CONTROLER")))</f>
        <v/>
      </c>
      <c r="Z5">
        <f>IF(W5="IC","OUI",IF(W5="HC","NON",IF(W5="HR","NON","A_CONTROLER")))</f>
        <v/>
      </c>
    </row>
    <row r="6">
      <c r="B6">
        <f>IF(A6="","",A6&amp;"|"&amp;D6&amp;"|"&amp;F6&amp;"|"&amp;G6&amp;"|"&amp;TEXT(I6,"YYYYMMDD")&amp;"|"&amp;TEXT(L6,"0.00"))</f>
        <v/>
      </c>
      <c r="C6">
        <f>IF(I6="","",TEXT(I6,"YYYY-MM"))</f>
        <v/>
      </c>
      <c r="K6">
        <f>IF(OR(I6="",J6=""),"",J6-I6)</f>
        <v/>
      </c>
      <c r="N6">
        <f>IF(F6="","",IFERROR(VLOOKUP(F6,lst_PropTauxLookup,2,0),""))</f>
        <v/>
      </c>
      <c r="O6">
        <f>IF(F6="","",IF(ISNUMBER(IFERROR(VLOOKUP(F6,lst_PropTauxLookup,2,0),"")),"REF_PROPRIETAIRE","A_CONTROLER"))</f>
        <v/>
      </c>
      <c r="Q6">
        <f>IF(OR(L6="",N6=""),"",IFERROR((L6-IF(M6="",0,M6))*N6,0))</f>
        <v/>
      </c>
      <c r="V6">
        <f>IF(L6="","",L6-IF(M6="",0,M6)-IF(Q6="",0,Q6)-IF(T6="",0,T6))</f>
        <v/>
      </c>
      <c r="Y6">
        <f>IF(W6="IC","OUI",IF(W6="HC","OUI",IF(W6="HR","NON","A_CONTROLER")))</f>
        <v/>
      </c>
      <c r="Z6">
        <f>IF(W6="IC","OUI",IF(W6="HC","NON",IF(W6="HR","NON","A_CONTROLER")))</f>
        <v/>
      </c>
    </row>
    <row r="7">
      <c r="B7">
        <f>IF(A7="","",A7&amp;"|"&amp;D7&amp;"|"&amp;F7&amp;"|"&amp;G7&amp;"|"&amp;TEXT(I7,"YYYYMMDD")&amp;"|"&amp;TEXT(L7,"0.00"))</f>
        <v/>
      </c>
      <c r="C7">
        <f>IF(I7="","",TEXT(I7,"YYYY-MM"))</f>
        <v/>
      </c>
      <c r="K7">
        <f>IF(OR(I7="",J7=""),"",J7-I7)</f>
        <v/>
      </c>
      <c r="N7">
        <f>IF(F7="","",IFERROR(VLOOKUP(F7,lst_PropTauxLookup,2,0),""))</f>
        <v/>
      </c>
      <c r="O7">
        <f>IF(F7="","",IF(ISNUMBER(IFERROR(VLOOKUP(F7,lst_PropTauxLookup,2,0),"")),"REF_PROPRIETAIRE","A_CONTROLER"))</f>
        <v/>
      </c>
      <c r="Q7">
        <f>IF(OR(L7="",N7=""),"",IFERROR((L7-IF(M7="",0,M7))*N7,0))</f>
        <v/>
      </c>
      <c r="V7">
        <f>IF(L7="","",L7-IF(M7="",0,M7)-IF(Q7="",0,Q7)-IF(T7="",0,T7))</f>
        <v/>
      </c>
      <c r="Y7">
        <f>IF(W7="IC","OUI",IF(W7="HC","OUI",IF(W7="HR","NON","A_CONTROLER")))</f>
        <v/>
      </c>
      <c r="Z7">
        <f>IF(W7="IC","OUI",IF(W7="HC","NON",IF(W7="HR","NON","A_CONTROLER")))</f>
        <v/>
      </c>
    </row>
    <row r="8">
      <c r="B8">
        <f>IF(A8="","",A8&amp;"|"&amp;D8&amp;"|"&amp;F8&amp;"|"&amp;G8&amp;"|"&amp;TEXT(I8,"YYYYMMDD")&amp;"|"&amp;TEXT(L8,"0.00"))</f>
        <v/>
      </c>
      <c r="C8">
        <f>IF(I8="","",TEXT(I8,"YYYY-MM"))</f>
        <v/>
      </c>
      <c r="K8">
        <f>IF(OR(I8="",J8=""),"",J8-I8)</f>
        <v/>
      </c>
      <c r="N8">
        <f>IF(F8="","",IFERROR(VLOOKUP(F8,lst_PropTauxLookup,2,0),""))</f>
        <v/>
      </c>
      <c r="O8">
        <f>IF(F8="","",IF(ISNUMBER(IFERROR(VLOOKUP(F8,lst_PropTauxLookup,2,0),"")),"REF_PROPRIETAIRE","A_CONTROLER"))</f>
        <v/>
      </c>
      <c r="Q8">
        <f>IF(OR(L8="",N8=""),"",IFERROR((L8-IF(M8="",0,M8))*N8,0))</f>
        <v/>
      </c>
      <c r="V8">
        <f>IF(L8="","",L8-IF(M8="",0,M8)-IF(Q8="",0,Q8)-IF(T8="",0,T8))</f>
        <v/>
      </c>
      <c r="Y8">
        <f>IF(W8="IC","OUI",IF(W8="HC","OUI",IF(W8="HR","NON","A_CONTROLER")))</f>
        <v/>
      </c>
      <c r="Z8">
        <f>IF(W8="IC","OUI",IF(W8="HC","NON",IF(W8="HR","NON","A_CONTROLER")))</f>
        <v/>
      </c>
    </row>
    <row r="9">
      <c r="B9">
        <f>IF(A9="","",A9&amp;"|"&amp;D9&amp;"|"&amp;F9&amp;"|"&amp;G9&amp;"|"&amp;TEXT(I9,"YYYYMMDD")&amp;"|"&amp;TEXT(L9,"0.00"))</f>
        <v/>
      </c>
      <c r="C9">
        <f>IF(I9="","",TEXT(I9,"YYYY-MM"))</f>
        <v/>
      </c>
      <c r="K9">
        <f>IF(OR(I9="",J9=""),"",J9-I9)</f>
        <v/>
      </c>
      <c r="N9">
        <f>IF(F9="","",IFERROR(VLOOKUP(F9,lst_PropTauxLookup,2,0),""))</f>
        <v/>
      </c>
      <c r="O9">
        <f>IF(F9="","",IF(ISNUMBER(IFERROR(VLOOKUP(F9,lst_PropTauxLookup,2,0),"")),"REF_PROPRIETAIRE","A_CONTROLER"))</f>
        <v/>
      </c>
      <c r="Q9">
        <f>IF(OR(L9="",N9=""),"",IFERROR((L9-IF(M9="",0,M9))*N9,0))</f>
        <v/>
      </c>
      <c r="V9">
        <f>IF(L9="","",L9-IF(M9="",0,M9)-IF(Q9="",0,Q9)-IF(T9="",0,T9))</f>
        <v/>
      </c>
      <c r="Y9">
        <f>IF(W9="IC","OUI",IF(W9="HC","OUI",IF(W9="HR","NON","A_CONTROLER")))</f>
        <v/>
      </c>
      <c r="Z9">
        <f>IF(W9="IC","OUI",IF(W9="HC","NON",IF(W9="HR","NON","A_CONTROLER")))</f>
        <v/>
      </c>
    </row>
    <row r="10">
      <c r="B10">
        <f>IF(A10="","",A10&amp;"|"&amp;D10&amp;"|"&amp;F10&amp;"|"&amp;G10&amp;"|"&amp;TEXT(I10,"YYYYMMDD")&amp;"|"&amp;TEXT(L10,"0.00"))</f>
        <v/>
      </c>
      <c r="C10">
        <f>IF(I10="","",TEXT(I10,"YYYY-MM"))</f>
        <v/>
      </c>
      <c r="K10">
        <f>IF(OR(I10="",J10=""),"",J10-I10)</f>
        <v/>
      </c>
      <c r="N10">
        <f>IF(F10="","",IFERROR(VLOOKUP(F10,lst_PropTauxLookup,2,0),""))</f>
        <v/>
      </c>
      <c r="O10">
        <f>IF(F10="","",IF(ISNUMBER(IFERROR(VLOOKUP(F10,lst_PropTauxLookup,2,0),"")),"REF_PROPRIETAIRE","A_CONTROLER"))</f>
        <v/>
      </c>
      <c r="Q10">
        <f>IF(OR(L10="",N10=""),"",IFERROR((L10-IF(M10="",0,M10))*N10,0))</f>
        <v/>
      </c>
      <c r="V10">
        <f>IF(L10="","",L10-IF(M10="",0,M10)-IF(Q10="",0,Q10)-IF(T10="",0,T10))</f>
        <v/>
      </c>
      <c r="Y10">
        <f>IF(W10="IC","OUI",IF(W10="HC","OUI",IF(W10="HR","NON","A_CONTROLER")))</f>
        <v/>
      </c>
      <c r="Z10">
        <f>IF(W10="IC","OUI",IF(W10="HC","NON",IF(W10="HR","NON","A_CONTROLER")))</f>
        <v/>
      </c>
    </row>
    <row r="11">
      <c r="B11">
        <f>IF(A11="","",A11&amp;"|"&amp;D11&amp;"|"&amp;F11&amp;"|"&amp;G11&amp;"|"&amp;TEXT(I11,"YYYYMMDD")&amp;"|"&amp;TEXT(L11,"0.00"))</f>
        <v/>
      </c>
      <c r="C11">
        <f>IF(I11="","",TEXT(I11,"YYYY-MM"))</f>
        <v/>
      </c>
      <c r="K11">
        <f>IF(OR(I11="",J11=""),"",J11-I11)</f>
        <v/>
      </c>
      <c r="N11">
        <f>IF(F11="","",IFERROR(VLOOKUP(F11,lst_PropTauxLookup,2,0),""))</f>
        <v/>
      </c>
      <c r="O11">
        <f>IF(F11="","",IF(ISNUMBER(IFERROR(VLOOKUP(F11,lst_PropTauxLookup,2,0),"")),"REF_PROPRIETAIRE","A_CONTROLER"))</f>
        <v/>
      </c>
      <c r="Q11">
        <f>IF(OR(L11="",N11=""),"",IFERROR((L11-IF(M11="",0,M11))*N11,0))</f>
        <v/>
      </c>
      <c r="V11">
        <f>IF(L11="","",L11-IF(M11="",0,M11)-IF(Q11="",0,Q11)-IF(T11="",0,T11))</f>
        <v/>
      </c>
      <c r="Y11">
        <f>IF(W11="IC","OUI",IF(W11="HC","OUI",IF(W11="HR","NON","A_CONTROLER")))</f>
        <v/>
      </c>
      <c r="Z11">
        <f>IF(W11="IC","OUI",IF(W11="HC","NON",IF(W11="HR","NON","A_CONTROLER")))</f>
        <v/>
      </c>
    </row>
    <row r="12">
      <c r="B12">
        <f>IF(A12="","",A12&amp;"|"&amp;D12&amp;"|"&amp;F12&amp;"|"&amp;G12&amp;"|"&amp;TEXT(I12,"YYYYMMDD")&amp;"|"&amp;TEXT(L12,"0.00"))</f>
        <v/>
      </c>
      <c r="C12">
        <f>IF(I12="","",TEXT(I12,"YYYY-MM"))</f>
        <v/>
      </c>
      <c r="K12">
        <f>IF(OR(I12="",J12=""),"",J12-I12)</f>
        <v/>
      </c>
      <c r="N12">
        <f>IF(F12="","",IFERROR(VLOOKUP(F12,lst_PropTauxLookup,2,0),""))</f>
        <v/>
      </c>
      <c r="O12">
        <f>IF(F12="","",IF(ISNUMBER(IFERROR(VLOOKUP(F12,lst_PropTauxLookup,2,0),"")),"REF_PROPRIETAIRE","A_CONTROLER"))</f>
        <v/>
      </c>
      <c r="Q12">
        <f>IF(OR(L12="",N12=""),"",IFERROR((L12-IF(M12="",0,M12))*N12,0))</f>
        <v/>
      </c>
      <c r="V12">
        <f>IF(L12="","",L12-IF(M12="",0,M12)-IF(Q12="",0,Q12)-IF(T12="",0,T12))</f>
        <v/>
      </c>
      <c r="Y12">
        <f>IF(W12="IC","OUI",IF(W12="HC","OUI",IF(W12="HR","NON","A_CONTROLER")))</f>
        <v/>
      </c>
      <c r="Z12">
        <f>IF(W12="IC","OUI",IF(W12="HC","NON",IF(W12="HR","NON","A_CONTROLER")))</f>
        <v/>
      </c>
    </row>
    <row r="13">
      <c r="B13">
        <f>IF(A13="","",A13&amp;"|"&amp;D13&amp;"|"&amp;F13&amp;"|"&amp;G13&amp;"|"&amp;TEXT(I13,"YYYYMMDD")&amp;"|"&amp;TEXT(L13,"0.00"))</f>
        <v/>
      </c>
      <c r="C13">
        <f>IF(I13="","",TEXT(I13,"YYYY-MM"))</f>
        <v/>
      </c>
      <c r="K13">
        <f>IF(OR(I13="",J13=""),"",J13-I13)</f>
        <v/>
      </c>
      <c r="N13">
        <f>IF(F13="","",IFERROR(VLOOKUP(F13,lst_PropTauxLookup,2,0),""))</f>
        <v/>
      </c>
      <c r="O13">
        <f>IF(F13="","",IF(ISNUMBER(IFERROR(VLOOKUP(F13,lst_PropTauxLookup,2,0),"")),"REF_PROPRIETAIRE","A_CONTROLER"))</f>
        <v/>
      </c>
      <c r="Q13">
        <f>IF(OR(L13="",N13=""),"",IFERROR((L13-IF(M13="",0,M13))*N13,0))</f>
        <v/>
      </c>
      <c r="V13">
        <f>IF(L13="","",L13-IF(M13="",0,M13)-IF(Q13="",0,Q13)-IF(T13="",0,T13))</f>
        <v/>
      </c>
      <c r="Y13">
        <f>IF(W13="IC","OUI",IF(W13="HC","OUI",IF(W13="HR","NON","A_CONTROLER")))</f>
        <v/>
      </c>
      <c r="Z13">
        <f>IF(W13="IC","OUI",IF(W13="HC","NON",IF(W13="HR","NON","A_CONTROLER")))</f>
        <v/>
      </c>
    </row>
    <row r="14">
      <c r="B14">
        <f>IF(A14="","",A14&amp;"|"&amp;D14&amp;"|"&amp;F14&amp;"|"&amp;G14&amp;"|"&amp;TEXT(I14,"YYYYMMDD")&amp;"|"&amp;TEXT(L14,"0.00"))</f>
        <v/>
      </c>
      <c r="C14">
        <f>IF(I14="","",TEXT(I14,"YYYY-MM"))</f>
        <v/>
      </c>
      <c r="K14">
        <f>IF(OR(I14="",J14=""),"",J14-I14)</f>
        <v/>
      </c>
      <c r="N14">
        <f>IF(F14="","",IFERROR(VLOOKUP(F14,lst_PropTauxLookup,2,0),""))</f>
        <v/>
      </c>
      <c r="O14">
        <f>IF(F14="","",IF(ISNUMBER(IFERROR(VLOOKUP(F14,lst_PropTauxLookup,2,0),"")),"REF_PROPRIETAIRE","A_CONTROLER"))</f>
        <v/>
      </c>
      <c r="Q14">
        <f>IF(OR(L14="",N14=""),"",IFERROR((L14-IF(M14="",0,M14))*N14,0))</f>
        <v/>
      </c>
      <c r="V14">
        <f>IF(L14="","",L14-IF(M14="",0,M14)-IF(Q14="",0,Q14)-IF(T14="",0,T14))</f>
        <v/>
      </c>
      <c r="Y14">
        <f>IF(W14="IC","OUI",IF(W14="HC","OUI",IF(W14="HR","NON","A_CONTROLER")))</f>
        <v/>
      </c>
      <c r="Z14">
        <f>IF(W14="IC","OUI",IF(W14="HC","NON",IF(W14="HR","NON","A_CONTROLER")))</f>
        <v/>
      </c>
    </row>
    <row r="15">
      <c r="B15">
        <f>IF(A15="","",A15&amp;"|"&amp;D15&amp;"|"&amp;F15&amp;"|"&amp;G15&amp;"|"&amp;TEXT(I15,"YYYYMMDD")&amp;"|"&amp;TEXT(L15,"0.00"))</f>
        <v/>
      </c>
      <c r="C15">
        <f>IF(I15="","",TEXT(I15,"YYYY-MM"))</f>
        <v/>
      </c>
      <c r="K15">
        <f>IF(OR(I15="",J15=""),"",J15-I15)</f>
        <v/>
      </c>
      <c r="N15">
        <f>IF(F15="","",IFERROR(VLOOKUP(F15,lst_PropTauxLookup,2,0),""))</f>
        <v/>
      </c>
      <c r="O15">
        <f>IF(F15="","",IF(ISNUMBER(IFERROR(VLOOKUP(F15,lst_PropTauxLookup,2,0),"")),"REF_PROPRIETAIRE","A_CONTROLER"))</f>
        <v/>
      </c>
      <c r="Q15">
        <f>IF(OR(L15="",N15=""),"",IFERROR((L15-IF(M15="",0,M15))*N15,0))</f>
        <v/>
      </c>
      <c r="V15">
        <f>IF(L15="","",L15-IF(M15="",0,M15)-IF(Q15="",0,Q15)-IF(T15="",0,T15))</f>
        <v/>
      </c>
      <c r="Y15">
        <f>IF(W15="IC","OUI",IF(W15="HC","OUI",IF(W15="HR","NON","A_CONTROLER")))</f>
        <v/>
      </c>
      <c r="Z15">
        <f>IF(W15="IC","OUI",IF(W15="HC","NON",IF(W15="HR","NON","A_CONTROLER")))</f>
        <v/>
      </c>
    </row>
    <row r="16">
      <c r="B16">
        <f>IF(A16="","",A16&amp;"|"&amp;D16&amp;"|"&amp;F16&amp;"|"&amp;G16&amp;"|"&amp;TEXT(I16,"YYYYMMDD")&amp;"|"&amp;TEXT(L16,"0.00"))</f>
        <v/>
      </c>
      <c r="C16">
        <f>IF(I16="","",TEXT(I16,"YYYY-MM"))</f>
        <v/>
      </c>
      <c r="K16">
        <f>IF(OR(I16="",J16=""),"",J16-I16)</f>
        <v/>
      </c>
      <c r="N16">
        <f>IF(F16="","",IFERROR(VLOOKUP(F16,lst_PropTauxLookup,2,0),""))</f>
        <v/>
      </c>
      <c r="O16">
        <f>IF(F16="","",IF(ISNUMBER(IFERROR(VLOOKUP(F16,lst_PropTauxLookup,2,0),"")),"REF_PROPRIETAIRE","A_CONTROLER"))</f>
        <v/>
      </c>
      <c r="Q16">
        <f>IF(OR(L16="",N16=""),"",IFERROR((L16-IF(M16="",0,M16))*N16,0))</f>
        <v/>
      </c>
      <c r="V16">
        <f>IF(L16="","",L16-IF(M16="",0,M16)-IF(Q16="",0,Q16)-IF(T16="",0,T16))</f>
        <v/>
      </c>
      <c r="Y16">
        <f>IF(W16="IC","OUI",IF(W16="HC","OUI",IF(W16="HR","NON","A_CONTROLER")))</f>
        <v/>
      </c>
      <c r="Z16">
        <f>IF(W16="IC","OUI",IF(W16="HC","NON",IF(W16="HR","NON","A_CONTROLER")))</f>
        <v/>
      </c>
    </row>
    <row r="17">
      <c r="B17">
        <f>IF(A17="","",A17&amp;"|"&amp;D17&amp;"|"&amp;F17&amp;"|"&amp;G17&amp;"|"&amp;TEXT(I17,"YYYYMMDD")&amp;"|"&amp;TEXT(L17,"0.00"))</f>
        <v/>
      </c>
      <c r="C17">
        <f>IF(I17="","",TEXT(I17,"YYYY-MM"))</f>
        <v/>
      </c>
      <c r="K17">
        <f>IF(OR(I17="",J17=""),"",J17-I17)</f>
        <v/>
      </c>
      <c r="N17">
        <f>IF(F17="","",IFERROR(VLOOKUP(F17,lst_PropTauxLookup,2,0),""))</f>
        <v/>
      </c>
      <c r="O17">
        <f>IF(F17="","",IF(ISNUMBER(IFERROR(VLOOKUP(F17,lst_PropTauxLookup,2,0),"")),"REF_PROPRIETAIRE","A_CONTROLER"))</f>
        <v/>
      </c>
      <c r="Q17">
        <f>IF(OR(L17="",N17=""),"",IFERROR((L17-IF(M17="",0,M17))*N17,0))</f>
        <v/>
      </c>
      <c r="V17">
        <f>IF(L17="","",L17-IF(M17="",0,M17)-IF(Q17="",0,Q17)-IF(T17="",0,T17))</f>
        <v/>
      </c>
      <c r="Y17">
        <f>IF(W17="IC","OUI",IF(W17="HC","OUI",IF(W17="HR","NON","A_CONTROLER")))</f>
        <v/>
      </c>
      <c r="Z17">
        <f>IF(W17="IC","OUI",IF(W17="HC","NON",IF(W17="HR","NON","A_CONTROLER")))</f>
        <v/>
      </c>
    </row>
    <row r="18">
      <c r="B18">
        <f>IF(A18="","",A18&amp;"|"&amp;D18&amp;"|"&amp;F18&amp;"|"&amp;G18&amp;"|"&amp;TEXT(I18,"YYYYMMDD")&amp;"|"&amp;TEXT(L18,"0.00"))</f>
        <v/>
      </c>
      <c r="C18">
        <f>IF(I18="","",TEXT(I18,"YYYY-MM"))</f>
        <v/>
      </c>
      <c r="K18">
        <f>IF(OR(I18="",J18=""),"",J18-I18)</f>
        <v/>
      </c>
      <c r="N18">
        <f>IF(F18="","",IFERROR(VLOOKUP(F18,lst_PropTauxLookup,2,0),""))</f>
        <v/>
      </c>
      <c r="O18">
        <f>IF(F18="","",IF(ISNUMBER(IFERROR(VLOOKUP(F18,lst_PropTauxLookup,2,0),"")),"REF_PROPRIETAIRE","A_CONTROLER"))</f>
        <v/>
      </c>
      <c r="Q18">
        <f>IF(OR(L18="",N18=""),"",IFERROR((L18-IF(M18="",0,M18))*N18,0))</f>
        <v/>
      </c>
      <c r="V18">
        <f>IF(L18="","",L18-IF(M18="",0,M18)-IF(Q18="",0,Q18)-IF(T18="",0,T18))</f>
        <v/>
      </c>
      <c r="Y18">
        <f>IF(W18="IC","OUI",IF(W18="HC","OUI",IF(W18="HR","NON","A_CONTROLER")))</f>
        <v/>
      </c>
      <c r="Z18">
        <f>IF(W18="IC","OUI",IF(W18="HC","NON",IF(W18="HR","NON","A_CONTROLER")))</f>
        <v/>
      </c>
    </row>
    <row r="19">
      <c r="B19">
        <f>IF(A19="","",A19&amp;"|"&amp;D19&amp;"|"&amp;F19&amp;"|"&amp;G19&amp;"|"&amp;TEXT(I19,"YYYYMMDD")&amp;"|"&amp;TEXT(L19,"0.00"))</f>
        <v/>
      </c>
      <c r="C19">
        <f>IF(I19="","",TEXT(I19,"YYYY-MM"))</f>
        <v/>
      </c>
      <c r="K19">
        <f>IF(OR(I19="",J19=""),"",J19-I19)</f>
        <v/>
      </c>
      <c r="N19">
        <f>IF(F19="","",IFERROR(VLOOKUP(F19,lst_PropTauxLookup,2,0),""))</f>
        <v/>
      </c>
      <c r="O19">
        <f>IF(F19="","",IF(ISNUMBER(IFERROR(VLOOKUP(F19,lst_PropTauxLookup,2,0),"")),"REF_PROPRIETAIRE","A_CONTROLER"))</f>
        <v/>
      </c>
      <c r="Q19">
        <f>IF(OR(L19="",N19=""),"",IFERROR((L19-IF(M19="",0,M19))*N19,0))</f>
        <v/>
      </c>
      <c r="V19">
        <f>IF(L19="","",L19-IF(M19="",0,M19)-IF(Q19="",0,Q19)-IF(T19="",0,T19))</f>
        <v/>
      </c>
      <c r="Y19">
        <f>IF(W19="IC","OUI",IF(W19="HC","OUI",IF(W19="HR","NON","A_CONTROLER")))</f>
        <v/>
      </c>
      <c r="Z19">
        <f>IF(W19="IC","OUI",IF(W19="HC","NON",IF(W19="HR","NON","A_CONTROLER")))</f>
        <v/>
      </c>
    </row>
    <row r="20">
      <c r="B20">
        <f>IF(A20="","",A20&amp;"|"&amp;D20&amp;"|"&amp;F20&amp;"|"&amp;G20&amp;"|"&amp;TEXT(I20,"YYYYMMDD")&amp;"|"&amp;TEXT(L20,"0.00"))</f>
        <v/>
      </c>
      <c r="C20">
        <f>IF(I20="","",TEXT(I20,"YYYY-MM"))</f>
        <v/>
      </c>
      <c r="K20">
        <f>IF(OR(I20="",J20=""),"",J20-I20)</f>
        <v/>
      </c>
      <c r="N20">
        <f>IF(F20="","",IFERROR(VLOOKUP(F20,lst_PropTauxLookup,2,0),""))</f>
        <v/>
      </c>
      <c r="O20">
        <f>IF(F20="","",IF(ISNUMBER(IFERROR(VLOOKUP(F20,lst_PropTauxLookup,2,0),"")),"REF_PROPRIETAIRE","A_CONTROLER"))</f>
        <v/>
      </c>
      <c r="Q20">
        <f>IF(OR(L20="",N20=""),"",IFERROR((L20-IF(M20="",0,M20))*N20,0))</f>
        <v/>
      </c>
      <c r="V20">
        <f>IF(L20="","",L20-IF(M20="",0,M20)-IF(Q20="",0,Q20)-IF(T20="",0,T20))</f>
        <v/>
      </c>
      <c r="Y20">
        <f>IF(W20="IC","OUI",IF(W20="HC","OUI",IF(W20="HR","NON","A_CONTROLER")))</f>
        <v/>
      </c>
      <c r="Z20">
        <f>IF(W20="IC","OUI",IF(W20="HC","NON",IF(W20="HR","NON","A_CONTROLER")))</f>
        <v/>
      </c>
    </row>
    <row r="21">
      <c r="B21">
        <f>IF(A21="","",A21&amp;"|"&amp;D21&amp;"|"&amp;F21&amp;"|"&amp;G21&amp;"|"&amp;TEXT(I21,"YYYYMMDD")&amp;"|"&amp;TEXT(L21,"0.00"))</f>
        <v/>
      </c>
      <c r="C21">
        <f>IF(I21="","",TEXT(I21,"YYYY-MM"))</f>
        <v/>
      </c>
      <c r="K21">
        <f>IF(OR(I21="",J21=""),"",J21-I21)</f>
        <v/>
      </c>
      <c r="N21">
        <f>IF(F21="","",IFERROR(VLOOKUP(F21,lst_PropTauxLookup,2,0),""))</f>
        <v/>
      </c>
      <c r="O21">
        <f>IF(F21="","",IF(ISNUMBER(IFERROR(VLOOKUP(F21,lst_PropTauxLookup,2,0),"")),"REF_PROPRIETAIRE","A_CONTROLER"))</f>
        <v/>
      </c>
      <c r="Q21">
        <f>IF(OR(L21="",N21=""),"",IFERROR((L21-IF(M21="",0,M21))*N21,0))</f>
        <v/>
      </c>
      <c r="V21">
        <f>IF(L21="","",L21-IF(M21="",0,M21)-IF(Q21="",0,Q21)-IF(T21="",0,T21))</f>
        <v/>
      </c>
      <c r="Y21">
        <f>IF(W21="IC","OUI",IF(W21="HC","OUI",IF(W21="HR","NON","A_CONTROLER")))</f>
        <v/>
      </c>
      <c r="Z21">
        <f>IF(W21="IC","OUI",IF(W21="HC","NON",IF(W21="HR","NON","A_CONTROLER")))</f>
        <v/>
      </c>
    </row>
    <row r="22">
      <c r="B22">
        <f>IF(A22="","",A22&amp;"|"&amp;D22&amp;"|"&amp;F22&amp;"|"&amp;G22&amp;"|"&amp;TEXT(I22,"YYYYMMDD")&amp;"|"&amp;TEXT(L22,"0.00"))</f>
        <v/>
      </c>
      <c r="C22">
        <f>IF(I22="","",TEXT(I22,"YYYY-MM"))</f>
        <v/>
      </c>
      <c r="K22">
        <f>IF(OR(I22="",J22=""),"",J22-I22)</f>
        <v/>
      </c>
      <c r="N22">
        <f>IF(F22="","",IFERROR(VLOOKUP(F22,lst_PropTauxLookup,2,0),""))</f>
        <v/>
      </c>
      <c r="O22">
        <f>IF(F22="","",IF(ISNUMBER(IFERROR(VLOOKUP(F22,lst_PropTauxLookup,2,0),"")),"REF_PROPRIETAIRE","A_CONTROLER"))</f>
        <v/>
      </c>
      <c r="Q22">
        <f>IF(OR(L22="",N22=""),"",IFERROR((L22-IF(M22="",0,M22))*N22,0))</f>
        <v/>
      </c>
      <c r="V22">
        <f>IF(L22="","",L22-IF(M22="",0,M22)-IF(Q22="",0,Q22)-IF(T22="",0,T22))</f>
        <v/>
      </c>
      <c r="Y22">
        <f>IF(W22="IC","OUI",IF(W22="HC","OUI",IF(W22="HR","NON","A_CONTROLER")))</f>
        <v/>
      </c>
      <c r="Z22">
        <f>IF(W22="IC","OUI",IF(W22="HC","NON",IF(W22="HR","NON","A_CONTROLER")))</f>
        <v/>
      </c>
    </row>
    <row r="23">
      <c r="B23">
        <f>IF(A23="","",A23&amp;"|"&amp;D23&amp;"|"&amp;F23&amp;"|"&amp;G23&amp;"|"&amp;TEXT(I23,"YYYYMMDD")&amp;"|"&amp;TEXT(L23,"0.00"))</f>
        <v/>
      </c>
      <c r="C23">
        <f>IF(I23="","",TEXT(I23,"YYYY-MM"))</f>
        <v/>
      </c>
      <c r="K23">
        <f>IF(OR(I23="",J23=""),"",J23-I23)</f>
        <v/>
      </c>
      <c r="N23">
        <f>IF(F23="","",IFERROR(VLOOKUP(F23,lst_PropTauxLookup,2,0),""))</f>
        <v/>
      </c>
      <c r="O23">
        <f>IF(F23="","",IF(ISNUMBER(IFERROR(VLOOKUP(F23,lst_PropTauxLookup,2,0),"")),"REF_PROPRIETAIRE","A_CONTROLER"))</f>
        <v/>
      </c>
      <c r="Q23">
        <f>IF(OR(L23="",N23=""),"",IFERROR((L23-IF(M23="",0,M23))*N23,0))</f>
        <v/>
      </c>
      <c r="V23">
        <f>IF(L23="","",L23-IF(M23="",0,M23)-IF(Q23="",0,Q23)-IF(T23="",0,T23))</f>
        <v/>
      </c>
      <c r="Y23">
        <f>IF(W23="IC","OUI",IF(W23="HC","OUI",IF(W23="HR","NON","A_CONTROLER")))</f>
        <v/>
      </c>
      <c r="Z23">
        <f>IF(W23="IC","OUI",IF(W23="HC","NON",IF(W23="HR","NON","A_CONTROLER")))</f>
        <v/>
      </c>
    </row>
    <row r="24">
      <c r="B24">
        <f>IF(A24="","",A24&amp;"|"&amp;D24&amp;"|"&amp;F24&amp;"|"&amp;G24&amp;"|"&amp;TEXT(I24,"YYYYMMDD")&amp;"|"&amp;TEXT(L24,"0.00"))</f>
        <v/>
      </c>
      <c r="C24">
        <f>IF(I24="","",TEXT(I24,"YYYY-MM"))</f>
        <v/>
      </c>
      <c r="K24">
        <f>IF(OR(I24="",J24=""),"",J24-I24)</f>
        <v/>
      </c>
      <c r="N24">
        <f>IF(F24="","",IFERROR(VLOOKUP(F24,lst_PropTauxLookup,2,0),""))</f>
        <v/>
      </c>
      <c r="O24">
        <f>IF(F24="","",IF(ISNUMBER(IFERROR(VLOOKUP(F24,lst_PropTauxLookup,2,0),"")),"REF_PROPRIETAIRE","A_CONTROLER"))</f>
        <v/>
      </c>
      <c r="Q24">
        <f>IF(OR(L24="",N24=""),"",IFERROR((L24-IF(M24="",0,M24))*N24,0))</f>
        <v/>
      </c>
      <c r="V24">
        <f>IF(L24="","",L24-IF(M24="",0,M24)-IF(Q24="",0,Q24)-IF(T24="",0,T24))</f>
        <v/>
      </c>
      <c r="Y24">
        <f>IF(W24="IC","OUI",IF(W24="HC","OUI",IF(W24="HR","NON","A_CONTROLER")))</f>
        <v/>
      </c>
      <c r="Z24">
        <f>IF(W24="IC","OUI",IF(W24="HC","NON",IF(W24="HR","NON","A_CONTROLER")))</f>
        <v/>
      </c>
    </row>
    <row r="25">
      <c r="B25">
        <f>IF(A25="","",A25&amp;"|"&amp;D25&amp;"|"&amp;F25&amp;"|"&amp;G25&amp;"|"&amp;TEXT(I25,"YYYYMMDD")&amp;"|"&amp;TEXT(L25,"0.00"))</f>
        <v/>
      </c>
      <c r="C25">
        <f>IF(I25="","",TEXT(I25,"YYYY-MM"))</f>
        <v/>
      </c>
      <c r="K25">
        <f>IF(OR(I25="",J25=""),"",J25-I25)</f>
        <v/>
      </c>
      <c r="N25">
        <f>IF(F25="","",IFERROR(VLOOKUP(F25,lst_PropTauxLookup,2,0),""))</f>
        <v/>
      </c>
      <c r="O25">
        <f>IF(F25="","",IF(ISNUMBER(IFERROR(VLOOKUP(F25,lst_PropTauxLookup,2,0),"")),"REF_PROPRIETAIRE","A_CONTROLER"))</f>
        <v/>
      </c>
      <c r="Q25">
        <f>IF(OR(L25="",N25=""),"",IFERROR((L25-IF(M25="",0,M25))*N25,0))</f>
        <v/>
      </c>
      <c r="V25">
        <f>IF(L25="","",L25-IF(M25="",0,M25)-IF(Q25="",0,Q25)-IF(T25="",0,T25))</f>
        <v/>
      </c>
      <c r="Y25">
        <f>IF(W25="IC","OUI",IF(W25="HC","OUI",IF(W25="HR","NON","A_CONTROLER")))</f>
        <v/>
      </c>
      <c r="Z25">
        <f>IF(W25="IC","OUI",IF(W25="HC","NON",IF(W25="HR","NON","A_CONTROLER")))</f>
        <v/>
      </c>
    </row>
    <row r="26">
      <c r="B26">
        <f>IF(A26="","",A26&amp;"|"&amp;D26&amp;"|"&amp;F26&amp;"|"&amp;G26&amp;"|"&amp;TEXT(I26,"YYYYMMDD")&amp;"|"&amp;TEXT(L26,"0.00"))</f>
        <v/>
      </c>
      <c r="C26">
        <f>IF(I26="","",TEXT(I26,"YYYY-MM"))</f>
        <v/>
      </c>
      <c r="K26">
        <f>IF(OR(I26="",J26=""),"",J26-I26)</f>
        <v/>
      </c>
      <c r="N26">
        <f>IF(F26="","",IFERROR(VLOOKUP(F26,lst_PropTauxLookup,2,0),""))</f>
        <v/>
      </c>
      <c r="O26">
        <f>IF(F26="","",IF(ISNUMBER(IFERROR(VLOOKUP(F26,lst_PropTauxLookup,2,0),"")),"REF_PROPRIETAIRE","A_CONTROLER"))</f>
        <v/>
      </c>
      <c r="Q26">
        <f>IF(OR(L26="",N26=""),"",IFERROR((L26-IF(M26="",0,M26))*N26,0))</f>
        <v/>
      </c>
      <c r="V26">
        <f>IF(L26="","",L26-IF(M26="",0,M26)-IF(Q26="",0,Q26)-IF(T26="",0,T26))</f>
        <v/>
      </c>
      <c r="Y26">
        <f>IF(W26="IC","OUI",IF(W26="HC","OUI",IF(W26="HR","NON","A_CONTROLER")))</f>
        <v/>
      </c>
      <c r="Z26">
        <f>IF(W26="IC","OUI",IF(W26="HC","NON",IF(W26="HR","NON","A_CONTROLER")))</f>
        <v/>
      </c>
    </row>
    <row r="27">
      <c r="B27">
        <f>IF(A27="","",A27&amp;"|"&amp;D27&amp;"|"&amp;F27&amp;"|"&amp;G27&amp;"|"&amp;TEXT(I27,"YYYYMMDD")&amp;"|"&amp;TEXT(L27,"0.00"))</f>
        <v/>
      </c>
      <c r="C27">
        <f>IF(I27="","",TEXT(I27,"YYYY-MM"))</f>
        <v/>
      </c>
      <c r="K27">
        <f>IF(OR(I27="",J27=""),"",J27-I27)</f>
        <v/>
      </c>
      <c r="N27">
        <f>IF(F27="","",IFERROR(VLOOKUP(F27,lst_PropTauxLookup,2,0),""))</f>
        <v/>
      </c>
      <c r="O27">
        <f>IF(F27="","",IF(ISNUMBER(IFERROR(VLOOKUP(F27,lst_PropTauxLookup,2,0),"")),"REF_PROPRIETAIRE","A_CONTROLER"))</f>
        <v/>
      </c>
      <c r="Q27">
        <f>IF(OR(L27="",N27=""),"",IFERROR((L27-IF(M27="",0,M27))*N27,0))</f>
        <v/>
      </c>
      <c r="V27">
        <f>IF(L27="","",L27-IF(M27="",0,M27)-IF(Q27="",0,Q27)-IF(T27="",0,T27))</f>
        <v/>
      </c>
      <c r="Y27">
        <f>IF(W27="IC","OUI",IF(W27="HC","OUI",IF(W27="HR","NON","A_CONTROLER")))</f>
        <v/>
      </c>
      <c r="Z27">
        <f>IF(W27="IC","OUI",IF(W27="HC","NON",IF(W27="HR","NON","A_CONTROLER")))</f>
        <v/>
      </c>
    </row>
    <row r="28">
      <c r="B28">
        <f>IF(A28="","",A28&amp;"|"&amp;D28&amp;"|"&amp;F28&amp;"|"&amp;G28&amp;"|"&amp;TEXT(I28,"YYYYMMDD")&amp;"|"&amp;TEXT(L28,"0.00"))</f>
        <v/>
      </c>
      <c r="C28">
        <f>IF(I28="","",TEXT(I28,"YYYY-MM"))</f>
        <v/>
      </c>
      <c r="K28">
        <f>IF(OR(I28="",J28=""),"",J28-I28)</f>
        <v/>
      </c>
      <c r="N28">
        <f>IF(F28="","",IFERROR(VLOOKUP(F28,lst_PropTauxLookup,2,0),""))</f>
        <v/>
      </c>
      <c r="O28">
        <f>IF(F28="","",IF(ISNUMBER(IFERROR(VLOOKUP(F28,lst_PropTauxLookup,2,0),"")),"REF_PROPRIETAIRE","A_CONTROLER"))</f>
        <v/>
      </c>
      <c r="Q28">
        <f>IF(OR(L28="",N28=""),"",IFERROR((L28-IF(M28="",0,M28))*N28,0))</f>
        <v/>
      </c>
      <c r="V28">
        <f>IF(L28="","",L28-IF(M28="",0,M28)-IF(Q28="",0,Q28)-IF(T28="",0,T28))</f>
        <v/>
      </c>
      <c r="Y28">
        <f>IF(W28="IC","OUI",IF(W28="HC","OUI",IF(W28="HR","NON","A_CONTROLER")))</f>
        <v/>
      </c>
      <c r="Z28">
        <f>IF(W28="IC","OUI",IF(W28="HC","NON",IF(W28="HR","NON","A_CONTROLER")))</f>
        <v/>
      </c>
    </row>
    <row r="29">
      <c r="B29">
        <f>IF(A29="","",A29&amp;"|"&amp;D29&amp;"|"&amp;F29&amp;"|"&amp;G29&amp;"|"&amp;TEXT(I29,"YYYYMMDD")&amp;"|"&amp;TEXT(L29,"0.00"))</f>
        <v/>
      </c>
      <c r="C29">
        <f>IF(I29="","",TEXT(I29,"YYYY-MM"))</f>
        <v/>
      </c>
      <c r="K29">
        <f>IF(OR(I29="",J29=""),"",J29-I29)</f>
        <v/>
      </c>
      <c r="N29">
        <f>IF(F29="","",IFERROR(VLOOKUP(F29,lst_PropTauxLookup,2,0),""))</f>
        <v/>
      </c>
      <c r="O29">
        <f>IF(F29="","",IF(ISNUMBER(IFERROR(VLOOKUP(F29,lst_PropTauxLookup,2,0),"")),"REF_PROPRIETAIRE","A_CONTROLER"))</f>
        <v/>
      </c>
      <c r="Q29">
        <f>IF(OR(L29="",N29=""),"",IFERROR((L29-IF(M29="",0,M29))*N29,0))</f>
        <v/>
      </c>
      <c r="V29">
        <f>IF(L29="","",L29-IF(M29="",0,M29)-IF(Q29="",0,Q29)-IF(T29="",0,T29))</f>
        <v/>
      </c>
      <c r="Y29">
        <f>IF(W29="IC","OUI",IF(W29="HC","OUI",IF(W29="HR","NON","A_CONTROLER")))</f>
        <v/>
      </c>
      <c r="Z29">
        <f>IF(W29="IC","OUI",IF(W29="HC","NON",IF(W29="HR","NON","A_CONTROLER")))</f>
        <v/>
      </c>
    </row>
    <row r="30">
      <c r="B30">
        <f>IF(A30="","",A30&amp;"|"&amp;D30&amp;"|"&amp;F30&amp;"|"&amp;G30&amp;"|"&amp;TEXT(I30,"YYYYMMDD")&amp;"|"&amp;TEXT(L30,"0.00"))</f>
        <v/>
      </c>
      <c r="C30">
        <f>IF(I30="","",TEXT(I30,"YYYY-MM"))</f>
        <v/>
      </c>
      <c r="K30">
        <f>IF(OR(I30="",J30=""),"",J30-I30)</f>
        <v/>
      </c>
      <c r="N30">
        <f>IF(F30="","",IFERROR(VLOOKUP(F30,lst_PropTauxLookup,2,0),""))</f>
        <v/>
      </c>
      <c r="O30">
        <f>IF(F30="","",IF(ISNUMBER(IFERROR(VLOOKUP(F30,lst_PropTauxLookup,2,0),"")),"REF_PROPRIETAIRE","A_CONTROLER"))</f>
        <v/>
      </c>
      <c r="Q30">
        <f>IF(OR(L30="",N30=""),"",IFERROR((L30-IF(M30="",0,M30))*N30,0))</f>
        <v/>
      </c>
      <c r="V30">
        <f>IF(L30="","",L30-IF(M30="",0,M30)-IF(Q30="",0,Q30)-IF(T30="",0,T30))</f>
        <v/>
      </c>
      <c r="Y30">
        <f>IF(W30="IC","OUI",IF(W30="HC","OUI",IF(W30="HR","NON","A_CONTROLER")))</f>
        <v/>
      </c>
      <c r="Z30">
        <f>IF(W30="IC","OUI",IF(W30="HC","NON",IF(W30="HR","NON","A_CONTROLER")))</f>
        <v/>
      </c>
    </row>
    <row r="31">
      <c r="B31">
        <f>IF(A31="","",A31&amp;"|"&amp;D31&amp;"|"&amp;F31&amp;"|"&amp;G31&amp;"|"&amp;TEXT(I31,"YYYYMMDD")&amp;"|"&amp;TEXT(L31,"0.00"))</f>
        <v/>
      </c>
      <c r="C31">
        <f>IF(I31="","",TEXT(I31,"YYYY-MM"))</f>
        <v/>
      </c>
      <c r="K31">
        <f>IF(OR(I31="",J31=""),"",J31-I31)</f>
        <v/>
      </c>
      <c r="N31">
        <f>IF(F31="","",IFERROR(VLOOKUP(F31,lst_PropTauxLookup,2,0),""))</f>
        <v/>
      </c>
      <c r="O31">
        <f>IF(F31="","",IF(ISNUMBER(IFERROR(VLOOKUP(F31,lst_PropTauxLookup,2,0),"")),"REF_PROPRIETAIRE","A_CONTROLER"))</f>
        <v/>
      </c>
      <c r="Q31">
        <f>IF(OR(L31="",N31=""),"",IFERROR((L31-IF(M31="",0,M31))*N31,0))</f>
        <v/>
      </c>
      <c r="V31">
        <f>IF(L31="","",L31-IF(M31="",0,M31)-IF(Q31="",0,Q31)-IF(T31="",0,T31))</f>
        <v/>
      </c>
      <c r="Y31">
        <f>IF(W31="IC","OUI",IF(W31="HC","OUI",IF(W31="HR","NON","A_CONTROLER")))</f>
        <v/>
      </c>
      <c r="Z31">
        <f>IF(W31="IC","OUI",IF(W31="HC","NON",IF(W31="HR","NON","A_CONTROLER")))</f>
        <v/>
      </c>
    </row>
    <row r="32">
      <c r="B32">
        <f>IF(A32="","",A32&amp;"|"&amp;D32&amp;"|"&amp;F32&amp;"|"&amp;G32&amp;"|"&amp;TEXT(I32,"YYYYMMDD")&amp;"|"&amp;TEXT(L32,"0.00"))</f>
        <v/>
      </c>
      <c r="C32">
        <f>IF(I32="","",TEXT(I32,"YYYY-MM"))</f>
        <v/>
      </c>
      <c r="K32">
        <f>IF(OR(I32="",J32=""),"",J32-I32)</f>
        <v/>
      </c>
      <c r="N32">
        <f>IF(F32="","",IFERROR(VLOOKUP(F32,lst_PropTauxLookup,2,0),""))</f>
        <v/>
      </c>
      <c r="O32">
        <f>IF(F32="","",IF(ISNUMBER(IFERROR(VLOOKUP(F32,lst_PropTauxLookup,2,0),"")),"REF_PROPRIETAIRE","A_CONTROLER"))</f>
        <v/>
      </c>
      <c r="Q32">
        <f>IF(OR(L32="",N32=""),"",IFERROR((L32-IF(M32="",0,M32))*N32,0))</f>
        <v/>
      </c>
      <c r="V32">
        <f>IF(L32="","",L32-IF(M32="",0,M32)-IF(Q32="",0,Q32)-IF(T32="",0,T32))</f>
        <v/>
      </c>
      <c r="Y32">
        <f>IF(W32="IC","OUI",IF(W32="HC","OUI",IF(W32="HR","NON","A_CONTROLER")))</f>
        <v/>
      </c>
      <c r="Z32">
        <f>IF(W32="IC","OUI",IF(W32="HC","NON",IF(W32="HR","NON","A_CONTROLER")))</f>
        <v/>
      </c>
    </row>
    <row r="33">
      <c r="B33">
        <f>IF(A33="","",A33&amp;"|"&amp;D33&amp;"|"&amp;F33&amp;"|"&amp;G33&amp;"|"&amp;TEXT(I33,"YYYYMMDD")&amp;"|"&amp;TEXT(L33,"0.00"))</f>
        <v/>
      </c>
      <c r="C33">
        <f>IF(I33="","",TEXT(I33,"YYYY-MM"))</f>
        <v/>
      </c>
      <c r="K33">
        <f>IF(OR(I33="",J33=""),"",J33-I33)</f>
        <v/>
      </c>
      <c r="N33">
        <f>IF(F33="","",IFERROR(VLOOKUP(F33,lst_PropTauxLookup,2,0),""))</f>
        <v/>
      </c>
      <c r="O33">
        <f>IF(F33="","",IF(ISNUMBER(IFERROR(VLOOKUP(F33,lst_PropTauxLookup,2,0),"")),"REF_PROPRIETAIRE","A_CONTROLER"))</f>
        <v/>
      </c>
      <c r="Q33">
        <f>IF(OR(L33="",N33=""),"",IFERROR((L33-IF(M33="",0,M33))*N33,0))</f>
        <v/>
      </c>
      <c r="V33">
        <f>IF(L33="","",L33-IF(M33="",0,M33)-IF(Q33="",0,Q33)-IF(T33="",0,T33))</f>
        <v/>
      </c>
      <c r="Y33">
        <f>IF(W33="IC","OUI",IF(W33="HC","OUI",IF(W33="HR","NON","A_CONTROLER")))</f>
        <v/>
      </c>
      <c r="Z33">
        <f>IF(W33="IC","OUI",IF(W33="HC","NON",IF(W33="HR","NON","A_CONTROLER")))</f>
        <v/>
      </c>
    </row>
    <row r="34">
      <c r="B34">
        <f>IF(A34="","",A34&amp;"|"&amp;D34&amp;"|"&amp;F34&amp;"|"&amp;G34&amp;"|"&amp;TEXT(I34,"YYYYMMDD")&amp;"|"&amp;TEXT(L34,"0.00"))</f>
        <v/>
      </c>
      <c r="C34">
        <f>IF(I34="","",TEXT(I34,"YYYY-MM"))</f>
        <v/>
      </c>
      <c r="K34">
        <f>IF(OR(I34="",J34=""),"",J34-I34)</f>
        <v/>
      </c>
      <c r="N34">
        <f>IF(F34="","",IFERROR(VLOOKUP(F34,lst_PropTauxLookup,2,0),""))</f>
        <v/>
      </c>
      <c r="O34">
        <f>IF(F34="","",IF(ISNUMBER(IFERROR(VLOOKUP(F34,lst_PropTauxLookup,2,0),"")),"REF_PROPRIETAIRE","A_CONTROLER"))</f>
        <v/>
      </c>
      <c r="Q34">
        <f>IF(OR(L34="",N34=""),"",IFERROR((L34-IF(M34="",0,M34))*N34,0))</f>
        <v/>
      </c>
      <c r="V34">
        <f>IF(L34="","",L34-IF(M34="",0,M34)-IF(Q34="",0,Q34)-IF(T34="",0,T34))</f>
        <v/>
      </c>
      <c r="Y34">
        <f>IF(W34="IC","OUI",IF(W34="HC","OUI",IF(W34="HR","NON","A_CONTROLER")))</f>
        <v/>
      </c>
      <c r="Z34">
        <f>IF(W34="IC","OUI",IF(W34="HC","NON",IF(W34="HR","NON","A_CONTROLER")))</f>
        <v/>
      </c>
    </row>
    <row r="35">
      <c r="B35">
        <f>IF(A35="","",A35&amp;"|"&amp;D35&amp;"|"&amp;F35&amp;"|"&amp;G35&amp;"|"&amp;TEXT(I35,"YYYYMMDD")&amp;"|"&amp;TEXT(L35,"0.00"))</f>
        <v/>
      </c>
      <c r="C35">
        <f>IF(I35="","",TEXT(I35,"YYYY-MM"))</f>
        <v/>
      </c>
      <c r="K35">
        <f>IF(OR(I35="",J35=""),"",J35-I35)</f>
        <v/>
      </c>
      <c r="N35">
        <f>IF(F35="","",IFERROR(VLOOKUP(F35,lst_PropTauxLookup,2,0),""))</f>
        <v/>
      </c>
      <c r="O35">
        <f>IF(F35="","",IF(ISNUMBER(IFERROR(VLOOKUP(F35,lst_PropTauxLookup,2,0),"")),"REF_PROPRIETAIRE","A_CONTROLER"))</f>
        <v/>
      </c>
      <c r="Q35">
        <f>IF(OR(L35="",N35=""),"",IFERROR((L35-IF(M35="",0,M35))*N35,0))</f>
        <v/>
      </c>
      <c r="V35">
        <f>IF(L35="","",L35-IF(M35="",0,M35)-IF(Q35="",0,Q35)-IF(T35="",0,T35))</f>
        <v/>
      </c>
      <c r="Y35">
        <f>IF(W35="IC","OUI",IF(W35="HC","OUI",IF(W35="HR","NON","A_CONTROLER")))</f>
        <v/>
      </c>
      <c r="Z35">
        <f>IF(W35="IC","OUI",IF(W35="HC","NON",IF(W35="HR","NON","A_CONTROLER")))</f>
        <v/>
      </c>
    </row>
    <row r="36">
      <c r="B36">
        <f>IF(A36="","",A36&amp;"|"&amp;D36&amp;"|"&amp;F36&amp;"|"&amp;G36&amp;"|"&amp;TEXT(I36,"YYYYMMDD")&amp;"|"&amp;TEXT(L36,"0.00"))</f>
        <v/>
      </c>
      <c r="C36">
        <f>IF(I36="","",TEXT(I36,"YYYY-MM"))</f>
        <v/>
      </c>
      <c r="K36">
        <f>IF(OR(I36="",J36=""),"",J36-I36)</f>
        <v/>
      </c>
      <c r="N36">
        <f>IF(F36="","",IFERROR(VLOOKUP(F36,lst_PropTauxLookup,2,0),""))</f>
        <v/>
      </c>
      <c r="O36">
        <f>IF(F36="","",IF(ISNUMBER(IFERROR(VLOOKUP(F36,lst_PropTauxLookup,2,0),"")),"REF_PROPRIETAIRE","A_CONTROLER"))</f>
        <v/>
      </c>
      <c r="Q36">
        <f>IF(OR(L36="",N36=""),"",IFERROR((L36-IF(M36="",0,M36))*N36,0))</f>
        <v/>
      </c>
      <c r="V36">
        <f>IF(L36="","",L36-IF(M36="",0,M36)-IF(Q36="",0,Q36)-IF(T36="",0,T36))</f>
        <v/>
      </c>
      <c r="Y36">
        <f>IF(W36="IC","OUI",IF(W36="HC","OUI",IF(W36="HR","NON","A_CONTROLER")))</f>
        <v/>
      </c>
      <c r="Z36">
        <f>IF(W36="IC","OUI",IF(W36="HC","NON",IF(W36="HR","NON","A_CONTROLER")))</f>
        <v/>
      </c>
    </row>
    <row r="37">
      <c r="B37">
        <f>IF(A37="","",A37&amp;"|"&amp;D37&amp;"|"&amp;F37&amp;"|"&amp;G37&amp;"|"&amp;TEXT(I37,"YYYYMMDD")&amp;"|"&amp;TEXT(L37,"0.00"))</f>
        <v/>
      </c>
      <c r="C37">
        <f>IF(I37="","",TEXT(I37,"YYYY-MM"))</f>
        <v/>
      </c>
      <c r="K37">
        <f>IF(OR(I37="",J37=""),"",J37-I37)</f>
        <v/>
      </c>
      <c r="N37">
        <f>IF(F37="","",IFERROR(VLOOKUP(F37,lst_PropTauxLookup,2,0),""))</f>
        <v/>
      </c>
      <c r="O37">
        <f>IF(F37="","",IF(ISNUMBER(IFERROR(VLOOKUP(F37,lst_PropTauxLookup,2,0),"")),"REF_PROPRIETAIRE","A_CONTROLER"))</f>
        <v/>
      </c>
      <c r="Q37">
        <f>IF(OR(L37="",N37=""),"",IFERROR((L37-IF(M37="",0,M37))*N37,0))</f>
        <v/>
      </c>
      <c r="V37">
        <f>IF(L37="","",L37-IF(M37="",0,M37)-IF(Q37="",0,Q37)-IF(T37="",0,T37))</f>
        <v/>
      </c>
      <c r="Y37">
        <f>IF(W37="IC","OUI",IF(W37="HC","OUI",IF(W37="HR","NON","A_CONTROLER")))</f>
        <v/>
      </c>
      <c r="Z37">
        <f>IF(W37="IC","OUI",IF(W37="HC","NON",IF(W37="HR","NON","A_CONTROLER")))</f>
        <v/>
      </c>
    </row>
    <row r="38">
      <c r="B38">
        <f>IF(A38="","",A38&amp;"|"&amp;D38&amp;"|"&amp;F38&amp;"|"&amp;G38&amp;"|"&amp;TEXT(I38,"YYYYMMDD")&amp;"|"&amp;TEXT(L38,"0.00"))</f>
        <v/>
      </c>
      <c r="C38">
        <f>IF(I38="","",TEXT(I38,"YYYY-MM"))</f>
        <v/>
      </c>
      <c r="K38">
        <f>IF(OR(I38="",J38=""),"",J38-I38)</f>
        <v/>
      </c>
      <c r="N38">
        <f>IF(F38="","",IFERROR(VLOOKUP(F38,lst_PropTauxLookup,2,0),""))</f>
        <v/>
      </c>
      <c r="O38">
        <f>IF(F38="","",IF(ISNUMBER(IFERROR(VLOOKUP(F38,lst_PropTauxLookup,2,0),"")),"REF_PROPRIETAIRE","A_CONTROLER"))</f>
        <v/>
      </c>
      <c r="Q38">
        <f>IF(OR(L38="",N38=""),"",IFERROR((L38-IF(M38="",0,M38))*N38,0))</f>
        <v/>
      </c>
      <c r="V38">
        <f>IF(L38="","",L38-IF(M38="",0,M38)-IF(Q38="",0,Q38)-IF(T38="",0,T38))</f>
        <v/>
      </c>
      <c r="Y38">
        <f>IF(W38="IC","OUI",IF(W38="HC","OUI",IF(W38="HR","NON","A_CONTROLER")))</f>
        <v/>
      </c>
      <c r="Z38">
        <f>IF(W38="IC","OUI",IF(W38="HC","NON",IF(W38="HR","NON","A_CONTROLER")))</f>
        <v/>
      </c>
    </row>
    <row r="39">
      <c r="B39">
        <f>IF(A39="","",A39&amp;"|"&amp;D39&amp;"|"&amp;F39&amp;"|"&amp;G39&amp;"|"&amp;TEXT(I39,"YYYYMMDD")&amp;"|"&amp;TEXT(L39,"0.00"))</f>
        <v/>
      </c>
      <c r="C39">
        <f>IF(I39="","",TEXT(I39,"YYYY-MM"))</f>
        <v/>
      </c>
      <c r="K39">
        <f>IF(OR(I39="",J39=""),"",J39-I39)</f>
        <v/>
      </c>
      <c r="N39">
        <f>IF(F39="","",IFERROR(VLOOKUP(F39,lst_PropTauxLookup,2,0),""))</f>
        <v/>
      </c>
      <c r="O39">
        <f>IF(F39="","",IF(ISNUMBER(IFERROR(VLOOKUP(F39,lst_PropTauxLookup,2,0),"")),"REF_PROPRIETAIRE","A_CONTROLER"))</f>
        <v/>
      </c>
      <c r="Q39">
        <f>IF(OR(L39="",N39=""),"",IFERROR((L39-IF(M39="",0,M39))*N39,0))</f>
        <v/>
      </c>
      <c r="V39">
        <f>IF(L39="","",L39-IF(M39="",0,M39)-IF(Q39="",0,Q39)-IF(T39="",0,T39))</f>
        <v/>
      </c>
      <c r="Y39">
        <f>IF(W39="IC","OUI",IF(W39="HC","OUI",IF(W39="HR","NON","A_CONTROLER")))</f>
        <v/>
      </c>
      <c r="Z39">
        <f>IF(W39="IC","OUI",IF(W39="HC","NON",IF(W39="HR","NON","A_CONTROLER")))</f>
        <v/>
      </c>
    </row>
    <row r="40">
      <c r="B40">
        <f>IF(A40="","",A40&amp;"|"&amp;D40&amp;"|"&amp;F40&amp;"|"&amp;G40&amp;"|"&amp;TEXT(I40,"YYYYMMDD")&amp;"|"&amp;TEXT(L40,"0.00"))</f>
        <v/>
      </c>
      <c r="C40">
        <f>IF(I40="","",TEXT(I40,"YYYY-MM"))</f>
        <v/>
      </c>
      <c r="K40">
        <f>IF(OR(I40="",J40=""),"",J40-I40)</f>
        <v/>
      </c>
      <c r="N40">
        <f>IF(F40="","",IFERROR(VLOOKUP(F40,lst_PropTauxLookup,2,0),""))</f>
        <v/>
      </c>
      <c r="O40">
        <f>IF(F40="","",IF(ISNUMBER(IFERROR(VLOOKUP(F40,lst_PropTauxLookup,2,0),"")),"REF_PROPRIETAIRE","A_CONTROLER"))</f>
        <v/>
      </c>
      <c r="Q40">
        <f>IF(OR(L40="",N40=""),"",IFERROR((L40-IF(M40="",0,M40))*N40,0))</f>
        <v/>
      </c>
      <c r="V40">
        <f>IF(L40="","",L40-IF(M40="",0,M40)-IF(Q40="",0,Q40)-IF(T40="",0,T40))</f>
        <v/>
      </c>
      <c r="Y40">
        <f>IF(W40="IC","OUI",IF(W40="HC","OUI",IF(W40="HR","NON","A_CONTROLER")))</f>
        <v/>
      </c>
      <c r="Z40">
        <f>IF(W40="IC","OUI",IF(W40="HC","NON",IF(W40="HR","NON","A_CONTROLER")))</f>
        <v/>
      </c>
    </row>
    <row r="41">
      <c r="B41">
        <f>IF(A41="","",A41&amp;"|"&amp;D41&amp;"|"&amp;F41&amp;"|"&amp;G41&amp;"|"&amp;TEXT(I41,"YYYYMMDD")&amp;"|"&amp;TEXT(L41,"0.00"))</f>
        <v/>
      </c>
      <c r="C41">
        <f>IF(I41="","",TEXT(I41,"YYYY-MM"))</f>
        <v/>
      </c>
      <c r="K41">
        <f>IF(OR(I41="",J41=""),"",J41-I41)</f>
        <v/>
      </c>
      <c r="N41">
        <f>IF(F41="","",IFERROR(VLOOKUP(F41,lst_PropTauxLookup,2,0),""))</f>
        <v/>
      </c>
      <c r="O41">
        <f>IF(F41="","",IF(ISNUMBER(IFERROR(VLOOKUP(F41,lst_PropTauxLookup,2,0),"")),"REF_PROPRIETAIRE","A_CONTROLER"))</f>
        <v/>
      </c>
      <c r="Q41">
        <f>IF(OR(L41="",N41=""),"",IFERROR((L41-IF(M41="",0,M41))*N41,0))</f>
        <v/>
      </c>
      <c r="V41">
        <f>IF(L41="","",L41-IF(M41="",0,M41)-IF(Q41="",0,Q41)-IF(T41="",0,T41))</f>
        <v/>
      </c>
      <c r="Y41">
        <f>IF(W41="IC","OUI",IF(W41="HC","OUI",IF(W41="HR","NON","A_CONTROLER")))</f>
        <v/>
      </c>
      <c r="Z41">
        <f>IF(W41="IC","OUI",IF(W41="HC","NON",IF(W41="HR","NON","A_CONTROLER")))</f>
        <v/>
      </c>
    </row>
    <row r="42">
      <c r="B42">
        <f>IF(A42="","",A42&amp;"|"&amp;D42&amp;"|"&amp;F42&amp;"|"&amp;G42&amp;"|"&amp;TEXT(I42,"YYYYMMDD")&amp;"|"&amp;TEXT(L42,"0.00"))</f>
        <v/>
      </c>
      <c r="C42">
        <f>IF(I42="","",TEXT(I42,"YYYY-MM"))</f>
        <v/>
      </c>
      <c r="K42">
        <f>IF(OR(I42="",J42=""),"",J42-I42)</f>
        <v/>
      </c>
      <c r="N42">
        <f>IF(F42="","",IFERROR(VLOOKUP(F42,lst_PropTauxLookup,2,0),""))</f>
        <v/>
      </c>
      <c r="O42">
        <f>IF(F42="","",IF(ISNUMBER(IFERROR(VLOOKUP(F42,lst_PropTauxLookup,2,0),"")),"REF_PROPRIETAIRE","A_CONTROLER"))</f>
        <v/>
      </c>
      <c r="Q42">
        <f>IF(OR(L42="",N42=""),"",IFERROR((L42-IF(M42="",0,M42))*N42,0))</f>
        <v/>
      </c>
      <c r="V42">
        <f>IF(L42="","",L42-IF(M42="",0,M42)-IF(Q42="",0,Q42)-IF(T42="",0,T42))</f>
        <v/>
      </c>
      <c r="Y42">
        <f>IF(W42="IC","OUI",IF(W42="HC","OUI",IF(W42="HR","NON","A_CONTROLER")))</f>
        <v/>
      </c>
      <c r="Z42">
        <f>IF(W42="IC","OUI",IF(W42="HC","NON",IF(W42="HR","NON","A_CONTROLER")))</f>
        <v/>
      </c>
    </row>
    <row r="43">
      <c r="B43">
        <f>IF(A43="","",A43&amp;"|"&amp;D43&amp;"|"&amp;F43&amp;"|"&amp;G43&amp;"|"&amp;TEXT(I43,"YYYYMMDD")&amp;"|"&amp;TEXT(L43,"0.00"))</f>
        <v/>
      </c>
      <c r="C43">
        <f>IF(I43="","",TEXT(I43,"YYYY-MM"))</f>
        <v/>
      </c>
      <c r="K43">
        <f>IF(OR(I43="",J43=""),"",J43-I43)</f>
        <v/>
      </c>
      <c r="N43">
        <f>IF(F43="","",IFERROR(VLOOKUP(F43,lst_PropTauxLookup,2,0),""))</f>
        <v/>
      </c>
      <c r="O43">
        <f>IF(F43="","",IF(ISNUMBER(IFERROR(VLOOKUP(F43,lst_PropTauxLookup,2,0),"")),"REF_PROPRIETAIRE","A_CONTROLER"))</f>
        <v/>
      </c>
      <c r="Q43">
        <f>IF(OR(L43="",N43=""),"",IFERROR((L43-IF(M43="",0,M43))*N43,0))</f>
        <v/>
      </c>
      <c r="V43">
        <f>IF(L43="","",L43-IF(M43="",0,M43)-IF(Q43="",0,Q43)-IF(T43="",0,T43))</f>
        <v/>
      </c>
      <c r="Y43">
        <f>IF(W43="IC","OUI",IF(W43="HC","OUI",IF(W43="HR","NON","A_CONTROLER")))</f>
        <v/>
      </c>
      <c r="Z43">
        <f>IF(W43="IC","OUI",IF(W43="HC","NON",IF(W43="HR","NON","A_CONTROLER")))</f>
        <v/>
      </c>
    </row>
    <row r="44">
      <c r="B44">
        <f>IF(A44="","",A44&amp;"|"&amp;D44&amp;"|"&amp;F44&amp;"|"&amp;G44&amp;"|"&amp;TEXT(I44,"YYYYMMDD")&amp;"|"&amp;TEXT(L44,"0.00"))</f>
        <v/>
      </c>
      <c r="C44">
        <f>IF(I44="","",TEXT(I44,"YYYY-MM"))</f>
        <v/>
      </c>
      <c r="K44">
        <f>IF(OR(I44="",J44=""),"",J44-I44)</f>
        <v/>
      </c>
      <c r="N44">
        <f>IF(F44="","",IFERROR(VLOOKUP(F44,lst_PropTauxLookup,2,0),""))</f>
        <v/>
      </c>
      <c r="O44">
        <f>IF(F44="","",IF(ISNUMBER(IFERROR(VLOOKUP(F44,lst_PropTauxLookup,2,0),"")),"REF_PROPRIETAIRE","A_CONTROLER"))</f>
        <v/>
      </c>
      <c r="Q44">
        <f>IF(OR(L44="",N44=""),"",IFERROR((L44-IF(M44="",0,M44))*N44,0))</f>
        <v/>
      </c>
      <c r="V44">
        <f>IF(L44="","",L44-IF(M44="",0,M44)-IF(Q44="",0,Q44)-IF(T44="",0,T44))</f>
        <v/>
      </c>
      <c r="Y44">
        <f>IF(W44="IC","OUI",IF(W44="HC","OUI",IF(W44="HR","NON","A_CONTROLER")))</f>
        <v/>
      </c>
      <c r="Z44">
        <f>IF(W44="IC","OUI",IF(W44="HC","NON",IF(W44="HR","NON","A_CONTROLER")))</f>
        <v/>
      </c>
    </row>
    <row r="45">
      <c r="B45">
        <f>IF(A45="","",A45&amp;"|"&amp;D45&amp;"|"&amp;F45&amp;"|"&amp;G45&amp;"|"&amp;TEXT(I45,"YYYYMMDD")&amp;"|"&amp;TEXT(L45,"0.00"))</f>
        <v/>
      </c>
      <c r="C45">
        <f>IF(I45="","",TEXT(I45,"YYYY-MM"))</f>
        <v/>
      </c>
      <c r="K45">
        <f>IF(OR(I45="",J45=""),"",J45-I45)</f>
        <v/>
      </c>
      <c r="N45">
        <f>IF(F45="","",IFERROR(VLOOKUP(F45,lst_PropTauxLookup,2,0),""))</f>
        <v/>
      </c>
      <c r="O45">
        <f>IF(F45="","",IF(ISNUMBER(IFERROR(VLOOKUP(F45,lst_PropTauxLookup,2,0),"")),"REF_PROPRIETAIRE","A_CONTROLER"))</f>
        <v/>
      </c>
      <c r="Q45">
        <f>IF(OR(L45="",N45=""),"",IFERROR((L45-IF(M45="",0,M45))*N45,0))</f>
        <v/>
      </c>
      <c r="V45">
        <f>IF(L45="","",L45-IF(M45="",0,M45)-IF(Q45="",0,Q45)-IF(T45="",0,T45))</f>
        <v/>
      </c>
      <c r="Y45">
        <f>IF(W45="IC","OUI",IF(W45="HC","OUI",IF(W45="HR","NON","A_CONTROLER")))</f>
        <v/>
      </c>
      <c r="Z45">
        <f>IF(W45="IC","OUI",IF(W45="HC","NON",IF(W45="HR","NON","A_CONTROLER")))</f>
        <v/>
      </c>
    </row>
    <row r="46">
      <c r="B46">
        <f>IF(A46="","",A46&amp;"|"&amp;D46&amp;"|"&amp;F46&amp;"|"&amp;G46&amp;"|"&amp;TEXT(I46,"YYYYMMDD")&amp;"|"&amp;TEXT(L46,"0.00"))</f>
        <v/>
      </c>
      <c r="C46">
        <f>IF(I46="","",TEXT(I46,"YYYY-MM"))</f>
        <v/>
      </c>
      <c r="K46">
        <f>IF(OR(I46="",J46=""),"",J46-I46)</f>
        <v/>
      </c>
      <c r="N46">
        <f>IF(F46="","",IFERROR(VLOOKUP(F46,lst_PropTauxLookup,2,0),""))</f>
        <v/>
      </c>
      <c r="O46">
        <f>IF(F46="","",IF(ISNUMBER(IFERROR(VLOOKUP(F46,lst_PropTauxLookup,2,0),"")),"REF_PROPRIETAIRE","A_CONTROLER"))</f>
        <v/>
      </c>
      <c r="Q46">
        <f>IF(OR(L46="",N46=""),"",IFERROR((L46-IF(M46="",0,M46))*N46,0))</f>
        <v/>
      </c>
      <c r="V46">
        <f>IF(L46="","",L46-IF(M46="",0,M46)-IF(Q46="",0,Q46)-IF(T46="",0,T46))</f>
        <v/>
      </c>
      <c r="Y46">
        <f>IF(W46="IC","OUI",IF(W46="HC","OUI",IF(W46="HR","NON","A_CONTROLER")))</f>
        <v/>
      </c>
      <c r="Z46">
        <f>IF(W46="IC","OUI",IF(W46="HC","NON",IF(W46="HR","NON","A_CONTROLER")))</f>
        <v/>
      </c>
    </row>
    <row r="47">
      <c r="B47">
        <f>IF(A47="","",A47&amp;"|"&amp;D47&amp;"|"&amp;F47&amp;"|"&amp;G47&amp;"|"&amp;TEXT(I47,"YYYYMMDD")&amp;"|"&amp;TEXT(L47,"0.00"))</f>
        <v/>
      </c>
      <c r="C47">
        <f>IF(I47="","",TEXT(I47,"YYYY-MM"))</f>
        <v/>
      </c>
      <c r="K47">
        <f>IF(OR(I47="",J47=""),"",J47-I47)</f>
        <v/>
      </c>
      <c r="N47">
        <f>IF(F47="","",IFERROR(VLOOKUP(F47,lst_PropTauxLookup,2,0),""))</f>
        <v/>
      </c>
      <c r="O47">
        <f>IF(F47="","",IF(ISNUMBER(IFERROR(VLOOKUP(F47,lst_PropTauxLookup,2,0),"")),"REF_PROPRIETAIRE","A_CONTROLER"))</f>
        <v/>
      </c>
      <c r="Q47">
        <f>IF(OR(L47="",N47=""),"",IFERROR((L47-IF(M47="",0,M47))*N47,0))</f>
        <v/>
      </c>
      <c r="V47">
        <f>IF(L47="","",L47-IF(M47="",0,M47)-IF(Q47="",0,Q47)-IF(T47="",0,T47))</f>
        <v/>
      </c>
      <c r="Y47">
        <f>IF(W47="IC","OUI",IF(W47="HC","OUI",IF(W47="HR","NON","A_CONTROLER")))</f>
        <v/>
      </c>
      <c r="Z47">
        <f>IF(W47="IC","OUI",IF(W47="HC","NON",IF(W47="HR","NON","A_CONTROLER")))</f>
        <v/>
      </c>
    </row>
    <row r="48">
      <c r="B48">
        <f>IF(A48="","",A48&amp;"|"&amp;D48&amp;"|"&amp;F48&amp;"|"&amp;G48&amp;"|"&amp;TEXT(I48,"YYYYMMDD")&amp;"|"&amp;TEXT(L48,"0.00"))</f>
        <v/>
      </c>
      <c r="C48">
        <f>IF(I48="","",TEXT(I48,"YYYY-MM"))</f>
        <v/>
      </c>
      <c r="K48">
        <f>IF(OR(I48="",J48=""),"",J48-I48)</f>
        <v/>
      </c>
      <c r="N48">
        <f>IF(F48="","",IFERROR(VLOOKUP(F48,lst_PropTauxLookup,2,0),""))</f>
        <v/>
      </c>
      <c r="O48">
        <f>IF(F48="","",IF(ISNUMBER(IFERROR(VLOOKUP(F48,lst_PropTauxLookup,2,0),"")),"REF_PROPRIETAIRE","A_CONTROLER"))</f>
        <v/>
      </c>
      <c r="Q48">
        <f>IF(OR(L48="",N48=""),"",IFERROR((L48-IF(M48="",0,M48))*N48,0))</f>
        <v/>
      </c>
      <c r="V48">
        <f>IF(L48="","",L48-IF(M48="",0,M48)-IF(Q48="",0,Q48)-IF(T48="",0,T48))</f>
        <v/>
      </c>
      <c r="Y48">
        <f>IF(W48="IC","OUI",IF(W48="HC","OUI",IF(W48="HR","NON","A_CONTROLER")))</f>
        <v/>
      </c>
      <c r="Z48">
        <f>IF(W48="IC","OUI",IF(W48="HC","NON",IF(W48="HR","NON","A_CONTROLER")))</f>
        <v/>
      </c>
    </row>
    <row r="49">
      <c r="B49">
        <f>IF(A49="","",A49&amp;"|"&amp;D49&amp;"|"&amp;F49&amp;"|"&amp;G49&amp;"|"&amp;TEXT(I49,"YYYYMMDD")&amp;"|"&amp;TEXT(L49,"0.00"))</f>
        <v/>
      </c>
      <c r="C49">
        <f>IF(I49="","",TEXT(I49,"YYYY-MM"))</f>
        <v/>
      </c>
      <c r="K49">
        <f>IF(OR(I49="",J49=""),"",J49-I49)</f>
        <v/>
      </c>
      <c r="N49">
        <f>IF(F49="","",IFERROR(VLOOKUP(F49,lst_PropTauxLookup,2,0),""))</f>
        <v/>
      </c>
      <c r="O49">
        <f>IF(F49="","",IF(ISNUMBER(IFERROR(VLOOKUP(F49,lst_PropTauxLookup,2,0),"")),"REF_PROPRIETAIRE","A_CONTROLER"))</f>
        <v/>
      </c>
      <c r="Q49">
        <f>IF(OR(L49="",N49=""),"",IFERROR((L49-IF(M49="",0,M49))*N49,0))</f>
        <v/>
      </c>
      <c r="V49">
        <f>IF(L49="","",L49-IF(M49="",0,M49)-IF(Q49="",0,Q49)-IF(T49="",0,T49))</f>
        <v/>
      </c>
      <c r="Y49">
        <f>IF(W49="IC","OUI",IF(W49="HC","OUI",IF(W49="HR","NON","A_CONTROLER")))</f>
        <v/>
      </c>
      <c r="Z49">
        <f>IF(W49="IC","OUI",IF(W49="HC","NON",IF(W49="HR","NON","A_CONTROLER")))</f>
        <v/>
      </c>
    </row>
    <row r="50">
      <c r="B50">
        <f>IF(A50="","",A50&amp;"|"&amp;D50&amp;"|"&amp;F50&amp;"|"&amp;G50&amp;"|"&amp;TEXT(I50,"YYYYMMDD")&amp;"|"&amp;TEXT(L50,"0.00"))</f>
        <v/>
      </c>
      <c r="C50">
        <f>IF(I50="","",TEXT(I50,"YYYY-MM"))</f>
        <v/>
      </c>
      <c r="K50">
        <f>IF(OR(I50="",J50=""),"",J50-I50)</f>
        <v/>
      </c>
      <c r="N50">
        <f>IF(F50="","",IFERROR(VLOOKUP(F50,lst_PropTauxLookup,2,0),""))</f>
        <v/>
      </c>
      <c r="O50">
        <f>IF(F50="","",IF(ISNUMBER(IFERROR(VLOOKUP(F50,lst_PropTauxLookup,2,0),"")),"REF_PROPRIETAIRE","A_CONTROLER"))</f>
        <v/>
      </c>
      <c r="Q50">
        <f>IF(OR(L50="",N50=""),"",IFERROR((L50-IF(M50="",0,M50))*N50,0))</f>
        <v/>
      </c>
      <c r="V50">
        <f>IF(L50="","",L50-IF(M50="",0,M50)-IF(Q50="",0,Q50)-IF(T50="",0,T50))</f>
        <v/>
      </c>
      <c r="Y50">
        <f>IF(W50="IC","OUI",IF(W50="HC","OUI",IF(W50="HR","NON","A_CONTROLER")))</f>
        <v/>
      </c>
      <c r="Z50">
        <f>IF(W50="IC","OUI",IF(W50="HC","NON",IF(W50="HR","NON","A_CONTROLER")))</f>
        <v/>
      </c>
    </row>
    <row r="51">
      <c r="B51">
        <f>IF(A51="","",A51&amp;"|"&amp;D51&amp;"|"&amp;F51&amp;"|"&amp;G51&amp;"|"&amp;TEXT(I51,"YYYYMMDD")&amp;"|"&amp;TEXT(L51,"0.00"))</f>
        <v/>
      </c>
      <c r="C51">
        <f>IF(I51="","",TEXT(I51,"YYYY-MM"))</f>
        <v/>
      </c>
      <c r="K51">
        <f>IF(OR(I51="",J51=""),"",J51-I51)</f>
        <v/>
      </c>
      <c r="N51">
        <f>IF(F51="","",IFERROR(VLOOKUP(F51,lst_PropTauxLookup,2,0),""))</f>
        <v/>
      </c>
      <c r="O51">
        <f>IF(F51="","",IF(ISNUMBER(IFERROR(VLOOKUP(F51,lst_PropTauxLookup,2,0),"")),"REF_PROPRIETAIRE","A_CONTROLER"))</f>
        <v/>
      </c>
      <c r="Q51">
        <f>IF(OR(L51="",N51=""),"",IFERROR((L51-IF(M51="",0,M51))*N51,0))</f>
        <v/>
      </c>
      <c r="V51">
        <f>IF(L51="","",L51-IF(M51="",0,M51)-IF(Q51="",0,Q51)-IF(T51="",0,T51))</f>
        <v/>
      </c>
      <c r="Y51">
        <f>IF(W51="IC","OUI",IF(W51="HC","OUI",IF(W51="HR","NON","A_CONTROLER")))</f>
        <v/>
      </c>
      <c r="Z51">
        <f>IF(W51="IC","OUI",IF(W51="HC","NON",IF(W51="HR","NON","A_CONTROLER")))</f>
        <v/>
      </c>
    </row>
    <row r="52">
      <c r="B52">
        <f>IF(A52="","",A52&amp;"|"&amp;D52&amp;"|"&amp;F52&amp;"|"&amp;G52&amp;"|"&amp;TEXT(I52,"YYYYMMDD")&amp;"|"&amp;TEXT(L52,"0.00"))</f>
        <v/>
      </c>
      <c r="C52">
        <f>IF(I52="","",TEXT(I52,"YYYY-MM"))</f>
        <v/>
      </c>
      <c r="K52">
        <f>IF(OR(I52="",J52=""),"",J52-I52)</f>
        <v/>
      </c>
      <c r="N52">
        <f>IF(F52="","",IFERROR(VLOOKUP(F52,lst_PropTauxLookup,2,0),""))</f>
        <v/>
      </c>
      <c r="O52">
        <f>IF(F52="","",IF(ISNUMBER(IFERROR(VLOOKUP(F52,lst_PropTauxLookup,2,0),"")),"REF_PROPRIETAIRE","A_CONTROLER"))</f>
        <v/>
      </c>
      <c r="Q52">
        <f>IF(OR(L52="",N52=""),"",IFERROR((L52-IF(M52="",0,M52))*N52,0))</f>
        <v/>
      </c>
      <c r="V52">
        <f>IF(L52="","",L52-IF(M52="",0,M52)-IF(Q52="",0,Q52)-IF(T52="",0,T52))</f>
        <v/>
      </c>
      <c r="Y52">
        <f>IF(W52="IC","OUI",IF(W52="HC","OUI",IF(W52="HR","NON","A_CONTROLER")))</f>
        <v/>
      </c>
      <c r="Z52">
        <f>IF(W52="IC","OUI",IF(W52="HC","NON",IF(W52="HR","NON","A_CONTROLER")))</f>
        <v/>
      </c>
    </row>
    <row r="53">
      <c r="B53">
        <f>IF(A53="","",A53&amp;"|"&amp;D53&amp;"|"&amp;F53&amp;"|"&amp;G53&amp;"|"&amp;TEXT(I53,"YYYYMMDD")&amp;"|"&amp;TEXT(L53,"0.00"))</f>
        <v/>
      </c>
      <c r="C53">
        <f>IF(I53="","",TEXT(I53,"YYYY-MM"))</f>
        <v/>
      </c>
      <c r="K53">
        <f>IF(OR(I53="",J53=""),"",J53-I53)</f>
        <v/>
      </c>
      <c r="N53">
        <f>IF(F53="","",IFERROR(VLOOKUP(F53,lst_PropTauxLookup,2,0),""))</f>
        <v/>
      </c>
      <c r="O53">
        <f>IF(F53="","",IF(ISNUMBER(IFERROR(VLOOKUP(F53,lst_PropTauxLookup,2,0),"")),"REF_PROPRIETAIRE","A_CONTROLER"))</f>
        <v/>
      </c>
      <c r="Q53">
        <f>IF(OR(L53="",N53=""),"",IFERROR((L53-IF(M53="",0,M53))*N53,0))</f>
        <v/>
      </c>
      <c r="V53">
        <f>IF(L53="","",L53-IF(M53="",0,M53)-IF(Q53="",0,Q53)-IF(T53="",0,T53))</f>
        <v/>
      </c>
      <c r="Y53">
        <f>IF(W53="IC","OUI",IF(W53="HC","OUI",IF(W53="HR","NON","A_CONTROLER")))</f>
        <v/>
      </c>
      <c r="Z53">
        <f>IF(W53="IC","OUI",IF(W53="HC","NON",IF(W53="HR","NON","A_CONTROLER")))</f>
        <v/>
      </c>
    </row>
    <row r="54">
      <c r="B54">
        <f>IF(A54="","",A54&amp;"|"&amp;D54&amp;"|"&amp;F54&amp;"|"&amp;G54&amp;"|"&amp;TEXT(I54,"YYYYMMDD")&amp;"|"&amp;TEXT(L54,"0.00"))</f>
        <v/>
      </c>
      <c r="C54">
        <f>IF(I54="","",TEXT(I54,"YYYY-MM"))</f>
        <v/>
      </c>
      <c r="K54">
        <f>IF(OR(I54="",J54=""),"",J54-I54)</f>
        <v/>
      </c>
      <c r="N54">
        <f>IF(F54="","",IFERROR(VLOOKUP(F54,lst_PropTauxLookup,2,0),""))</f>
        <v/>
      </c>
      <c r="O54">
        <f>IF(F54="","",IF(ISNUMBER(IFERROR(VLOOKUP(F54,lst_PropTauxLookup,2,0),"")),"REF_PROPRIETAIRE","A_CONTROLER"))</f>
        <v/>
      </c>
      <c r="Q54">
        <f>IF(OR(L54="",N54=""),"",IFERROR((L54-IF(M54="",0,M54))*N54,0))</f>
        <v/>
      </c>
      <c r="V54">
        <f>IF(L54="","",L54-IF(M54="",0,M54)-IF(Q54="",0,Q54)-IF(T54="",0,T54))</f>
        <v/>
      </c>
      <c r="Y54">
        <f>IF(W54="IC","OUI",IF(W54="HC","OUI",IF(W54="HR","NON","A_CONTROLER")))</f>
        <v/>
      </c>
      <c r="Z54">
        <f>IF(W54="IC","OUI",IF(W54="HC","NON",IF(W54="HR","NON","A_CONTROLER")))</f>
        <v/>
      </c>
    </row>
    <row r="55">
      <c r="B55">
        <f>IF(A55="","",A55&amp;"|"&amp;D55&amp;"|"&amp;F55&amp;"|"&amp;G55&amp;"|"&amp;TEXT(I55,"YYYYMMDD")&amp;"|"&amp;TEXT(L55,"0.00"))</f>
        <v/>
      </c>
      <c r="C55">
        <f>IF(I55="","",TEXT(I55,"YYYY-MM"))</f>
        <v/>
      </c>
      <c r="K55">
        <f>IF(OR(I55="",J55=""),"",J55-I55)</f>
        <v/>
      </c>
      <c r="N55">
        <f>IF(F55="","",IFERROR(VLOOKUP(F55,lst_PropTauxLookup,2,0),""))</f>
        <v/>
      </c>
      <c r="O55">
        <f>IF(F55="","",IF(ISNUMBER(IFERROR(VLOOKUP(F55,lst_PropTauxLookup,2,0),"")),"REF_PROPRIETAIRE","A_CONTROLER"))</f>
        <v/>
      </c>
      <c r="Q55">
        <f>IF(OR(L55="",N55=""),"",IFERROR((L55-IF(M55="",0,M55))*N55,0))</f>
        <v/>
      </c>
      <c r="V55">
        <f>IF(L55="","",L55-IF(M55="",0,M55)-IF(Q55="",0,Q55)-IF(T55="",0,T55))</f>
        <v/>
      </c>
      <c r="Y55">
        <f>IF(W55="IC","OUI",IF(W55="HC","OUI",IF(W55="HR","NON","A_CONTROLER")))</f>
        <v/>
      </c>
      <c r="Z55">
        <f>IF(W55="IC","OUI",IF(W55="HC","NON",IF(W55="HR","NON","A_CONTROLER")))</f>
        <v/>
      </c>
    </row>
    <row r="56">
      <c r="B56">
        <f>IF(A56="","",A56&amp;"|"&amp;D56&amp;"|"&amp;F56&amp;"|"&amp;G56&amp;"|"&amp;TEXT(I56,"YYYYMMDD")&amp;"|"&amp;TEXT(L56,"0.00"))</f>
        <v/>
      </c>
      <c r="C56">
        <f>IF(I56="","",TEXT(I56,"YYYY-MM"))</f>
        <v/>
      </c>
      <c r="K56">
        <f>IF(OR(I56="",J56=""),"",J56-I56)</f>
        <v/>
      </c>
      <c r="N56">
        <f>IF(F56="","",IFERROR(VLOOKUP(F56,lst_PropTauxLookup,2,0),""))</f>
        <v/>
      </c>
      <c r="O56">
        <f>IF(F56="","",IF(ISNUMBER(IFERROR(VLOOKUP(F56,lst_PropTauxLookup,2,0),"")),"REF_PROPRIETAIRE","A_CONTROLER"))</f>
        <v/>
      </c>
      <c r="Q56">
        <f>IF(OR(L56="",N56=""),"",IFERROR((L56-IF(M56="",0,M56))*N56,0))</f>
        <v/>
      </c>
      <c r="V56">
        <f>IF(L56="","",L56-IF(M56="",0,M56)-IF(Q56="",0,Q56)-IF(T56="",0,T56))</f>
        <v/>
      </c>
      <c r="Y56">
        <f>IF(W56="IC","OUI",IF(W56="HC","OUI",IF(W56="HR","NON","A_CONTROLER")))</f>
        <v/>
      </c>
      <c r="Z56">
        <f>IF(W56="IC","OUI",IF(W56="HC","NON",IF(W56="HR","NON","A_CONTROLER")))</f>
        <v/>
      </c>
    </row>
    <row r="57">
      <c r="B57">
        <f>IF(A57="","",A57&amp;"|"&amp;D57&amp;"|"&amp;F57&amp;"|"&amp;G57&amp;"|"&amp;TEXT(I57,"YYYYMMDD")&amp;"|"&amp;TEXT(L57,"0.00"))</f>
        <v/>
      </c>
      <c r="C57">
        <f>IF(I57="","",TEXT(I57,"YYYY-MM"))</f>
        <v/>
      </c>
      <c r="K57">
        <f>IF(OR(I57="",J57=""),"",J57-I57)</f>
        <v/>
      </c>
      <c r="N57">
        <f>IF(F57="","",IFERROR(VLOOKUP(F57,lst_PropTauxLookup,2,0),""))</f>
        <v/>
      </c>
      <c r="O57">
        <f>IF(F57="","",IF(ISNUMBER(IFERROR(VLOOKUP(F57,lst_PropTauxLookup,2,0),"")),"REF_PROPRIETAIRE","A_CONTROLER"))</f>
        <v/>
      </c>
      <c r="Q57">
        <f>IF(OR(L57="",N57=""),"",IFERROR((L57-IF(M57="",0,M57))*N57,0))</f>
        <v/>
      </c>
      <c r="V57">
        <f>IF(L57="","",L57-IF(M57="",0,M57)-IF(Q57="",0,Q57)-IF(T57="",0,T57))</f>
        <v/>
      </c>
      <c r="Y57">
        <f>IF(W57="IC","OUI",IF(W57="HC","OUI",IF(W57="HR","NON","A_CONTROLER")))</f>
        <v/>
      </c>
      <c r="Z57">
        <f>IF(W57="IC","OUI",IF(W57="HC","NON",IF(W57="HR","NON","A_CONTROLER")))</f>
        <v/>
      </c>
    </row>
    <row r="58">
      <c r="B58">
        <f>IF(A58="","",A58&amp;"|"&amp;D58&amp;"|"&amp;F58&amp;"|"&amp;G58&amp;"|"&amp;TEXT(I58,"YYYYMMDD")&amp;"|"&amp;TEXT(L58,"0.00"))</f>
        <v/>
      </c>
      <c r="C58">
        <f>IF(I58="","",TEXT(I58,"YYYY-MM"))</f>
        <v/>
      </c>
      <c r="K58">
        <f>IF(OR(I58="",J58=""),"",J58-I58)</f>
        <v/>
      </c>
      <c r="N58">
        <f>IF(F58="","",IFERROR(VLOOKUP(F58,lst_PropTauxLookup,2,0),""))</f>
        <v/>
      </c>
      <c r="O58">
        <f>IF(F58="","",IF(ISNUMBER(IFERROR(VLOOKUP(F58,lst_PropTauxLookup,2,0),"")),"REF_PROPRIETAIRE","A_CONTROLER"))</f>
        <v/>
      </c>
      <c r="Q58">
        <f>IF(OR(L58="",N58=""),"",IFERROR((L58-IF(M58="",0,M58))*N58,0))</f>
        <v/>
      </c>
      <c r="V58">
        <f>IF(L58="","",L58-IF(M58="",0,M58)-IF(Q58="",0,Q58)-IF(T58="",0,T58))</f>
        <v/>
      </c>
      <c r="Y58">
        <f>IF(W58="IC","OUI",IF(W58="HC","OUI",IF(W58="HR","NON","A_CONTROLER")))</f>
        <v/>
      </c>
      <c r="Z58">
        <f>IF(W58="IC","OUI",IF(W58="HC","NON",IF(W58="HR","NON","A_CONTROLER")))</f>
        <v/>
      </c>
    </row>
    <row r="59">
      <c r="B59">
        <f>IF(A59="","",A59&amp;"|"&amp;D59&amp;"|"&amp;F59&amp;"|"&amp;G59&amp;"|"&amp;TEXT(I59,"YYYYMMDD")&amp;"|"&amp;TEXT(L59,"0.00"))</f>
        <v/>
      </c>
      <c r="C59">
        <f>IF(I59="","",TEXT(I59,"YYYY-MM"))</f>
        <v/>
      </c>
      <c r="K59">
        <f>IF(OR(I59="",J59=""),"",J59-I59)</f>
        <v/>
      </c>
      <c r="N59">
        <f>IF(F59="","",IFERROR(VLOOKUP(F59,lst_PropTauxLookup,2,0),""))</f>
        <v/>
      </c>
      <c r="O59">
        <f>IF(F59="","",IF(ISNUMBER(IFERROR(VLOOKUP(F59,lst_PropTauxLookup,2,0),"")),"REF_PROPRIETAIRE","A_CONTROLER"))</f>
        <v/>
      </c>
      <c r="Q59">
        <f>IF(OR(L59="",N59=""),"",IFERROR((L59-IF(M59="",0,M59))*N59,0))</f>
        <v/>
      </c>
      <c r="V59">
        <f>IF(L59="","",L59-IF(M59="",0,M59)-IF(Q59="",0,Q59)-IF(T59="",0,T59))</f>
        <v/>
      </c>
      <c r="Y59">
        <f>IF(W59="IC","OUI",IF(W59="HC","OUI",IF(W59="HR","NON","A_CONTROLER")))</f>
        <v/>
      </c>
      <c r="Z59">
        <f>IF(W59="IC","OUI",IF(W59="HC","NON",IF(W59="HR","NON","A_CONTROLER")))</f>
        <v/>
      </c>
    </row>
    <row r="60">
      <c r="B60">
        <f>IF(A60="","",A60&amp;"|"&amp;D60&amp;"|"&amp;F60&amp;"|"&amp;G60&amp;"|"&amp;TEXT(I60,"YYYYMMDD")&amp;"|"&amp;TEXT(L60,"0.00"))</f>
        <v/>
      </c>
      <c r="C60">
        <f>IF(I60="","",TEXT(I60,"YYYY-MM"))</f>
        <v/>
      </c>
      <c r="K60">
        <f>IF(OR(I60="",J60=""),"",J60-I60)</f>
        <v/>
      </c>
      <c r="N60">
        <f>IF(F60="","",IFERROR(VLOOKUP(F60,lst_PropTauxLookup,2,0),""))</f>
        <v/>
      </c>
      <c r="O60">
        <f>IF(F60="","",IF(ISNUMBER(IFERROR(VLOOKUP(F60,lst_PropTauxLookup,2,0),"")),"REF_PROPRIETAIRE","A_CONTROLER"))</f>
        <v/>
      </c>
      <c r="Q60">
        <f>IF(OR(L60="",N60=""),"",IFERROR((L60-IF(M60="",0,M60))*N60,0))</f>
        <v/>
      </c>
      <c r="V60">
        <f>IF(L60="","",L60-IF(M60="",0,M60)-IF(Q60="",0,Q60)-IF(T60="",0,T60))</f>
        <v/>
      </c>
      <c r="Y60">
        <f>IF(W60="IC","OUI",IF(W60="HC","OUI",IF(W60="HR","NON","A_CONTROLER")))</f>
        <v/>
      </c>
      <c r="Z60">
        <f>IF(W60="IC","OUI",IF(W60="HC","NON",IF(W60="HR","NON","A_CONTROLER")))</f>
        <v/>
      </c>
    </row>
    <row r="61">
      <c r="B61">
        <f>IF(A61="","",A61&amp;"|"&amp;D61&amp;"|"&amp;F61&amp;"|"&amp;G61&amp;"|"&amp;TEXT(I61,"YYYYMMDD")&amp;"|"&amp;TEXT(L61,"0.00"))</f>
        <v/>
      </c>
      <c r="C61">
        <f>IF(I61="","",TEXT(I61,"YYYY-MM"))</f>
        <v/>
      </c>
      <c r="K61">
        <f>IF(OR(I61="",J61=""),"",J61-I61)</f>
        <v/>
      </c>
      <c r="N61">
        <f>IF(F61="","",IFERROR(VLOOKUP(F61,lst_PropTauxLookup,2,0),""))</f>
        <v/>
      </c>
      <c r="O61">
        <f>IF(F61="","",IF(ISNUMBER(IFERROR(VLOOKUP(F61,lst_PropTauxLookup,2,0),"")),"REF_PROPRIETAIRE","A_CONTROLER"))</f>
        <v/>
      </c>
      <c r="Q61">
        <f>IF(OR(L61="",N61=""),"",IFERROR((L61-IF(M61="",0,M61))*N61,0))</f>
        <v/>
      </c>
      <c r="V61">
        <f>IF(L61="","",L61-IF(M61="",0,M61)-IF(Q61="",0,Q61)-IF(T61="",0,T61))</f>
        <v/>
      </c>
      <c r="Y61">
        <f>IF(W61="IC","OUI",IF(W61="HC","OUI",IF(W61="HR","NON","A_CONTROLER")))</f>
        <v/>
      </c>
      <c r="Z61">
        <f>IF(W61="IC","OUI",IF(W61="HC","NON",IF(W61="HR","NON","A_CONTROLER")))</f>
        <v/>
      </c>
    </row>
    <row r="62">
      <c r="B62">
        <f>IF(A62="","",A62&amp;"|"&amp;D62&amp;"|"&amp;F62&amp;"|"&amp;G62&amp;"|"&amp;TEXT(I62,"YYYYMMDD")&amp;"|"&amp;TEXT(L62,"0.00"))</f>
        <v/>
      </c>
      <c r="C62">
        <f>IF(I62="","",TEXT(I62,"YYYY-MM"))</f>
        <v/>
      </c>
      <c r="K62">
        <f>IF(OR(I62="",J62=""),"",J62-I62)</f>
        <v/>
      </c>
      <c r="N62">
        <f>IF(F62="","",IFERROR(VLOOKUP(F62,lst_PropTauxLookup,2,0),""))</f>
        <v/>
      </c>
      <c r="O62">
        <f>IF(F62="","",IF(ISNUMBER(IFERROR(VLOOKUP(F62,lst_PropTauxLookup,2,0),"")),"REF_PROPRIETAIRE","A_CONTROLER"))</f>
        <v/>
      </c>
      <c r="Q62">
        <f>IF(OR(L62="",N62=""),"",IFERROR((L62-IF(M62="",0,M62))*N62,0))</f>
        <v/>
      </c>
      <c r="V62">
        <f>IF(L62="","",L62-IF(M62="",0,M62)-IF(Q62="",0,Q62)-IF(T62="",0,T62))</f>
        <v/>
      </c>
      <c r="Y62">
        <f>IF(W62="IC","OUI",IF(W62="HC","OUI",IF(W62="HR","NON","A_CONTROLER")))</f>
        <v/>
      </c>
      <c r="Z62">
        <f>IF(W62="IC","OUI",IF(W62="HC","NON",IF(W62="HR","NON","A_CONTROLER")))</f>
        <v/>
      </c>
    </row>
    <row r="63">
      <c r="B63">
        <f>IF(A63="","",A63&amp;"|"&amp;D63&amp;"|"&amp;F63&amp;"|"&amp;G63&amp;"|"&amp;TEXT(I63,"YYYYMMDD")&amp;"|"&amp;TEXT(L63,"0.00"))</f>
        <v/>
      </c>
      <c r="C63">
        <f>IF(I63="","",TEXT(I63,"YYYY-MM"))</f>
        <v/>
      </c>
      <c r="K63">
        <f>IF(OR(I63="",J63=""),"",J63-I63)</f>
        <v/>
      </c>
      <c r="N63">
        <f>IF(F63="","",IFERROR(VLOOKUP(F63,lst_PropTauxLookup,2,0),""))</f>
        <v/>
      </c>
      <c r="O63">
        <f>IF(F63="","",IF(ISNUMBER(IFERROR(VLOOKUP(F63,lst_PropTauxLookup,2,0),"")),"REF_PROPRIETAIRE","A_CONTROLER"))</f>
        <v/>
      </c>
      <c r="Q63">
        <f>IF(OR(L63="",N63=""),"",IFERROR((L63-IF(M63="",0,M63))*N63,0))</f>
        <v/>
      </c>
      <c r="V63">
        <f>IF(L63="","",L63-IF(M63="",0,M63)-IF(Q63="",0,Q63)-IF(T63="",0,T63))</f>
        <v/>
      </c>
      <c r="Y63">
        <f>IF(W63="IC","OUI",IF(W63="HC","OUI",IF(W63="HR","NON","A_CONTROLER")))</f>
        <v/>
      </c>
      <c r="Z63">
        <f>IF(W63="IC","OUI",IF(W63="HC","NON",IF(W63="HR","NON","A_CONTROLER")))</f>
        <v/>
      </c>
    </row>
    <row r="64">
      <c r="B64">
        <f>IF(A64="","",A64&amp;"|"&amp;D64&amp;"|"&amp;F64&amp;"|"&amp;G64&amp;"|"&amp;TEXT(I64,"YYYYMMDD")&amp;"|"&amp;TEXT(L64,"0.00"))</f>
        <v/>
      </c>
      <c r="C64">
        <f>IF(I64="","",TEXT(I64,"YYYY-MM"))</f>
        <v/>
      </c>
      <c r="K64">
        <f>IF(OR(I64="",J64=""),"",J64-I64)</f>
        <v/>
      </c>
      <c r="N64">
        <f>IF(F64="","",IFERROR(VLOOKUP(F64,lst_PropTauxLookup,2,0),""))</f>
        <v/>
      </c>
      <c r="O64">
        <f>IF(F64="","",IF(ISNUMBER(IFERROR(VLOOKUP(F64,lst_PropTauxLookup,2,0),"")),"REF_PROPRIETAIRE","A_CONTROLER"))</f>
        <v/>
      </c>
      <c r="Q64">
        <f>IF(OR(L64="",N64=""),"",IFERROR((L64-IF(M64="",0,M64))*N64,0))</f>
        <v/>
      </c>
      <c r="V64">
        <f>IF(L64="","",L64-IF(M64="",0,M64)-IF(Q64="",0,Q64)-IF(T64="",0,T64))</f>
        <v/>
      </c>
      <c r="Y64">
        <f>IF(W64="IC","OUI",IF(W64="HC","OUI",IF(W64="HR","NON","A_CONTROLER")))</f>
        <v/>
      </c>
      <c r="Z64">
        <f>IF(W64="IC","OUI",IF(W64="HC","NON",IF(W64="HR","NON","A_CONTROLER")))</f>
        <v/>
      </c>
    </row>
    <row r="65">
      <c r="B65">
        <f>IF(A65="","",A65&amp;"|"&amp;D65&amp;"|"&amp;F65&amp;"|"&amp;G65&amp;"|"&amp;TEXT(I65,"YYYYMMDD")&amp;"|"&amp;TEXT(L65,"0.00"))</f>
        <v/>
      </c>
      <c r="C65">
        <f>IF(I65="","",TEXT(I65,"YYYY-MM"))</f>
        <v/>
      </c>
      <c r="K65">
        <f>IF(OR(I65="",J65=""),"",J65-I65)</f>
        <v/>
      </c>
      <c r="N65">
        <f>IF(F65="","",IFERROR(VLOOKUP(F65,lst_PropTauxLookup,2,0),""))</f>
        <v/>
      </c>
      <c r="O65">
        <f>IF(F65="","",IF(ISNUMBER(IFERROR(VLOOKUP(F65,lst_PropTauxLookup,2,0),"")),"REF_PROPRIETAIRE","A_CONTROLER"))</f>
        <v/>
      </c>
      <c r="Q65">
        <f>IF(OR(L65="",N65=""),"",IFERROR((L65-IF(M65="",0,M65))*N65,0))</f>
        <v/>
      </c>
      <c r="V65">
        <f>IF(L65="","",L65-IF(M65="",0,M65)-IF(Q65="",0,Q65)-IF(T65="",0,T65))</f>
        <v/>
      </c>
      <c r="Y65">
        <f>IF(W65="IC","OUI",IF(W65="HC","OUI",IF(W65="HR","NON","A_CONTROLER")))</f>
        <v/>
      </c>
      <c r="Z65">
        <f>IF(W65="IC","OUI",IF(W65="HC","NON",IF(W65="HR","NON","A_CONTROLER")))</f>
        <v/>
      </c>
    </row>
    <row r="66">
      <c r="B66">
        <f>IF(A66="","",A66&amp;"|"&amp;D66&amp;"|"&amp;F66&amp;"|"&amp;G66&amp;"|"&amp;TEXT(I66,"YYYYMMDD")&amp;"|"&amp;TEXT(L66,"0.00"))</f>
        <v/>
      </c>
      <c r="C66">
        <f>IF(I66="","",TEXT(I66,"YYYY-MM"))</f>
        <v/>
      </c>
      <c r="K66">
        <f>IF(OR(I66="",J66=""),"",J66-I66)</f>
        <v/>
      </c>
      <c r="N66">
        <f>IF(F66="","",IFERROR(VLOOKUP(F66,lst_PropTauxLookup,2,0),""))</f>
        <v/>
      </c>
      <c r="O66">
        <f>IF(F66="","",IF(ISNUMBER(IFERROR(VLOOKUP(F66,lst_PropTauxLookup,2,0),"")),"REF_PROPRIETAIRE","A_CONTROLER"))</f>
        <v/>
      </c>
      <c r="Q66">
        <f>IF(OR(L66="",N66=""),"",IFERROR((L66-IF(M66="",0,M66))*N66,0))</f>
        <v/>
      </c>
      <c r="V66">
        <f>IF(L66="","",L66-IF(M66="",0,M66)-IF(Q66="",0,Q66)-IF(T66="",0,T66))</f>
        <v/>
      </c>
      <c r="Y66">
        <f>IF(W66="IC","OUI",IF(W66="HC","OUI",IF(W66="HR","NON","A_CONTROLER")))</f>
        <v/>
      </c>
      <c r="Z66">
        <f>IF(W66="IC","OUI",IF(W66="HC","NON",IF(W66="HR","NON","A_CONTROLER")))</f>
        <v/>
      </c>
    </row>
    <row r="67">
      <c r="B67">
        <f>IF(A67="","",A67&amp;"|"&amp;D67&amp;"|"&amp;F67&amp;"|"&amp;G67&amp;"|"&amp;TEXT(I67,"YYYYMMDD")&amp;"|"&amp;TEXT(L67,"0.00"))</f>
        <v/>
      </c>
      <c r="C67">
        <f>IF(I67="","",TEXT(I67,"YYYY-MM"))</f>
        <v/>
      </c>
      <c r="K67">
        <f>IF(OR(I67="",J67=""),"",J67-I67)</f>
        <v/>
      </c>
      <c r="N67">
        <f>IF(F67="","",IFERROR(VLOOKUP(F67,lst_PropTauxLookup,2,0),""))</f>
        <v/>
      </c>
      <c r="O67">
        <f>IF(F67="","",IF(ISNUMBER(IFERROR(VLOOKUP(F67,lst_PropTauxLookup,2,0),"")),"REF_PROPRIETAIRE","A_CONTROLER"))</f>
        <v/>
      </c>
      <c r="Q67">
        <f>IF(OR(L67="",N67=""),"",IFERROR((L67-IF(M67="",0,M67))*N67,0))</f>
        <v/>
      </c>
      <c r="V67">
        <f>IF(L67="","",L67-IF(M67="",0,M67)-IF(Q67="",0,Q67)-IF(T67="",0,T67))</f>
        <v/>
      </c>
      <c r="Y67">
        <f>IF(W67="IC","OUI",IF(W67="HC","OUI",IF(W67="HR","NON","A_CONTROLER")))</f>
        <v/>
      </c>
      <c r="Z67">
        <f>IF(W67="IC","OUI",IF(W67="HC","NON",IF(W67="HR","NON","A_CONTROLER")))</f>
        <v/>
      </c>
    </row>
    <row r="68">
      <c r="B68">
        <f>IF(A68="","",A68&amp;"|"&amp;D68&amp;"|"&amp;F68&amp;"|"&amp;G68&amp;"|"&amp;TEXT(I68,"YYYYMMDD")&amp;"|"&amp;TEXT(L68,"0.00"))</f>
        <v/>
      </c>
      <c r="C68">
        <f>IF(I68="","",TEXT(I68,"YYYY-MM"))</f>
        <v/>
      </c>
      <c r="K68">
        <f>IF(OR(I68="",J68=""),"",J68-I68)</f>
        <v/>
      </c>
      <c r="N68">
        <f>IF(F68="","",IFERROR(VLOOKUP(F68,lst_PropTauxLookup,2,0),""))</f>
        <v/>
      </c>
      <c r="O68">
        <f>IF(F68="","",IF(ISNUMBER(IFERROR(VLOOKUP(F68,lst_PropTauxLookup,2,0),"")),"REF_PROPRIETAIRE","A_CONTROLER"))</f>
        <v/>
      </c>
      <c r="Q68">
        <f>IF(OR(L68="",N68=""),"",IFERROR((L68-IF(M68="",0,M68))*N68,0))</f>
        <v/>
      </c>
      <c r="V68">
        <f>IF(L68="","",L68-IF(M68="",0,M68)-IF(Q68="",0,Q68)-IF(T68="",0,T68))</f>
        <v/>
      </c>
      <c r="Y68">
        <f>IF(W68="IC","OUI",IF(W68="HC","OUI",IF(W68="HR","NON","A_CONTROLER")))</f>
        <v/>
      </c>
      <c r="Z68">
        <f>IF(W68="IC","OUI",IF(W68="HC","NON",IF(W68="HR","NON","A_CONTROLER")))</f>
        <v/>
      </c>
    </row>
    <row r="69">
      <c r="B69">
        <f>IF(A69="","",A69&amp;"|"&amp;D69&amp;"|"&amp;F69&amp;"|"&amp;G69&amp;"|"&amp;TEXT(I69,"YYYYMMDD")&amp;"|"&amp;TEXT(L69,"0.00"))</f>
        <v/>
      </c>
      <c r="C69">
        <f>IF(I69="","",TEXT(I69,"YYYY-MM"))</f>
        <v/>
      </c>
      <c r="K69">
        <f>IF(OR(I69="",J69=""),"",J69-I69)</f>
        <v/>
      </c>
      <c r="N69">
        <f>IF(F69="","",IFERROR(VLOOKUP(F69,lst_PropTauxLookup,2,0),""))</f>
        <v/>
      </c>
      <c r="O69">
        <f>IF(F69="","",IF(ISNUMBER(IFERROR(VLOOKUP(F69,lst_PropTauxLookup,2,0),"")),"REF_PROPRIETAIRE","A_CONTROLER"))</f>
        <v/>
      </c>
      <c r="Q69">
        <f>IF(OR(L69="",N69=""),"",IFERROR((L69-IF(M69="",0,M69))*N69,0))</f>
        <v/>
      </c>
      <c r="V69">
        <f>IF(L69="","",L69-IF(M69="",0,M69)-IF(Q69="",0,Q69)-IF(T69="",0,T69))</f>
        <v/>
      </c>
      <c r="Y69">
        <f>IF(W69="IC","OUI",IF(W69="HC","OUI",IF(W69="HR","NON","A_CONTROLER")))</f>
        <v/>
      </c>
      <c r="Z69">
        <f>IF(W69="IC","OUI",IF(W69="HC","NON",IF(W69="HR","NON","A_CONTROLER")))</f>
        <v/>
      </c>
    </row>
    <row r="70">
      <c r="B70">
        <f>IF(A70="","",A70&amp;"|"&amp;D70&amp;"|"&amp;F70&amp;"|"&amp;G70&amp;"|"&amp;TEXT(I70,"YYYYMMDD")&amp;"|"&amp;TEXT(L70,"0.00"))</f>
        <v/>
      </c>
      <c r="C70">
        <f>IF(I70="","",TEXT(I70,"YYYY-MM"))</f>
        <v/>
      </c>
      <c r="K70">
        <f>IF(OR(I70="",J70=""),"",J70-I70)</f>
        <v/>
      </c>
      <c r="N70">
        <f>IF(F70="","",IFERROR(VLOOKUP(F70,lst_PropTauxLookup,2,0),""))</f>
        <v/>
      </c>
      <c r="O70">
        <f>IF(F70="","",IF(ISNUMBER(IFERROR(VLOOKUP(F70,lst_PropTauxLookup,2,0),"")),"REF_PROPRIETAIRE","A_CONTROLER"))</f>
        <v/>
      </c>
      <c r="Q70">
        <f>IF(OR(L70="",N70=""),"",IFERROR((L70-IF(M70="",0,M70))*N70,0))</f>
        <v/>
      </c>
      <c r="V70">
        <f>IF(L70="","",L70-IF(M70="",0,M70)-IF(Q70="",0,Q70)-IF(T70="",0,T70))</f>
        <v/>
      </c>
      <c r="Y70">
        <f>IF(W70="IC","OUI",IF(W70="HC","OUI",IF(W70="HR","NON","A_CONTROLER")))</f>
        <v/>
      </c>
      <c r="Z70">
        <f>IF(W70="IC","OUI",IF(W70="HC","NON",IF(W70="HR","NON","A_CONTROLER")))</f>
        <v/>
      </c>
    </row>
    <row r="71">
      <c r="B71">
        <f>IF(A71="","",A71&amp;"|"&amp;D71&amp;"|"&amp;F71&amp;"|"&amp;G71&amp;"|"&amp;TEXT(I71,"YYYYMMDD")&amp;"|"&amp;TEXT(L71,"0.00"))</f>
        <v/>
      </c>
      <c r="C71">
        <f>IF(I71="","",TEXT(I71,"YYYY-MM"))</f>
        <v/>
      </c>
      <c r="K71">
        <f>IF(OR(I71="",J71=""),"",J71-I71)</f>
        <v/>
      </c>
      <c r="N71">
        <f>IF(F71="","",IFERROR(VLOOKUP(F71,lst_PropTauxLookup,2,0),""))</f>
        <v/>
      </c>
      <c r="O71">
        <f>IF(F71="","",IF(ISNUMBER(IFERROR(VLOOKUP(F71,lst_PropTauxLookup,2,0),"")),"REF_PROPRIETAIRE","A_CONTROLER"))</f>
        <v/>
      </c>
      <c r="Q71">
        <f>IF(OR(L71="",N71=""),"",IFERROR((L71-IF(M71="",0,M71))*N71,0))</f>
        <v/>
      </c>
      <c r="V71">
        <f>IF(L71="","",L71-IF(M71="",0,M71)-IF(Q71="",0,Q71)-IF(T71="",0,T71))</f>
        <v/>
      </c>
      <c r="Y71">
        <f>IF(W71="IC","OUI",IF(W71="HC","OUI",IF(W71="HR","NON","A_CONTROLER")))</f>
        <v/>
      </c>
      <c r="Z71">
        <f>IF(W71="IC","OUI",IF(W71="HC","NON",IF(W71="HR","NON","A_CONTROLER")))</f>
        <v/>
      </c>
    </row>
    <row r="72">
      <c r="B72">
        <f>IF(A72="","",A72&amp;"|"&amp;D72&amp;"|"&amp;F72&amp;"|"&amp;G72&amp;"|"&amp;TEXT(I72,"YYYYMMDD")&amp;"|"&amp;TEXT(L72,"0.00"))</f>
        <v/>
      </c>
      <c r="C72">
        <f>IF(I72="","",TEXT(I72,"YYYY-MM"))</f>
        <v/>
      </c>
      <c r="K72">
        <f>IF(OR(I72="",J72=""),"",J72-I72)</f>
        <v/>
      </c>
      <c r="N72">
        <f>IF(F72="","",IFERROR(VLOOKUP(F72,lst_PropTauxLookup,2,0),""))</f>
        <v/>
      </c>
      <c r="O72">
        <f>IF(F72="","",IF(ISNUMBER(IFERROR(VLOOKUP(F72,lst_PropTauxLookup,2,0),"")),"REF_PROPRIETAIRE","A_CONTROLER"))</f>
        <v/>
      </c>
      <c r="Q72">
        <f>IF(OR(L72="",N72=""),"",IFERROR((L72-IF(M72="",0,M72))*N72,0))</f>
        <v/>
      </c>
      <c r="V72">
        <f>IF(L72="","",L72-IF(M72="",0,M72)-IF(Q72="",0,Q72)-IF(T72="",0,T72))</f>
        <v/>
      </c>
      <c r="Y72">
        <f>IF(W72="IC","OUI",IF(W72="HC","OUI",IF(W72="HR","NON","A_CONTROLER")))</f>
        <v/>
      </c>
      <c r="Z72">
        <f>IF(W72="IC","OUI",IF(W72="HC","NON",IF(W72="HR","NON","A_CONTROLER")))</f>
        <v/>
      </c>
    </row>
    <row r="73">
      <c r="B73">
        <f>IF(A73="","",A73&amp;"|"&amp;D73&amp;"|"&amp;F73&amp;"|"&amp;G73&amp;"|"&amp;TEXT(I73,"YYYYMMDD")&amp;"|"&amp;TEXT(L73,"0.00"))</f>
        <v/>
      </c>
      <c r="C73">
        <f>IF(I73="","",TEXT(I73,"YYYY-MM"))</f>
        <v/>
      </c>
      <c r="K73">
        <f>IF(OR(I73="",J73=""),"",J73-I73)</f>
        <v/>
      </c>
      <c r="N73">
        <f>IF(F73="","",IFERROR(VLOOKUP(F73,lst_PropTauxLookup,2,0),""))</f>
        <v/>
      </c>
      <c r="O73">
        <f>IF(F73="","",IF(ISNUMBER(IFERROR(VLOOKUP(F73,lst_PropTauxLookup,2,0),"")),"REF_PROPRIETAIRE","A_CONTROLER"))</f>
        <v/>
      </c>
      <c r="Q73">
        <f>IF(OR(L73="",N73=""),"",IFERROR((L73-IF(M73="",0,M73))*N73,0))</f>
        <v/>
      </c>
      <c r="V73">
        <f>IF(L73="","",L73-IF(M73="",0,M73)-IF(Q73="",0,Q73)-IF(T73="",0,T73))</f>
        <v/>
      </c>
      <c r="Y73">
        <f>IF(W73="IC","OUI",IF(W73="HC","OUI",IF(W73="HR","NON","A_CONTROLER")))</f>
        <v/>
      </c>
      <c r="Z73">
        <f>IF(W73="IC","OUI",IF(W73="HC","NON",IF(W73="HR","NON","A_CONTROLER")))</f>
        <v/>
      </c>
    </row>
    <row r="74">
      <c r="B74">
        <f>IF(A74="","",A74&amp;"|"&amp;D74&amp;"|"&amp;F74&amp;"|"&amp;G74&amp;"|"&amp;TEXT(I74,"YYYYMMDD")&amp;"|"&amp;TEXT(L74,"0.00"))</f>
        <v/>
      </c>
      <c r="C74">
        <f>IF(I74="","",TEXT(I74,"YYYY-MM"))</f>
        <v/>
      </c>
      <c r="K74">
        <f>IF(OR(I74="",J74=""),"",J74-I74)</f>
        <v/>
      </c>
      <c r="N74">
        <f>IF(F74="","",IFERROR(VLOOKUP(F74,lst_PropTauxLookup,2,0),""))</f>
        <v/>
      </c>
      <c r="O74">
        <f>IF(F74="","",IF(ISNUMBER(IFERROR(VLOOKUP(F74,lst_PropTauxLookup,2,0),"")),"REF_PROPRIETAIRE","A_CONTROLER"))</f>
        <v/>
      </c>
      <c r="Q74">
        <f>IF(OR(L74="",N74=""),"",IFERROR((L74-IF(M74="",0,M74))*N74,0))</f>
        <v/>
      </c>
      <c r="V74">
        <f>IF(L74="","",L74-IF(M74="",0,M74)-IF(Q74="",0,Q74)-IF(T74="",0,T74))</f>
        <v/>
      </c>
      <c r="Y74">
        <f>IF(W74="IC","OUI",IF(W74="HC","OUI",IF(W74="HR","NON","A_CONTROLER")))</f>
        <v/>
      </c>
      <c r="Z74">
        <f>IF(W74="IC","OUI",IF(W74="HC","NON",IF(W74="HR","NON","A_CONTROLER")))</f>
        <v/>
      </c>
    </row>
    <row r="75">
      <c r="B75">
        <f>IF(A75="","",A75&amp;"|"&amp;D75&amp;"|"&amp;F75&amp;"|"&amp;G75&amp;"|"&amp;TEXT(I75,"YYYYMMDD")&amp;"|"&amp;TEXT(L75,"0.00"))</f>
        <v/>
      </c>
      <c r="C75">
        <f>IF(I75="","",TEXT(I75,"YYYY-MM"))</f>
        <v/>
      </c>
      <c r="K75">
        <f>IF(OR(I75="",J75=""),"",J75-I75)</f>
        <v/>
      </c>
      <c r="N75">
        <f>IF(F75="","",IFERROR(VLOOKUP(F75,lst_PropTauxLookup,2,0),""))</f>
        <v/>
      </c>
      <c r="O75">
        <f>IF(F75="","",IF(ISNUMBER(IFERROR(VLOOKUP(F75,lst_PropTauxLookup,2,0),"")),"REF_PROPRIETAIRE","A_CONTROLER"))</f>
        <v/>
      </c>
      <c r="Q75">
        <f>IF(OR(L75="",N75=""),"",IFERROR((L75-IF(M75="",0,M75))*N75,0))</f>
        <v/>
      </c>
      <c r="V75">
        <f>IF(L75="","",L75-IF(M75="",0,M75)-IF(Q75="",0,Q75)-IF(T75="",0,T75))</f>
        <v/>
      </c>
      <c r="Y75">
        <f>IF(W75="IC","OUI",IF(W75="HC","OUI",IF(W75="HR","NON","A_CONTROLER")))</f>
        <v/>
      </c>
      <c r="Z75">
        <f>IF(W75="IC","OUI",IF(W75="HC","NON",IF(W75="HR","NON","A_CONTROLER")))</f>
        <v/>
      </c>
    </row>
    <row r="76">
      <c r="B76">
        <f>IF(A76="","",A76&amp;"|"&amp;D76&amp;"|"&amp;F76&amp;"|"&amp;G76&amp;"|"&amp;TEXT(I76,"YYYYMMDD")&amp;"|"&amp;TEXT(L76,"0.00"))</f>
        <v/>
      </c>
      <c r="C76">
        <f>IF(I76="","",TEXT(I76,"YYYY-MM"))</f>
        <v/>
      </c>
      <c r="K76">
        <f>IF(OR(I76="",J76=""),"",J76-I76)</f>
        <v/>
      </c>
      <c r="N76">
        <f>IF(F76="","",IFERROR(VLOOKUP(F76,lst_PropTauxLookup,2,0),""))</f>
        <v/>
      </c>
      <c r="O76">
        <f>IF(F76="","",IF(ISNUMBER(IFERROR(VLOOKUP(F76,lst_PropTauxLookup,2,0),"")),"REF_PROPRIETAIRE","A_CONTROLER"))</f>
        <v/>
      </c>
      <c r="Q76">
        <f>IF(OR(L76="",N76=""),"",IFERROR((L76-IF(M76="",0,M76))*N76,0))</f>
        <v/>
      </c>
      <c r="V76">
        <f>IF(L76="","",L76-IF(M76="",0,M76)-IF(Q76="",0,Q76)-IF(T76="",0,T76))</f>
        <v/>
      </c>
      <c r="Y76">
        <f>IF(W76="IC","OUI",IF(W76="HC","OUI",IF(W76="HR","NON","A_CONTROLER")))</f>
        <v/>
      </c>
      <c r="Z76">
        <f>IF(W76="IC","OUI",IF(W76="HC","NON",IF(W76="HR","NON","A_CONTROLER")))</f>
        <v/>
      </c>
    </row>
    <row r="77">
      <c r="B77">
        <f>IF(A77="","",A77&amp;"|"&amp;D77&amp;"|"&amp;F77&amp;"|"&amp;G77&amp;"|"&amp;TEXT(I77,"YYYYMMDD")&amp;"|"&amp;TEXT(L77,"0.00"))</f>
        <v/>
      </c>
      <c r="C77">
        <f>IF(I77="","",TEXT(I77,"YYYY-MM"))</f>
        <v/>
      </c>
      <c r="K77">
        <f>IF(OR(I77="",J77=""),"",J77-I77)</f>
        <v/>
      </c>
      <c r="N77">
        <f>IF(F77="","",IFERROR(VLOOKUP(F77,lst_PropTauxLookup,2,0),""))</f>
        <v/>
      </c>
      <c r="O77">
        <f>IF(F77="","",IF(ISNUMBER(IFERROR(VLOOKUP(F77,lst_PropTauxLookup,2,0),"")),"REF_PROPRIETAIRE","A_CONTROLER"))</f>
        <v/>
      </c>
      <c r="Q77">
        <f>IF(OR(L77="",N77=""),"",IFERROR((L77-IF(M77="",0,M77))*N77,0))</f>
        <v/>
      </c>
      <c r="V77">
        <f>IF(L77="","",L77-IF(M77="",0,M77)-IF(Q77="",0,Q77)-IF(T77="",0,T77))</f>
        <v/>
      </c>
      <c r="Y77">
        <f>IF(W77="IC","OUI",IF(W77="HC","OUI",IF(W77="HR","NON","A_CONTROLER")))</f>
        <v/>
      </c>
      <c r="Z77">
        <f>IF(W77="IC","OUI",IF(W77="HC","NON",IF(W77="HR","NON","A_CONTROLER")))</f>
        <v/>
      </c>
    </row>
    <row r="78">
      <c r="B78">
        <f>IF(A78="","",A78&amp;"|"&amp;D78&amp;"|"&amp;F78&amp;"|"&amp;G78&amp;"|"&amp;TEXT(I78,"YYYYMMDD")&amp;"|"&amp;TEXT(L78,"0.00"))</f>
        <v/>
      </c>
      <c r="C78">
        <f>IF(I78="","",TEXT(I78,"YYYY-MM"))</f>
        <v/>
      </c>
      <c r="K78">
        <f>IF(OR(I78="",J78=""),"",J78-I78)</f>
        <v/>
      </c>
      <c r="N78">
        <f>IF(F78="","",IFERROR(VLOOKUP(F78,lst_PropTauxLookup,2,0),""))</f>
        <v/>
      </c>
      <c r="O78">
        <f>IF(F78="","",IF(ISNUMBER(IFERROR(VLOOKUP(F78,lst_PropTauxLookup,2,0),"")),"REF_PROPRIETAIRE","A_CONTROLER"))</f>
        <v/>
      </c>
      <c r="Q78">
        <f>IF(OR(L78="",N78=""),"",IFERROR((L78-IF(M78="",0,M78))*N78,0))</f>
        <v/>
      </c>
      <c r="V78">
        <f>IF(L78="","",L78-IF(M78="",0,M78)-IF(Q78="",0,Q78)-IF(T78="",0,T78))</f>
        <v/>
      </c>
      <c r="Y78">
        <f>IF(W78="IC","OUI",IF(W78="HC","OUI",IF(W78="HR","NON","A_CONTROLER")))</f>
        <v/>
      </c>
      <c r="Z78">
        <f>IF(W78="IC","OUI",IF(W78="HC","NON",IF(W78="HR","NON","A_CONTROLER")))</f>
        <v/>
      </c>
    </row>
    <row r="79">
      <c r="B79">
        <f>IF(A79="","",A79&amp;"|"&amp;D79&amp;"|"&amp;F79&amp;"|"&amp;G79&amp;"|"&amp;TEXT(I79,"YYYYMMDD")&amp;"|"&amp;TEXT(L79,"0.00"))</f>
        <v/>
      </c>
      <c r="C79">
        <f>IF(I79="","",TEXT(I79,"YYYY-MM"))</f>
        <v/>
      </c>
      <c r="K79">
        <f>IF(OR(I79="",J79=""),"",J79-I79)</f>
        <v/>
      </c>
      <c r="N79">
        <f>IF(F79="","",IFERROR(VLOOKUP(F79,lst_PropTauxLookup,2,0),""))</f>
        <v/>
      </c>
      <c r="O79">
        <f>IF(F79="","",IF(ISNUMBER(IFERROR(VLOOKUP(F79,lst_PropTauxLookup,2,0),"")),"REF_PROPRIETAIRE","A_CONTROLER"))</f>
        <v/>
      </c>
      <c r="Q79">
        <f>IF(OR(L79="",N79=""),"",IFERROR((L79-IF(M79="",0,M79))*N79,0))</f>
        <v/>
      </c>
      <c r="V79">
        <f>IF(L79="","",L79-IF(M79="",0,M79)-IF(Q79="",0,Q79)-IF(T79="",0,T79))</f>
        <v/>
      </c>
      <c r="Y79">
        <f>IF(W79="IC","OUI",IF(W79="HC","OUI",IF(W79="HR","NON","A_CONTROLER")))</f>
        <v/>
      </c>
      <c r="Z79">
        <f>IF(W79="IC","OUI",IF(W79="HC","NON",IF(W79="HR","NON","A_CONTROLER")))</f>
        <v/>
      </c>
    </row>
    <row r="80">
      <c r="B80">
        <f>IF(A80="","",A80&amp;"|"&amp;D80&amp;"|"&amp;F80&amp;"|"&amp;G80&amp;"|"&amp;TEXT(I80,"YYYYMMDD")&amp;"|"&amp;TEXT(L80,"0.00"))</f>
        <v/>
      </c>
      <c r="C80">
        <f>IF(I80="","",TEXT(I80,"YYYY-MM"))</f>
        <v/>
      </c>
      <c r="K80">
        <f>IF(OR(I80="",J80=""),"",J80-I80)</f>
        <v/>
      </c>
      <c r="N80">
        <f>IF(F80="","",IFERROR(VLOOKUP(F80,lst_PropTauxLookup,2,0),""))</f>
        <v/>
      </c>
      <c r="O80">
        <f>IF(F80="","",IF(ISNUMBER(IFERROR(VLOOKUP(F80,lst_PropTauxLookup,2,0),"")),"REF_PROPRIETAIRE","A_CONTROLER"))</f>
        <v/>
      </c>
      <c r="Q80">
        <f>IF(OR(L80="",N80=""),"",IFERROR((L80-IF(M80="",0,M80))*N80,0))</f>
        <v/>
      </c>
      <c r="V80">
        <f>IF(L80="","",L80-IF(M80="",0,M80)-IF(Q80="",0,Q80)-IF(T80="",0,T80))</f>
        <v/>
      </c>
      <c r="Y80">
        <f>IF(W80="IC","OUI",IF(W80="HC","OUI",IF(W80="HR","NON","A_CONTROLER")))</f>
        <v/>
      </c>
      <c r="Z80">
        <f>IF(W80="IC","OUI",IF(W80="HC","NON",IF(W80="HR","NON","A_CONTROLER")))</f>
        <v/>
      </c>
    </row>
    <row r="81">
      <c r="B81">
        <f>IF(A81="","",A81&amp;"|"&amp;D81&amp;"|"&amp;F81&amp;"|"&amp;G81&amp;"|"&amp;TEXT(I81,"YYYYMMDD")&amp;"|"&amp;TEXT(L81,"0.00"))</f>
        <v/>
      </c>
      <c r="C81">
        <f>IF(I81="","",TEXT(I81,"YYYY-MM"))</f>
        <v/>
      </c>
      <c r="K81">
        <f>IF(OR(I81="",J81=""),"",J81-I81)</f>
        <v/>
      </c>
      <c r="N81">
        <f>IF(F81="","",IFERROR(VLOOKUP(F81,lst_PropTauxLookup,2,0),""))</f>
        <v/>
      </c>
      <c r="O81">
        <f>IF(F81="","",IF(ISNUMBER(IFERROR(VLOOKUP(F81,lst_PropTauxLookup,2,0),"")),"REF_PROPRIETAIRE","A_CONTROLER"))</f>
        <v/>
      </c>
      <c r="Q81">
        <f>IF(OR(L81="",N81=""),"",IFERROR((L81-IF(M81="",0,M81))*N81,0))</f>
        <v/>
      </c>
      <c r="V81">
        <f>IF(L81="","",L81-IF(M81="",0,M81)-IF(Q81="",0,Q81)-IF(T81="",0,T81))</f>
        <v/>
      </c>
      <c r="Y81">
        <f>IF(W81="IC","OUI",IF(W81="HC","OUI",IF(W81="HR","NON","A_CONTROLER")))</f>
        <v/>
      </c>
      <c r="Z81">
        <f>IF(W81="IC","OUI",IF(W81="HC","NON",IF(W81="HR","NON","A_CONTROLER")))</f>
        <v/>
      </c>
    </row>
    <row r="82">
      <c r="B82">
        <f>IF(A82="","",A82&amp;"|"&amp;D82&amp;"|"&amp;F82&amp;"|"&amp;G82&amp;"|"&amp;TEXT(I82,"YYYYMMDD")&amp;"|"&amp;TEXT(L82,"0.00"))</f>
        <v/>
      </c>
      <c r="C82">
        <f>IF(I82="","",TEXT(I82,"YYYY-MM"))</f>
        <v/>
      </c>
      <c r="K82">
        <f>IF(OR(I82="",J82=""),"",J82-I82)</f>
        <v/>
      </c>
      <c r="N82">
        <f>IF(F82="","",IFERROR(VLOOKUP(F82,lst_PropTauxLookup,2,0),""))</f>
        <v/>
      </c>
      <c r="O82">
        <f>IF(F82="","",IF(ISNUMBER(IFERROR(VLOOKUP(F82,lst_PropTauxLookup,2,0),"")),"REF_PROPRIETAIRE","A_CONTROLER"))</f>
        <v/>
      </c>
      <c r="Q82">
        <f>IF(OR(L82="",N82=""),"",IFERROR((L82-IF(M82="",0,M82))*N82,0))</f>
        <v/>
      </c>
      <c r="V82">
        <f>IF(L82="","",L82-IF(M82="",0,M82)-IF(Q82="",0,Q82)-IF(T82="",0,T82))</f>
        <v/>
      </c>
      <c r="Y82">
        <f>IF(W82="IC","OUI",IF(W82="HC","OUI",IF(W82="HR","NON","A_CONTROLER")))</f>
        <v/>
      </c>
      <c r="Z82">
        <f>IF(W82="IC","OUI",IF(W82="HC","NON",IF(W82="HR","NON","A_CONTROLER")))</f>
        <v/>
      </c>
    </row>
    <row r="83">
      <c r="B83">
        <f>IF(A83="","",A83&amp;"|"&amp;D83&amp;"|"&amp;F83&amp;"|"&amp;G83&amp;"|"&amp;TEXT(I83,"YYYYMMDD")&amp;"|"&amp;TEXT(L83,"0.00"))</f>
        <v/>
      </c>
      <c r="C83">
        <f>IF(I83="","",TEXT(I83,"YYYY-MM"))</f>
        <v/>
      </c>
      <c r="K83">
        <f>IF(OR(I83="",J83=""),"",J83-I83)</f>
        <v/>
      </c>
      <c r="N83">
        <f>IF(F83="","",IFERROR(VLOOKUP(F83,lst_PropTauxLookup,2,0),""))</f>
        <v/>
      </c>
      <c r="O83">
        <f>IF(F83="","",IF(ISNUMBER(IFERROR(VLOOKUP(F83,lst_PropTauxLookup,2,0),"")),"REF_PROPRIETAIRE","A_CONTROLER"))</f>
        <v/>
      </c>
      <c r="Q83">
        <f>IF(OR(L83="",N83=""),"",IFERROR((L83-IF(M83="",0,M83))*N83,0))</f>
        <v/>
      </c>
      <c r="V83">
        <f>IF(L83="","",L83-IF(M83="",0,M83)-IF(Q83="",0,Q83)-IF(T83="",0,T83))</f>
        <v/>
      </c>
      <c r="Y83">
        <f>IF(W83="IC","OUI",IF(W83="HC","OUI",IF(W83="HR","NON","A_CONTROLER")))</f>
        <v/>
      </c>
      <c r="Z83">
        <f>IF(W83="IC","OUI",IF(W83="HC","NON",IF(W83="HR","NON","A_CONTROLER")))</f>
        <v/>
      </c>
    </row>
    <row r="84">
      <c r="B84">
        <f>IF(A84="","",A84&amp;"|"&amp;D84&amp;"|"&amp;F84&amp;"|"&amp;G84&amp;"|"&amp;TEXT(I84,"YYYYMMDD")&amp;"|"&amp;TEXT(L84,"0.00"))</f>
        <v/>
      </c>
      <c r="C84">
        <f>IF(I84="","",TEXT(I84,"YYYY-MM"))</f>
        <v/>
      </c>
      <c r="K84">
        <f>IF(OR(I84="",J84=""),"",J84-I84)</f>
        <v/>
      </c>
      <c r="N84">
        <f>IF(F84="","",IFERROR(VLOOKUP(F84,lst_PropTauxLookup,2,0),""))</f>
        <v/>
      </c>
      <c r="O84">
        <f>IF(F84="","",IF(ISNUMBER(IFERROR(VLOOKUP(F84,lst_PropTauxLookup,2,0),"")),"REF_PROPRIETAIRE","A_CONTROLER"))</f>
        <v/>
      </c>
      <c r="Q84">
        <f>IF(OR(L84="",N84=""),"",IFERROR((L84-IF(M84="",0,M84))*N84,0))</f>
        <v/>
      </c>
      <c r="V84">
        <f>IF(L84="","",L84-IF(M84="",0,M84)-IF(Q84="",0,Q84)-IF(T84="",0,T84))</f>
        <v/>
      </c>
      <c r="Y84">
        <f>IF(W84="IC","OUI",IF(W84="HC","OUI",IF(W84="HR","NON","A_CONTROLER")))</f>
        <v/>
      </c>
      <c r="Z84">
        <f>IF(W84="IC","OUI",IF(W84="HC","NON",IF(W84="HR","NON","A_CONTROLER")))</f>
        <v/>
      </c>
    </row>
    <row r="85">
      <c r="B85">
        <f>IF(A85="","",A85&amp;"|"&amp;D85&amp;"|"&amp;F85&amp;"|"&amp;G85&amp;"|"&amp;TEXT(I85,"YYYYMMDD")&amp;"|"&amp;TEXT(L85,"0.00"))</f>
        <v/>
      </c>
      <c r="C85">
        <f>IF(I85="","",TEXT(I85,"YYYY-MM"))</f>
        <v/>
      </c>
      <c r="K85">
        <f>IF(OR(I85="",J85=""),"",J85-I85)</f>
        <v/>
      </c>
      <c r="N85">
        <f>IF(F85="","",IFERROR(VLOOKUP(F85,lst_PropTauxLookup,2,0),""))</f>
        <v/>
      </c>
      <c r="O85">
        <f>IF(F85="","",IF(ISNUMBER(IFERROR(VLOOKUP(F85,lst_PropTauxLookup,2,0),"")),"REF_PROPRIETAIRE","A_CONTROLER"))</f>
        <v/>
      </c>
      <c r="Q85">
        <f>IF(OR(L85="",N85=""),"",IFERROR((L85-IF(M85="",0,M85))*N85,0))</f>
        <v/>
      </c>
      <c r="V85">
        <f>IF(L85="","",L85-IF(M85="",0,M85)-IF(Q85="",0,Q85)-IF(T85="",0,T85))</f>
        <v/>
      </c>
      <c r="Y85">
        <f>IF(W85="IC","OUI",IF(W85="HC","OUI",IF(W85="HR","NON","A_CONTROLER")))</f>
        <v/>
      </c>
      <c r="Z85">
        <f>IF(W85="IC","OUI",IF(W85="HC","NON",IF(W85="HR","NON","A_CONTROLER")))</f>
        <v/>
      </c>
    </row>
    <row r="86">
      <c r="B86">
        <f>IF(A86="","",A86&amp;"|"&amp;D86&amp;"|"&amp;F86&amp;"|"&amp;G86&amp;"|"&amp;TEXT(I86,"YYYYMMDD")&amp;"|"&amp;TEXT(L86,"0.00"))</f>
        <v/>
      </c>
      <c r="C86">
        <f>IF(I86="","",TEXT(I86,"YYYY-MM"))</f>
        <v/>
      </c>
      <c r="K86">
        <f>IF(OR(I86="",J86=""),"",J86-I86)</f>
        <v/>
      </c>
      <c r="N86">
        <f>IF(F86="","",IFERROR(VLOOKUP(F86,lst_PropTauxLookup,2,0),""))</f>
        <v/>
      </c>
      <c r="O86">
        <f>IF(F86="","",IF(ISNUMBER(IFERROR(VLOOKUP(F86,lst_PropTauxLookup,2,0),"")),"REF_PROPRIETAIRE","A_CONTROLER"))</f>
        <v/>
      </c>
      <c r="Q86">
        <f>IF(OR(L86="",N86=""),"",IFERROR((L86-IF(M86="",0,M86))*N86,0))</f>
        <v/>
      </c>
      <c r="V86">
        <f>IF(L86="","",L86-IF(M86="",0,M86)-IF(Q86="",0,Q86)-IF(T86="",0,T86))</f>
        <v/>
      </c>
      <c r="Y86">
        <f>IF(W86="IC","OUI",IF(W86="HC","OUI",IF(W86="HR","NON","A_CONTROLER")))</f>
        <v/>
      </c>
      <c r="Z86">
        <f>IF(W86="IC","OUI",IF(W86="HC","NON",IF(W86="HR","NON","A_CONTROLER")))</f>
        <v/>
      </c>
    </row>
    <row r="87">
      <c r="B87">
        <f>IF(A87="","",A87&amp;"|"&amp;D87&amp;"|"&amp;F87&amp;"|"&amp;G87&amp;"|"&amp;TEXT(I87,"YYYYMMDD")&amp;"|"&amp;TEXT(L87,"0.00"))</f>
        <v/>
      </c>
      <c r="C87">
        <f>IF(I87="","",TEXT(I87,"YYYY-MM"))</f>
        <v/>
      </c>
      <c r="K87">
        <f>IF(OR(I87="",J87=""),"",J87-I87)</f>
        <v/>
      </c>
      <c r="N87">
        <f>IF(F87="","",IFERROR(VLOOKUP(F87,lst_PropTauxLookup,2,0),""))</f>
        <v/>
      </c>
      <c r="O87">
        <f>IF(F87="","",IF(ISNUMBER(IFERROR(VLOOKUP(F87,lst_PropTauxLookup,2,0),"")),"REF_PROPRIETAIRE","A_CONTROLER"))</f>
        <v/>
      </c>
      <c r="Q87">
        <f>IF(OR(L87="",N87=""),"",IFERROR((L87-IF(M87="",0,M87))*N87,0))</f>
        <v/>
      </c>
      <c r="V87">
        <f>IF(L87="","",L87-IF(M87="",0,M87)-IF(Q87="",0,Q87)-IF(T87="",0,T87))</f>
        <v/>
      </c>
      <c r="Y87">
        <f>IF(W87="IC","OUI",IF(W87="HC","OUI",IF(W87="HR","NON","A_CONTROLER")))</f>
        <v/>
      </c>
      <c r="Z87">
        <f>IF(W87="IC","OUI",IF(W87="HC","NON",IF(W87="HR","NON","A_CONTROLER")))</f>
        <v/>
      </c>
    </row>
    <row r="88">
      <c r="B88">
        <f>IF(A88="","",A88&amp;"|"&amp;D88&amp;"|"&amp;F88&amp;"|"&amp;G88&amp;"|"&amp;TEXT(I88,"YYYYMMDD")&amp;"|"&amp;TEXT(L88,"0.00"))</f>
        <v/>
      </c>
      <c r="C88">
        <f>IF(I88="","",TEXT(I88,"YYYY-MM"))</f>
        <v/>
      </c>
      <c r="K88">
        <f>IF(OR(I88="",J88=""),"",J88-I88)</f>
        <v/>
      </c>
      <c r="N88">
        <f>IF(F88="","",IFERROR(VLOOKUP(F88,lst_PropTauxLookup,2,0),""))</f>
        <v/>
      </c>
      <c r="O88">
        <f>IF(F88="","",IF(ISNUMBER(IFERROR(VLOOKUP(F88,lst_PropTauxLookup,2,0),"")),"REF_PROPRIETAIRE","A_CONTROLER"))</f>
        <v/>
      </c>
      <c r="Q88">
        <f>IF(OR(L88="",N88=""),"",IFERROR((L88-IF(M88="",0,M88))*N88,0))</f>
        <v/>
      </c>
      <c r="V88">
        <f>IF(L88="","",L88-IF(M88="",0,M88)-IF(Q88="",0,Q88)-IF(T88="",0,T88))</f>
        <v/>
      </c>
      <c r="Y88">
        <f>IF(W88="IC","OUI",IF(W88="HC","OUI",IF(W88="HR","NON","A_CONTROLER")))</f>
        <v/>
      </c>
      <c r="Z88">
        <f>IF(W88="IC","OUI",IF(W88="HC","NON",IF(W88="HR","NON","A_CONTROLER")))</f>
        <v/>
      </c>
    </row>
    <row r="89">
      <c r="B89">
        <f>IF(A89="","",A89&amp;"|"&amp;D89&amp;"|"&amp;F89&amp;"|"&amp;G89&amp;"|"&amp;TEXT(I89,"YYYYMMDD")&amp;"|"&amp;TEXT(L89,"0.00"))</f>
        <v/>
      </c>
      <c r="C89">
        <f>IF(I89="","",TEXT(I89,"YYYY-MM"))</f>
        <v/>
      </c>
      <c r="K89">
        <f>IF(OR(I89="",J89=""),"",J89-I89)</f>
        <v/>
      </c>
      <c r="N89">
        <f>IF(F89="","",IFERROR(VLOOKUP(F89,lst_PropTauxLookup,2,0),""))</f>
        <v/>
      </c>
      <c r="O89">
        <f>IF(F89="","",IF(ISNUMBER(IFERROR(VLOOKUP(F89,lst_PropTauxLookup,2,0),"")),"REF_PROPRIETAIRE","A_CONTROLER"))</f>
        <v/>
      </c>
      <c r="Q89">
        <f>IF(OR(L89="",N89=""),"",IFERROR((L89-IF(M89="",0,M89))*N89,0))</f>
        <v/>
      </c>
      <c r="V89">
        <f>IF(L89="","",L89-IF(M89="",0,M89)-IF(Q89="",0,Q89)-IF(T89="",0,T89))</f>
        <v/>
      </c>
      <c r="Y89">
        <f>IF(W89="IC","OUI",IF(W89="HC","OUI",IF(W89="HR","NON","A_CONTROLER")))</f>
        <v/>
      </c>
      <c r="Z89">
        <f>IF(W89="IC","OUI",IF(W89="HC","NON",IF(W89="HR","NON","A_CONTROLER")))</f>
        <v/>
      </c>
    </row>
    <row r="90">
      <c r="B90">
        <f>IF(A90="","",A90&amp;"|"&amp;D90&amp;"|"&amp;F90&amp;"|"&amp;G90&amp;"|"&amp;TEXT(I90,"YYYYMMDD")&amp;"|"&amp;TEXT(L90,"0.00"))</f>
        <v/>
      </c>
      <c r="C90">
        <f>IF(I90="","",TEXT(I90,"YYYY-MM"))</f>
        <v/>
      </c>
      <c r="K90">
        <f>IF(OR(I90="",J90=""),"",J90-I90)</f>
        <v/>
      </c>
      <c r="N90">
        <f>IF(F90="","",IFERROR(VLOOKUP(F90,lst_PropTauxLookup,2,0),""))</f>
        <v/>
      </c>
      <c r="O90">
        <f>IF(F90="","",IF(ISNUMBER(IFERROR(VLOOKUP(F90,lst_PropTauxLookup,2,0),"")),"REF_PROPRIETAIRE","A_CONTROLER"))</f>
        <v/>
      </c>
      <c r="Q90">
        <f>IF(OR(L90="",N90=""),"",IFERROR((L90-IF(M90="",0,M90))*N90,0))</f>
        <v/>
      </c>
      <c r="V90">
        <f>IF(L90="","",L90-IF(M90="",0,M90)-IF(Q90="",0,Q90)-IF(T90="",0,T90))</f>
        <v/>
      </c>
      <c r="Y90">
        <f>IF(W90="IC","OUI",IF(W90="HC","OUI",IF(W90="HR","NON","A_CONTROLER")))</f>
        <v/>
      </c>
      <c r="Z90">
        <f>IF(W90="IC","OUI",IF(W90="HC","NON",IF(W90="HR","NON","A_CONTROLER")))</f>
        <v/>
      </c>
    </row>
    <row r="91">
      <c r="B91">
        <f>IF(A91="","",A91&amp;"|"&amp;D91&amp;"|"&amp;F91&amp;"|"&amp;G91&amp;"|"&amp;TEXT(I91,"YYYYMMDD")&amp;"|"&amp;TEXT(L91,"0.00"))</f>
        <v/>
      </c>
      <c r="C91">
        <f>IF(I91="","",TEXT(I91,"YYYY-MM"))</f>
        <v/>
      </c>
      <c r="K91">
        <f>IF(OR(I91="",J91=""),"",J91-I91)</f>
        <v/>
      </c>
      <c r="N91">
        <f>IF(F91="","",IFERROR(VLOOKUP(F91,lst_PropTauxLookup,2,0),""))</f>
        <v/>
      </c>
      <c r="O91">
        <f>IF(F91="","",IF(ISNUMBER(IFERROR(VLOOKUP(F91,lst_PropTauxLookup,2,0),"")),"REF_PROPRIETAIRE","A_CONTROLER"))</f>
        <v/>
      </c>
      <c r="Q91">
        <f>IF(OR(L91="",N91=""),"",IFERROR((L91-IF(M91="",0,M91))*N91,0))</f>
        <v/>
      </c>
      <c r="V91">
        <f>IF(L91="","",L91-IF(M91="",0,M91)-IF(Q91="",0,Q91)-IF(T91="",0,T91))</f>
        <v/>
      </c>
      <c r="Y91">
        <f>IF(W91="IC","OUI",IF(W91="HC","OUI",IF(W91="HR","NON","A_CONTROLER")))</f>
        <v/>
      </c>
      <c r="Z91">
        <f>IF(W91="IC","OUI",IF(W91="HC","NON",IF(W91="HR","NON","A_CONTROLER")))</f>
        <v/>
      </c>
    </row>
    <row r="92">
      <c r="B92">
        <f>IF(A92="","",A92&amp;"|"&amp;D92&amp;"|"&amp;F92&amp;"|"&amp;G92&amp;"|"&amp;TEXT(I92,"YYYYMMDD")&amp;"|"&amp;TEXT(L92,"0.00"))</f>
        <v/>
      </c>
      <c r="C92">
        <f>IF(I92="","",TEXT(I92,"YYYY-MM"))</f>
        <v/>
      </c>
      <c r="K92">
        <f>IF(OR(I92="",J92=""),"",J92-I92)</f>
        <v/>
      </c>
      <c r="N92">
        <f>IF(F92="","",IFERROR(VLOOKUP(F92,lst_PropTauxLookup,2,0),""))</f>
        <v/>
      </c>
      <c r="O92">
        <f>IF(F92="","",IF(ISNUMBER(IFERROR(VLOOKUP(F92,lst_PropTauxLookup,2,0),"")),"REF_PROPRIETAIRE","A_CONTROLER"))</f>
        <v/>
      </c>
      <c r="Q92">
        <f>IF(OR(L92="",N92=""),"",IFERROR((L92-IF(M92="",0,M92))*N92,0))</f>
        <v/>
      </c>
      <c r="V92">
        <f>IF(L92="","",L92-IF(M92="",0,M92)-IF(Q92="",0,Q92)-IF(T92="",0,T92))</f>
        <v/>
      </c>
      <c r="Y92">
        <f>IF(W92="IC","OUI",IF(W92="HC","OUI",IF(W92="HR","NON","A_CONTROLER")))</f>
        <v/>
      </c>
      <c r="Z92">
        <f>IF(W92="IC","OUI",IF(W92="HC","NON",IF(W92="HR","NON","A_CONTROLER")))</f>
        <v/>
      </c>
    </row>
    <row r="93">
      <c r="B93">
        <f>IF(A93="","",A93&amp;"|"&amp;D93&amp;"|"&amp;F93&amp;"|"&amp;G93&amp;"|"&amp;TEXT(I93,"YYYYMMDD")&amp;"|"&amp;TEXT(L93,"0.00"))</f>
        <v/>
      </c>
      <c r="C93">
        <f>IF(I93="","",TEXT(I93,"YYYY-MM"))</f>
        <v/>
      </c>
      <c r="K93">
        <f>IF(OR(I93="",J93=""),"",J93-I93)</f>
        <v/>
      </c>
      <c r="N93">
        <f>IF(F93="","",IFERROR(VLOOKUP(F93,lst_PropTauxLookup,2,0),""))</f>
        <v/>
      </c>
      <c r="O93">
        <f>IF(F93="","",IF(ISNUMBER(IFERROR(VLOOKUP(F93,lst_PropTauxLookup,2,0),"")),"REF_PROPRIETAIRE","A_CONTROLER"))</f>
        <v/>
      </c>
      <c r="Q93">
        <f>IF(OR(L93="",N93=""),"",IFERROR((L93-IF(M93="",0,M93))*N93,0))</f>
        <v/>
      </c>
      <c r="V93">
        <f>IF(L93="","",L93-IF(M93="",0,M93)-IF(Q93="",0,Q93)-IF(T93="",0,T93))</f>
        <v/>
      </c>
      <c r="Y93">
        <f>IF(W93="IC","OUI",IF(W93="HC","OUI",IF(W93="HR","NON","A_CONTROLER")))</f>
        <v/>
      </c>
      <c r="Z93">
        <f>IF(W93="IC","OUI",IF(W93="HC","NON",IF(W93="HR","NON","A_CONTROLER")))</f>
        <v/>
      </c>
    </row>
    <row r="94">
      <c r="B94">
        <f>IF(A94="","",A94&amp;"|"&amp;D94&amp;"|"&amp;F94&amp;"|"&amp;G94&amp;"|"&amp;TEXT(I94,"YYYYMMDD")&amp;"|"&amp;TEXT(L94,"0.00"))</f>
        <v/>
      </c>
      <c r="C94">
        <f>IF(I94="","",TEXT(I94,"YYYY-MM"))</f>
        <v/>
      </c>
      <c r="K94">
        <f>IF(OR(I94="",J94=""),"",J94-I94)</f>
        <v/>
      </c>
      <c r="N94">
        <f>IF(F94="","",IFERROR(VLOOKUP(F94,lst_PropTauxLookup,2,0),""))</f>
        <v/>
      </c>
      <c r="O94">
        <f>IF(F94="","",IF(ISNUMBER(IFERROR(VLOOKUP(F94,lst_PropTauxLookup,2,0),"")),"REF_PROPRIETAIRE","A_CONTROLER"))</f>
        <v/>
      </c>
      <c r="Q94">
        <f>IF(OR(L94="",N94=""),"",IFERROR((L94-IF(M94="",0,M94))*N94,0))</f>
        <v/>
      </c>
      <c r="V94">
        <f>IF(L94="","",L94-IF(M94="",0,M94)-IF(Q94="",0,Q94)-IF(T94="",0,T94))</f>
        <v/>
      </c>
      <c r="Y94">
        <f>IF(W94="IC","OUI",IF(W94="HC","OUI",IF(W94="HR","NON","A_CONTROLER")))</f>
        <v/>
      </c>
      <c r="Z94">
        <f>IF(W94="IC","OUI",IF(W94="HC","NON",IF(W94="HR","NON","A_CONTROLER")))</f>
        <v/>
      </c>
    </row>
    <row r="95">
      <c r="B95">
        <f>IF(A95="","",A95&amp;"|"&amp;D95&amp;"|"&amp;F95&amp;"|"&amp;G95&amp;"|"&amp;TEXT(I95,"YYYYMMDD")&amp;"|"&amp;TEXT(L95,"0.00"))</f>
        <v/>
      </c>
      <c r="C95">
        <f>IF(I95="","",TEXT(I95,"YYYY-MM"))</f>
        <v/>
      </c>
      <c r="K95">
        <f>IF(OR(I95="",J95=""),"",J95-I95)</f>
        <v/>
      </c>
      <c r="N95">
        <f>IF(F95="","",IFERROR(VLOOKUP(F95,lst_PropTauxLookup,2,0),""))</f>
        <v/>
      </c>
      <c r="O95">
        <f>IF(F95="","",IF(ISNUMBER(IFERROR(VLOOKUP(F95,lst_PropTauxLookup,2,0),"")),"REF_PROPRIETAIRE","A_CONTROLER"))</f>
        <v/>
      </c>
      <c r="Q95">
        <f>IF(OR(L95="",N95=""),"",IFERROR((L95-IF(M95="",0,M95))*N95,0))</f>
        <v/>
      </c>
      <c r="V95">
        <f>IF(L95="","",L95-IF(M95="",0,M95)-IF(Q95="",0,Q95)-IF(T95="",0,T95))</f>
        <v/>
      </c>
      <c r="Y95">
        <f>IF(W95="IC","OUI",IF(W95="HC","OUI",IF(W95="HR","NON","A_CONTROLER")))</f>
        <v/>
      </c>
      <c r="Z95">
        <f>IF(W95="IC","OUI",IF(W95="HC","NON",IF(W95="HR","NON","A_CONTROLER")))</f>
        <v/>
      </c>
    </row>
    <row r="96">
      <c r="B96">
        <f>IF(A96="","",A96&amp;"|"&amp;D96&amp;"|"&amp;F96&amp;"|"&amp;G96&amp;"|"&amp;TEXT(I96,"YYYYMMDD")&amp;"|"&amp;TEXT(L96,"0.00"))</f>
        <v/>
      </c>
      <c r="C96">
        <f>IF(I96="","",TEXT(I96,"YYYY-MM"))</f>
        <v/>
      </c>
      <c r="K96">
        <f>IF(OR(I96="",J96=""),"",J96-I96)</f>
        <v/>
      </c>
      <c r="N96">
        <f>IF(F96="","",IFERROR(VLOOKUP(F96,lst_PropTauxLookup,2,0),""))</f>
        <v/>
      </c>
      <c r="O96">
        <f>IF(F96="","",IF(ISNUMBER(IFERROR(VLOOKUP(F96,lst_PropTauxLookup,2,0),"")),"REF_PROPRIETAIRE","A_CONTROLER"))</f>
        <v/>
      </c>
      <c r="Q96">
        <f>IF(OR(L96="",N96=""),"",IFERROR((L96-IF(M96="",0,M96))*N96,0))</f>
        <v/>
      </c>
      <c r="V96">
        <f>IF(L96="","",L96-IF(M96="",0,M96)-IF(Q96="",0,Q96)-IF(T96="",0,T96))</f>
        <v/>
      </c>
      <c r="Y96">
        <f>IF(W96="IC","OUI",IF(W96="HC","OUI",IF(W96="HR","NON","A_CONTROLER")))</f>
        <v/>
      </c>
      <c r="Z96">
        <f>IF(W96="IC","OUI",IF(W96="HC","NON",IF(W96="HR","NON","A_CONTROLER")))</f>
        <v/>
      </c>
    </row>
    <row r="97">
      <c r="B97">
        <f>IF(A97="","",A97&amp;"|"&amp;D97&amp;"|"&amp;F97&amp;"|"&amp;G97&amp;"|"&amp;TEXT(I97,"YYYYMMDD")&amp;"|"&amp;TEXT(L97,"0.00"))</f>
        <v/>
      </c>
      <c r="C97">
        <f>IF(I97="","",TEXT(I97,"YYYY-MM"))</f>
        <v/>
      </c>
      <c r="K97">
        <f>IF(OR(I97="",J97=""),"",J97-I97)</f>
        <v/>
      </c>
      <c r="N97">
        <f>IF(F97="","",IFERROR(VLOOKUP(F97,lst_PropTauxLookup,2,0),""))</f>
        <v/>
      </c>
      <c r="O97">
        <f>IF(F97="","",IF(ISNUMBER(IFERROR(VLOOKUP(F97,lst_PropTauxLookup,2,0),"")),"REF_PROPRIETAIRE","A_CONTROLER"))</f>
        <v/>
      </c>
      <c r="Q97">
        <f>IF(OR(L97="",N97=""),"",IFERROR((L97-IF(M97="",0,M97))*N97,0))</f>
        <v/>
      </c>
      <c r="V97">
        <f>IF(L97="","",L97-IF(M97="",0,M97)-IF(Q97="",0,Q97)-IF(T97="",0,T97))</f>
        <v/>
      </c>
      <c r="Y97">
        <f>IF(W97="IC","OUI",IF(W97="HC","OUI",IF(W97="HR","NON","A_CONTROLER")))</f>
        <v/>
      </c>
      <c r="Z97">
        <f>IF(W97="IC","OUI",IF(W97="HC","NON",IF(W97="HR","NON","A_CONTROLER")))</f>
        <v/>
      </c>
    </row>
    <row r="98">
      <c r="B98">
        <f>IF(A98="","",A98&amp;"|"&amp;D98&amp;"|"&amp;F98&amp;"|"&amp;G98&amp;"|"&amp;TEXT(I98,"YYYYMMDD")&amp;"|"&amp;TEXT(L98,"0.00"))</f>
        <v/>
      </c>
      <c r="C98">
        <f>IF(I98="","",TEXT(I98,"YYYY-MM"))</f>
        <v/>
      </c>
      <c r="K98">
        <f>IF(OR(I98="",J98=""),"",J98-I98)</f>
        <v/>
      </c>
      <c r="N98">
        <f>IF(F98="","",IFERROR(VLOOKUP(F98,lst_PropTauxLookup,2,0),""))</f>
        <v/>
      </c>
      <c r="O98">
        <f>IF(F98="","",IF(ISNUMBER(IFERROR(VLOOKUP(F98,lst_PropTauxLookup,2,0),"")),"REF_PROPRIETAIRE","A_CONTROLER"))</f>
        <v/>
      </c>
      <c r="Q98">
        <f>IF(OR(L98="",N98=""),"",IFERROR((L98-IF(M98="",0,M98))*N98,0))</f>
        <v/>
      </c>
      <c r="V98">
        <f>IF(L98="","",L98-IF(M98="",0,M98)-IF(Q98="",0,Q98)-IF(T98="",0,T98))</f>
        <v/>
      </c>
      <c r="Y98">
        <f>IF(W98="IC","OUI",IF(W98="HC","OUI",IF(W98="HR","NON","A_CONTROLER")))</f>
        <v/>
      </c>
      <c r="Z98">
        <f>IF(W98="IC","OUI",IF(W98="HC","NON",IF(W98="HR","NON","A_CONTROLER")))</f>
        <v/>
      </c>
    </row>
    <row r="99">
      <c r="B99">
        <f>IF(A99="","",A99&amp;"|"&amp;D99&amp;"|"&amp;F99&amp;"|"&amp;G99&amp;"|"&amp;TEXT(I99,"YYYYMMDD")&amp;"|"&amp;TEXT(L99,"0.00"))</f>
        <v/>
      </c>
      <c r="C99">
        <f>IF(I99="","",TEXT(I99,"YYYY-MM"))</f>
        <v/>
      </c>
      <c r="K99">
        <f>IF(OR(I99="",J99=""),"",J99-I99)</f>
        <v/>
      </c>
      <c r="N99">
        <f>IF(F99="","",IFERROR(VLOOKUP(F99,lst_PropTauxLookup,2,0),""))</f>
        <v/>
      </c>
      <c r="O99">
        <f>IF(F99="","",IF(ISNUMBER(IFERROR(VLOOKUP(F99,lst_PropTauxLookup,2,0),"")),"REF_PROPRIETAIRE","A_CONTROLER"))</f>
        <v/>
      </c>
      <c r="Q99">
        <f>IF(OR(L99="",N99=""),"",IFERROR((L99-IF(M99="",0,M99))*N99,0))</f>
        <v/>
      </c>
      <c r="V99">
        <f>IF(L99="","",L99-IF(M99="",0,M99)-IF(Q99="",0,Q99)-IF(T99="",0,T99))</f>
        <v/>
      </c>
      <c r="Y99">
        <f>IF(W99="IC","OUI",IF(W99="HC","OUI",IF(W99="HR","NON","A_CONTROLER")))</f>
        <v/>
      </c>
      <c r="Z99">
        <f>IF(W99="IC","OUI",IF(W99="HC","NON",IF(W99="HR","NON","A_CONTROLER")))</f>
        <v/>
      </c>
    </row>
    <row r="100">
      <c r="B100">
        <f>IF(A100="","",A100&amp;"|"&amp;D100&amp;"|"&amp;F100&amp;"|"&amp;G100&amp;"|"&amp;TEXT(I100,"YYYYMMDD")&amp;"|"&amp;TEXT(L100,"0.00"))</f>
        <v/>
      </c>
      <c r="C100">
        <f>IF(I100="","",TEXT(I100,"YYYY-MM"))</f>
        <v/>
      </c>
      <c r="K100">
        <f>IF(OR(I100="",J100=""),"",J100-I100)</f>
        <v/>
      </c>
      <c r="N100">
        <f>IF(F100="","",IFERROR(VLOOKUP(F100,lst_PropTauxLookup,2,0),""))</f>
        <v/>
      </c>
      <c r="O100">
        <f>IF(F100="","",IF(ISNUMBER(IFERROR(VLOOKUP(F100,lst_PropTauxLookup,2,0),"")),"REF_PROPRIETAIRE","A_CONTROLER"))</f>
        <v/>
      </c>
      <c r="Q100">
        <f>IF(OR(L100="",N100=""),"",IFERROR((L100-IF(M100="",0,M100))*N100,0))</f>
        <v/>
      </c>
      <c r="V100">
        <f>IF(L100="","",L100-IF(M100="",0,M100)-IF(Q100="",0,Q100)-IF(T100="",0,T100))</f>
        <v/>
      </c>
      <c r="Y100">
        <f>IF(W100="IC","OUI",IF(W100="HC","OUI",IF(W100="HR","NON","A_CONTROLER")))</f>
        <v/>
      </c>
      <c r="Z100">
        <f>IF(W100="IC","OUI",IF(W100="HC","NON",IF(W100="HR","NON","A_CONTROLER")))</f>
        <v/>
      </c>
    </row>
    <row r="101">
      <c r="B101">
        <f>IF(A101="","",A101&amp;"|"&amp;D101&amp;"|"&amp;F101&amp;"|"&amp;G101&amp;"|"&amp;TEXT(I101,"YYYYMMDD")&amp;"|"&amp;TEXT(L101,"0.00"))</f>
        <v/>
      </c>
      <c r="C101">
        <f>IF(I101="","",TEXT(I101,"YYYY-MM"))</f>
        <v/>
      </c>
      <c r="K101">
        <f>IF(OR(I101="",J101=""),"",J101-I101)</f>
        <v/>
      </c>
      <c r="N101">
        <f>IF(F101="","",IFERROR(VLOOKUP(F101,lst_PropTauxLookup,2,0),""))</f>
        <v/>
      </c>
      <c r="O101">
        <f>IF(F101="","",IF(ISNUMBER(IFERROR(VLOOKUP(F101,lst_PropTauxLookup,2,0),"")),"REF_PROPRIETAIRE","A_CONTROLER"))</f>
        <v/>
      </c>
      <c r="Q101">
        <f>IF(OR(L101="",N101=""),"",IFERROR((L101-IF(M101="",0,M101))*N101,0))</f>
        <v/>
      </c>
      <c r="V101">
        <f>IF(L101="","",L101-IF(M101="",0,M101)-IF(Q101="",0,Q101)-IF(T101="",0,T101))</f>
        <v/>
      </c>
      <c r="Y101">
        <f>IF(W101="IC","OUI",IF(W101="HC","OUI",IF(W101="HR","NON","A_CONTROLER")))</f>
        <v/>
      </c>
      <c r="Z101">
        <f>IF(W101="IC","OUI",IF(W101="HC","NON",IF(W101="HR","NON","A_CONTROLER")))</f>
        <v/>
      </c>
    </row>
    <row r="102">
      <c r="B102">
        <f>IF(A102="","",A102&amp;"|"&amp;D102&amp;"|"&amp;F102&amp;"|"&amp;G102&amp;"|"&amp;TEXT(I102,"YYYYMMDD")&amp;"|"&amp;TEXT(L102,"0.00"))</f>
        <v/>
      </c>
      <c r="C102">
        <f>IF(I102="","",TEXT(I102,"YYYY-MM"))</f>
        <v/>
      </c>
      <c r="K102">
        <f>IF(OR(I102="",J102=""),"",J102-I102)</f>
        <v/>
      </c>
      <c r="N102">
        <f>IF(F102="","",IFERROR(VLOOKUP(F102,lst_PropTauxLookup,2,0),""))</f>
        <v/>
      </c>
      <c r="O102">
        <f>IF(F102="","",IF(ISNUMBER(IFERROR(VLOOKUP(F102,lst_PropTauxLookup,2,0),"")),"REF_PROPRIETAIRE","A_CONTROLER"))</f>
        <v/>
      </c>
      <c r="Q102">
        <f>IF(OR(L102="",N102=""),"",IFERROR((L102-IF(M102="",0,M102))*N102,0))</f>
        <v/>
      </c>
      <c r="V102">
        <f>IF(L102="","",L102-IF(M102="",0,M102)-IF(Q102="",0,Q102)-IF(T102="",0,T102))</f>
        <v/>
      </c>
      <c r="Y102">
        <f>IF(W102="IC","OUI",IF(W102="HC","OUI",IF(W102="HR","NON","A_CONTROLER")))</f>
        <v/>
      </c>
      <c r="Z102">
        <f>IF(W102="IC","OUI",IF(W102="HC","NON",IF(W102="HR","NON","A_CONTROLER")))</f>
        <v/>
      </c>
    </row>
    <row r="103">
      <c r="B103">
        <f>IF(A103="","",A103&amp;"|"&amp;D103&amp;"|"&amp;F103&amp;"|"&amp;G103&amp;"|"&amp;TEXT(I103,"YYYYMMDD")&amp;"|"&amp;TEXT(L103,"0.00"))</f>
        <v/>
      </c>
      <c r="C103">
        <f>IF(I103="","",TEXT(I103,"YYYY-MM"))</f>
        <v/>
      </c>
      <c r="K103">
        <f>IF(OR(I103="",J103=""),"",J103-I103)</f>
        <v/>
      </c>
      <c r="N103">
        <f>IF(F103="","",IFERROR(VLOOKUP(F103,lst_PropTauxLookup,2,0),""))</f>
        <v/>
      </c>
      <c r="O103">
        <f>IF(F103="","",IF(ISNUMBER(IFERROR(VLOOKUP(F103,lst_PropTauxLookup,2,0),"")),"REF_PROPRIETAIRE","A_CONTROLER"))</f>
        <v/>
      </c>
      <c r="Q103">
        <f>IF(OR(L103="",N103=""),"",IFERROR((L103-IF(M103="",0,M103))*N103,0))</f>
        <v/>
      </c>
      <c r="V103">
        <f>IF(L103="","",L103-IF(M103="",0,M103)-IF(Q103="",0,Q103)-IF(T103="",0,T103))</f>
        <v/>
      </c>
      <c r="Y103">
        <f>IF(W103="IC","OUI",IF(W103="HC","OUI",IF(W103="HR","NON","A_CONTROLER")))</f>
        <v/>
      </c>
      <c r="Z103">
        <f>IF(W103="IC","OUI",IF(W103="HC","NON",IF(W103="HR","NON","A_CONTROLER")))</f>
        <v/>
      </c>
    </row>
    <row r="104">
      <c r="B104">
        <f>IF(A104="","",A104&amp;"|"&amp;D104&amp;"|"&amp;F104&amp;"|"&amp;G104&amp;"|"&amp;TEXT(I104,"YYYYMMDD")&amp;"|"&amp;TEXT(L104,"0.00"))</f>
        <v/>
      </c>
      <c r="C104">
        <f>IF(I104="","",TEXT(I104,"YYYY-MM"))</f>
        <v/>
      </c>
      <c r="K104">
        <f>IF(OR(I104="",J104=""),"",J104-I104)</f>
        <v/>
      </c>
      <c r="N104">
        <f>IF(F104="","",IFERROR(VLOOKUP(F104,lst_PropTauxLookup,2,0),""))</f>
        <v/>
      </c>
      <c r="O104">
        <f>IF(F104="","",IF(ISNUMBER(IFERROR(VLOOKUP(F104,lst_PropTauxLookup,2,0),"")),"REF_PROPRIETAIRE","A_CONTROLER"))</f>
        <v/>
      </c>
      <c r="Q104">
        <f>IF(OR(L104="",N104=""),"",IFERROR((L104-IF(M104="",0,M104))*N104,0))</f>
        <v/>
      </c>
      <c r="V104">
        <f>IF(L104="","",L104-IF(M104="",0,M104)-IF(Q104="",0,Q104)-IF(T104="",0,T104))</f>
        <v/>
      </c>
      <c r="Y104">
        <f>IF(W104="IC","OUI",IF(W104="HC","OUI",IF(W104="HR","NON","A_CONTROLER")))</f>
        <v/>
      </c>
      <c r="Z104">
        <f>IF(W104="IC","OUI",IF(W104="HC","NON",IF(W104="HR","NON","A_CONTROLER")))</f>
        <v/>
      </c>
    </row>
    <row r="105">
      <c r="B105">
        <f>IF(A105="","",A105&amp;"|"&amp;D105&amp;"|"&amp;F105&amp;"|"&amp;G105&amp;"|"&amp;TEXT(I105,"YYYYMMDD")&amp;"|"&amp;TEXT(L105,"0.00"))</f>
        <v/>
      </c>
      <c r="C105">
        <f>IF(I105="","",TEXT(I105,"YYYY-MM"))</f>
        <v/>
      </c>
      <c r="K105">
        <f>IF(OR(I105="",J105=""),"",J105-I105)</f>
        <v/>
      </c>
      <c r="N105">
        <f>IF(F105="","",IFERROR(VLOOKUP(F105,lst_PropTauxLookup,2,0),""))</f>
        <v/>
      </c>
      <c r="O105">
        <f>IF(F105="","",IF(ISNUMBER(IFERROR(VLOOKUP(F105,lst_PropTauxLookup,2,0),"")),"REF_PROPRIETAIRE","A_CONTROLER"))</f>
        <v/>
      </c>
      <c r="Q105">
        <f>IF(OR(L105="",N105=""),"",IFERROR((L105-IF(M105="",0,M105))*N105,0))</f>
        <v/>
      </c>
      <c r="V105">
        <f>IF(L105="","",L105-IF(M105="",0,M105)-IF(Q105="",0,Q105)-IF(T105="",0,T105))</f>
        <v/>
      </c>
      <c r="Y105">
        <f>IF(W105="IC","OUI",IF(W105="HC","OUI",IF(W105="HR","NON","A_CONTROLER")))</f>
        <v/>
      </c>
      <c r="Z105">
        <f>IF(W105="IC","OUI",IF(W105="HC","NON",IF(W105="HR","NON","A_CONTROLER")))</f>
        <v/>
      </c>
    </row>
    <row r="106">
      <c r="B106">
        <f>IF(A106="","",A106&amp;"|"&amp;D106&amp;"|"&amp;F106&amp;"|"&amp;G106&amp;"|"&amp;TEXT(I106,"YYYYMMDD")&amp;"|"&amp;TEXT(L106,"0.00"))</f>
        <v/>
      </c>
      <c r="C106">
        <f>IF(I106="","",TEXT(I106,"YYYY-MM"))</f>
        <v/>
      </c>
      <c r="K106">
        <f>IF(OR(I106="",J106=""),"",J106-I106)</f>
        <v/>
      </c>
      <c r="N106">
        <f>IF(F106="","",IFERROR(VLOOKUP(F106,lst_PropTauxLookup,2,0),""))</f>
        <v/>
      </c>
      <c r="O106">
        <f>IF(F106="","",IF(ISNUMBER(IFERROR(VLOOKUP(F106,lst_PropTauxLookup,2,0),"")),"REF_PROPRIETAIRE","A_CONTROLER"))</f>
        <v/>
      </c>
      <c r="Q106">
        <f>IF(OR(L106="",N106=""),"",IFERROR((L106-IF(M106="",0,M106))*N106,0))</f>
        <v/>
      </c>
      <c r="V106">
        <f>IF(L106="","",L106-IF(M106="",0,M106)-IF(Q106="",0,Q106)-IF(T106="",0,T106))</f>
        <v/>
      </c>
      <c r="Y106">
        <f>IF(W106="IC","OUI",IF(W106="HC","OUI",IF(W106="HR","NON","A_CONTROLER")))</f>
        <v/>
      </c>
      <c r="Z106">
        <f>IF(W106="IC","OUI",IF(W106="HC","NON",IF(W106="HR","NON","A_CONTROLER")))</f>
        <v/>
      </c>
    </row>
    <row r="107">
      <c r="B107">
        <f>IF(A107="","",A107&amp;"|"&amp;D107&amp;"|"&amp;F107&amp;"|"&amp;G107&amp;"|"&amp;TEXT(I107,"YYYYMMDD")&amp;"|"&amp;TEXT(L107,"0.00"))</f>
        <v/>
      </c>
      <c r="C107">
        <f>IF(I107="","",TEXT(I107,"YYYY-MM"))</f>
        <v/>
      </c>
      <c r="K107">
        <f>IF(OR(I107="",J107=""),"",J107-I107)</f>
        <v/>
      </c>
      <c r="N107">
        <f>IF(F107="","",IFERROR(VLOOKUP(F107,lst_PropTauxLookup,2,0),""))</f>
        <v/>
      </c>
      <c r="O107">
        <f>IF(F107="","",IF(ISNUMBER(IFERROR(VLOOKUP(F107,lst_PropTauxLookup,2,0),"")),"REF_PROPRIETAIRE","A_CONTROLER"))</f>
        <v/>
      </c>
      <c r="Q107">
        <f>IF(OR(L107="",N107=""),"",IFERROR((L107-IF(M107="",0,M107))*N107,0))</f>
        <v/>
      </c>
      <c r="V107">
        <f>IF(L107="","",L107-IF(M107="",0,M107)-IF(Q107="",0,Q107)-IF(T107="",0,T107))</f>
        <v/>
      </c>
      <c r="Y107">
        <f>IF(W107="IC","OUI",IF(W107="HC","OUI",IF(W107="HR","NON","A_CONTROLER")))</f>
        <v/>
      </c>
      <c r="Z107">
        <f>IF(W107="IC","OUI",IF(W107="HC","NON",IF(W107="HR","NON","A_CONTROLER")))</f>
        <v/>
      </c>
    </row>
    <row r="108">
      <c r="B108">
        <f>IF(A108="","",A108&amp;"|"&amp;D108&amp;"|"&amp;F108&amp;"|"&amp;G108&amp;"|"&amp;TEXT(I108,"YYYYMMDD")&amp;"|"&amp;TEXT(L108,"0.00"))</f>
        <v/>
      </c>
      <c r="C108">
        <f>IF(I108="","",TEXT(I108,"YYYY-MM"))</f>
        <v/>
      </c>
      <c r="K108">
        <f>IF(OR(I108="",J108=""),"",J108-I108)</f>
        <v/>
      </c>
      <c r="N108">
        <f>IF(F108="","",IFERROR(VLOOKUP(F108,lst_PropTauxLookup,2,0),""))</f>
        <v/>
      </c>
      <c r="O108">
        <f>IF(F108="","",IF(ISNUMBER(IFERROR(VLOOKUP(F108,lst_PropTauxLookup,2,0),"")),"REF_PROPRIETAIRE","A_CONTROLER"))</f>
        <v/>
      </c>
      <c r="Q108">
        <f>IF(OR(L108="",N108=""),"",IFERROR((L108-IF(M108="",0,M108))*N108,0))</f>
        <v/>
      </c>
      <c r="V108">
        <f>IF(L108="","",L108-IF(M108="",0,M108)-IF(Q108="",0,Q108)-IF(T108="",0,T108))</f>
        <v/>
      </c>
      <c r="Y108">
        <f>IF(W108="IC","OUI",IF(W108="HC","OUI",IF(W108="HR","NON","A_CONTROLER")))</f>
        <v/>
      </c>
      <c r="Z108">
        <f>IF(W108="IC","OUI",IF(W108="HC","NON",IF(W108="HR","NON","A_CONTROLER")))</f>
        <v/>
      </c>
    </row>
    <row r="109">
      <c r="B109">
        <f>IF(A109="","",A109&amp;"|"&amp;D109&amp;"|"&amp;F109&amp;"|"&amp;G109&amp;"|"&amp;TEXT(I109,"YYYYMMDD")&amp;"|"&amp;TEXT(L109,"0.00"))</f>
        <v/>
      </c>
      <c r="C109">
        <f>IF(I109="","",TEXT(I109,"YYYY-MM"))</f>
        <v/>
      </c>
      <c r="K109">
        <f>IF(OR(I109="",J109=""),"",J109-I109)</f>
        <v/>
      </c>
      <c r="N109">
        <f>IF(F109="","",IFERROR(VLOOKUP(F109,lst_PropTauxLookup,2,0),""))</f>
        <v/>
      </c>
      <c r="O109">
        <f>IF(F109="","",IF(ISNUMBER(IFERROR(VLOOKUP(F109,lst_PropTauxLookup,2,0),"")),"REF_PROPRIETAIRE","A_CONTROLER"))</f>
        <v/>
      </c>
      <c r="Q109">
        <f>IF(OR(L109="",N109=""),"",IFERROR((L109-IF(M109="",0,M109))*N109,0))</f>
        <v/>
      </c>
      <c r="V109">
        <f>IF(L109="","",L109-IF(M109="",0,M109)-IF(Q109="",0,Q109)-IF(T109="",0,T109))</f>
        <v/>
      </c>
      <c r="Y109">
        <f>IF(W109="IC","OUI",IF(W109="HC","OUI",IF(W109="HR","NON","A_CONTROLER")))</f>
        <v/>
      </c>
      <c r="Z109">
        <f>IF(W109="IC","OUI",IF(W109="HC","NON",IF(W109="HR","NON","A_CONTROLER")))</f>
        <v/>
      </c>
    </row>
    <row r="110">
      <c r="B110">
        <f>IF(A110="","",A110&amp;"|"&amp;D110&amp;"|"&amp;F110&amp;"|"&amp;G110&amp;"|"&amp;TEXT(I110,"YYYYMMDD")&amp;"|"&amp;TEXT(L110,"0.00"))</f>
        <v/>
      </c>
      <c r="C110">
        <f>IF(I110="","",TEXT(I110,"YYYY-MM"))</f>
        <v/>
      </c>
      <c r="K110">
        <f>IF(OR(I110="",J110=""),"",J110-I110)</f>
        <v/>
      </c>
      <c r="N110">
        <f>IF(F110="","",IFERROR(VLOOKUP(F110,lst_PropTauxLookup,2,0),""))</f>
        <v/>
      </c>
      <c r="O110">
        <f>IF(F110="","",IF(ISNUMBER(IFERROR(VLOOKUP(F110,lst_PropTauxLookup,2,0),"")),"REF_PROPRIETAIRE","A_CONTROLER"))</f>
        <v/>
      </c>
      <c r="Q110">
        <f>IF(OR(L110="",N110=""),"",IFERROR((L110-IF(M110="",0,M110))*N110,0))</f>
        <v/>
      </c>
      <c r="V110">
        <f>IF(L110="","",L110-IF(M110="",0,M110)-IF(Q110="",0,Q110)-IF(T110="",0,T110))</f>
        <v/>
      </c>
      <c r="Y110">
        <f>IF(W110="IC","OUI",IF(W110="HC","OUI",IF(W110="HR","NON","A_CONTROLER")))</f>
        <v/>
      </c>
      <c r="Z110">
        <f>IF(W110="IC","OUI",IF(W110="HC","NON",IF(W110="HR","NON","A_CONTROLER")))</f>
        <v/>
      </c>
    </row>
    <row r="111">
      <c r="B111">
        <f>IF(A111="","",A111&amp;"|"&amp;D111&amp;"|"&amp;F111&amp;"|"&amp;G111&amp;"|"&amp;TEXT(I111,"YYYYMMDD")&amp;"|"&amp;TEXT(L111,"0.00"))</f>
        <v/>
      </c>
      <c r="C111">
        <f>IF(I111="","",TEXT(I111,"YYYY-MM"))</f>
        <v/>
      </c>
      <c r="K111">
        <f>IF(OR(I111="",J111=""),"",J111-I111)</f>
        <v/>
      </c>
      <c r="N111">
        <f>IF(F111="","",IFERROR(VLOOKUP(F111,lst_PropTauxLookup,2,0),""))</f>
        <v/>
      </c>
      <c r="O111">
        <f>IF(F111="","",IF(ISNUMBER(IFERROR(VLOOKUP(F111,lst_PropTauxLookup,2,0),"")),"REF_PROPRIETAIRE","A_CONTROLER"))</f>
        <v/>
      </c>
      <c r="Q111">
        <f>IF(OR(L111="",N111=""),"",IFERROR((L111-IF(M111="",0,M111))*N111,0))</f>
        <v/>
      </c>
      <c r="V111">
        <f>IF(L111="","",L111-IF(M111="",0,M111)-IF(Q111="",0,Q111)-IF(T111="",0,T111))</f>
        <v/>
      </c>
      <c r="Y111">
        <f>IF(W111="IC","OUI",IF(W111="HC","OUI",IF(W111="HR","NON","A_CONTROLER")))</f>
        <v/>
      </c>
      <c r="Z111">
        <f>IF(W111="IC","OUI",IF(W111="HC","NON",IF(W111="HR","NON","A_CONTROLER")))</f>
        <v/>
      </c>
    </row>
    <row r="112">
      <c r="B112">
        <f>IF(A112="","",A112&amp;"|"&amp;D112&amp;"|"&amp;F112&amp;"|"&amp;G112&amp;"|"&amp;TEXT(I112,"YYYYMMDD")&amp;"|"&amp;TEXT(L112,"0.00"))</f>
        <v/>
      </c>
      <c r="C112">
        <f>IF(I112="","",TEXT(I112,"YYYY-MM"))</f>
        <v/>
      </c>
      <c r="K112">
        <f>IF(OR(I112="",J112=""),"",J112-I112)</f>
        <v/>
      </c>
      <c r="N112">
        <f>IF(F112="","",IFERROR(VLOOKUP(F112,lst_PropTauxLookup,2,0),""))</f>
        <v/>
      </c>
      <c r="O112">
        <f>IF(F112="","",IF(ISNUMBER(IFERROR(VLOOKUP(F112,lst_PropTauxLookup,2,0),"")),"REF_PROPRIETAIRE","A_CONTROLER"))</f>
        <v/>
      </c>
      <c r="Q112">
        <f>IF(OR(L112="",N112=""),"",IFERROR((L112-IF(M112="",0,M112))*N112,0))</f>
        <v/>
      </c>
      <c r="V112">
        <f>IF(L112="","",L112-IF(M112="",0,M112)-IF(Q112="",0,Q112)-IF(T112="",0,T112))</f>
        <v/>
      </c>
      <c r="Y112">
        <f>IF(W112="IC","OUI",IF(W112="HC","OUI",IF(W112="HR","NON","A_CONTROLER")))</f>
        <v/>
      </c>
      <c r="Z112">
        <f>IF(W112="IC","OUI",IF(W112="HC","NON",IF(W112="HR","NON","A_CONTROLER")))</f>
        <v/>
      </c>
    </row>
    <row r="113">
      <c r="B113">
        <f>IF(A113="","",A113&amp;"|"&amp;D113&amp;"|"&amp;F113&amp;"|"&amp;G113&amp;"|"&amp;TEXT(I113,"YYYYMMDD")&amp;"|"&amp;TEXT(L113,"0.00"))</f>
        <v/>
      </c>
      <c r="C113">
        <f>IF(I113="","",TEXT(I113,"YYYY-MM"))</f>
        <v/>
      </c>
      <c r="K113">
        <f>IF(OR(I113="",J113=""),"",J113-I113)</f>
        <v/>
      </c>
      <c r="N113">
        <f>IF(F113="","",IFERROR(VLOOKUP(F113,lst_PropTauxLookup,2,0),""))</f>
        <v/>
      </c>
      <c r="O113">
        <f>IF(F113="","",IF(ISNUMBER(IFERROR(VLOOKUP(F113,lst_PropTauxLookup,2,0),"")),"REF_PROPRIETAIRE","A_CONTROLER"))</f>
        <v/>
      </c>
      <c r="Q113">
        <f>IF(OR(L113="",N113=""),"",IFERROR((L113-IF(M113="",0,M113))*N113,0))</f>
        <v/>
      </c>
      <c r="V113">
        <f>IF(L113="","",L113-IF(M113="",0,M113)-IF(Q113="",0,Q113)-IF(T113="",0,T113))</f>
        <v/>
      </c>
      <c r="Y113">
        <f>IF(W113="IC","OUI",IF(W113="HC","OUI",IF(W113="HR","NON","A_CONTROLER")))</f>
        <v/>
      </c>
      <c r="Z113">
        <f>IF(W113="IC","OUI",IF(W113="HC","NON",IF(W113="HR","NON","A_CONTROLER")))</f>
        <v/>
      </c>
    </row>
    <row r="114">
      <c r="B114">
        <f>IF(A114="","",A114&amp;"|"&amp;D114&amp;"|"&amp;F114&amp;"|"&amp;G114&amp;"|"&amp;TEXT(I114,"YYYYMMDD")&amp;"|"&amp;TEXT(L114,"0.00"))</f>
        <v/>
      </c>
      <c r="C114">
        <f>IF(I114="","",TEXT(I114,"YYYY-MM"))</f>
        <v/>
      </c>
      <c r="K114">
        <f>IF(OR(I114="",J114=""),"",J114-I114)</f>
        <v/>
      </c>
      <c r="N114">
        <f>IF(F114="","",IFERROR(VLOOKUP(F114,lst_PropTauxLookup,2,0),""))</f>
        <v/>
      </c>
      <c r="O114">
        <f>IF(F114="","",IF(ISNUMBER(IFERROR(VLOOKUP(F114,lst_PropTauxLookup,2,0),"")),"REF_PROPRIETAIRE","A_CONTROLER"))</f>
        <v/>
      </c>
      <c r="Q114">
        <f>IF(OR(L114="",N114=""),"",IFERROR((L114-IF(M114="",0,M114))*N114,0))</f>
        <v/>
      </c>
      <c r="V114">
        <f>IF(L114="","",L114-IF(M114="",0,M114)-IF(Q114="",0,Q114)-IF(T114="",0,T114))</f>
        <v/>
      </c>
      <c r="Y114">
        <f>IF(W114="IC","OUI",IF(W114="HC","OUI",IF(W114="HR","NON","A_CONTROLER")))</f>
        <v/>
      </c>
      <c r="Z114">
        <f>IF(W114="IC","OUI",IF(W114="HC","NON",IF(W114="HR","NON","A_CONTROLER")))</f>
        <v/>
      </c>
    </row>
    <row r="115">
      <c r="B115">
        <f>IF(A115="","",A115&amp;"|"&amp;D115&amp;"|"&amp;F115&amp;"|"&amp;G115&amp;"|"&amp;TEXT(I115,"YYYYMMDD")&amp;"|"&amp;TEXT(L115,"0.00"))</f>
        <v/>
      </c>
      <c r="C115">
        <f>IF(I115="","",TEXT(I115,"YYYY-MM"))</f>
        <v/>
      </c>
      <c r="K115">
        <f>IF(OR(I115="",J115=""),"",J115-I115)</f>
        <v/>
      </c>
      <c r="N115">
        <f>IF(F115="","",IFERROR(VLOOKUP(F115,lst_PropTauxLookup,2,0),""))</f>
        <v/>
      </c>
      <c r="O115">
        <f>IF(F115="","",IF(ISNUMBER(IFERROR(VLOOKUP(F115,lst_PropTauxLookup,2,0),"")),"REF_PROPRIETAIRE","A_CONTROLER"))</f>
        <v/>
      </c>
      <c r="Q115">
        <f>IF(OR(L115="",N115=""),"",IFERROR((L115-IF(M115="",0,M115))*N115,0))</f>
        <v/>
      </c>
      <c r="V115">
        <f>IF(L115="","",L115-IF(M115="",0,M115)-IF(Q115="",0,Q115)-IF(T115="",0,T115))</f>
        <v/>
      </c>
      <c r="Y115">
        <f>IF(W115="IC","OUI",IF(W115="HC","OUI",IF(W115="HR","NON","A_CONTROLER")))</f>
        <v/>
      </c>
      <c r="Z115">
        <f>IF(W115="IC","OUI",IF(W115="HC","NON",IF(W115="HR","NON","A_CONTROLER")))</f>
        <v/>
      </c>
    </row>
    <row r="116">
      <c r="B116">
        <f>IF(A116="","",A116&amp;"|"&amp;D116&amp;"|"&amp;F116&amp;"|"&amp;G116&amp;"|"&amp;TEXT(I116,"YYYYMMDD")&amp;"|"&amp;TEXT(L116,"0.00"))</f>
        <v/>
      </c>
      <c r="C116">
        <f>IF(I116="","",TEXT(I116,"YYYY-MM"))</f>
        <v/>
      </c>
      <c r="K116">
        <f>IF(OR(I116="",J116=""),"",J116-I116)</f>
        <v/>
      </c>
      <c r="N116">
        <f>IF(F116="","",IFERROR(VLOOKUP(F116,lst_PropTauxLookup,2,0),""))</f>
        <v/>
      </c>
      <c r="O116">
        <f>IF(F116="","",IF(ISNUMBER(IFERROR(VLOOKUP(F116,lst_PropTauxLookup,2,0),"")),"REF_PROPRIETAIRE","A_CONTROLER"))</f>
        <v/>
      </c>
      <c r="Q116">
        <f>IF(OR(L116="",N116=""),"",IFERROR((L116-IF(M116="",0,M116))*N116,0))</f>
        <v/>
      </c>
      <c r="V116">
        <f>IF(L116="","",L116-IF(M116="",0,M116)-IF(Q116="",0,Q116)-IF(T116="",0,T116))</f>
        <v/>
      </c>
      <c r="Y116">
        <f>IF(W116="IC","OUI",IF(W116="HC","OUI",IF(W116="HR","NON","A_CONTROLER")))</f>
        <v/>
      </c>
      <c r="Z116">
        <f>IF(W116="IC","OUI",IF(W116="HC","NON",IF(W116="HR","NON","A_CONTROLER")))</f>
        <v/>
      </c>
    </row>
    <row r="117">
      <c r="B117">
        <f>IF(A117="","",A117&amp;"|"&amp;D117&amp;"|"&amp;F117&amp;"|"&amp;G117&amp;"|"&amp;TEXT(I117,"YYYYMMDD")&amp;"|"&amp;TEXT(L117,"0.00"))</f>
        <v/>
      </c>
      <c r="C117">
        <f>IF(I117="","",TEXT(I117,"YYYY-MM"))</f>
        <v/>
      </c>
      <c r="K117">
        <f>IF(OR(I117="",J117=""),"",J117-I117)</f>
        <v/>
      </c>
      <c r="N117">
        <f>IF(F117="","",IFERROR(VLOOKUP(F117,lst_PropTauxLookup,2,0),""))</f>
        <v/>
      </c>
      <c r="O117">
        <f>IF(F117="","",IF(ISNUMBER(IFERROR(VLOOKUP(F117,lst_PropTauxLookup,2,0),"")),"REF_PROPRIETAIRE","A_CONTROLER"))</f>
        <v/>
      </c>
      <c r="Q117">
        <f>IF(OR(L117="",N117=""),"",IFERROR((L117-IF(M117="",0,M117))*N117,0))</f>
        <v/>
      </c>
      <c r="V117">
        <f>IF(L117="","",L117-IF(M117="",0,M117)-IF(Q117="",0,Q117)-IF(T117="",0,T117))</f>
        <v/>
      </c>
      <c r="Y117">
        <f>IF(W117="IC","OUI",IF(W117="HC","OUI",IF(W117="HR","NON","A_CONTROLER")))</f>
        <v/>
      </c>
      <c r="Z117">
        <f>IF(W117="IC","OUI",IF(W117="HC","NON",IF(W117="HR","NON","A_CONTROLER")))</f>
        <v/>
      </c>
    </row>
    <row r="118">
      <c r="B118">
        <f>IF(A118="","",A118&amp;"|"&amp;D118&amp;"|"&amp;F118&amp;"|"&amp;G118&amp;"|"&amp;TEXT(I118,"YYYYMMDD")&amp;"|"&amp;TEXT(L118,"0.00"))</f>
        <v/>
      </c>
      <c r="C118">
        <f>IF(I118="","",TEXT(I118,"YYYY-MM"))</f>
        <v/>
      </c>
      <c r="K118">
        <f>IF(OR(I118="",J118=""),"",J118-I118)</f>
        <v/>
      </c>
      <c r="N118">
        <f>IF(F118="","",IFERROR(VLOOKUP(F118,lst_PropTauxLookup,2,0),""))</f>
        <v/>
      </c>
      <c r="O118">
        <f>IF(F118="","",IF(ISNUMBER(IFERROR(VLOOKUP(F118,lst_PropTauxLookup,2,0),"")),"REF_PROPRIETAIRE","A_CONTROLER"))</f>
        <v/>
      </c>
      <c r="Q118">
        <f>IF(OR(L118="",N118=""),"",IFERROR((L118-IF(M118="",0,M118))*N118,0))</f>
        <v/>
      </c>
      <c r="V118">
        <f>IF(L118="","",L118-IF(M118="",0,M118)-IF(Q118="",0,Q118)-IF(T118="",0,T118))</f>
        <v/>
      </c>
      <c r="Y118">
        <f>IF(W118="IC","OUI",IF(W118="HC","OUI",IF(W118="HR","NON","A_CONTROLER")))</f>
        <v/>
      </c>
      <c r="Z118">
        <f>IF(W118="IC","OUI",IF(W118="HC","NON",IF(W118="HR","NON","A_CONTROLER")))</f>
        <v/>
      </c>
    </row>
    <row r="119">
      <c r="B119">
        <f>IF(A119="","",A119&amp;"|"&amp;D119&amp;"|"&amp;F119&amp;"|"&amp;G119&amp;"|"&amp;TEXT(I119,"YYYYMMDD")&amp;"|"&amp;TEXT(L119,"0.00"))</f>
        <v/>
      </c>
      <c r="C119">
        <f>IF(I119="","",TEXT(I119,"YYYY-MM"))</f>
        <v/>
      </c>
      <c r="K119">
        <f>IF(OR(I119="",J119=""),"",J119-I119)</f>
        <v/>
      </c>
      <c r="N119">
        <f>IF(F119="","",IFERROR(VLOOKUP(F119,lst_PropTauxLookup,2,0),""))</f>
        <v/>
      </c>
      <c r="O119">
        <f>IF(F119="","",IF(ISNUMBER(IFERROR(VLOOKUP(F119,lst_PropTauxLookup,2,0),"")),"REF_PROPRIETAIRE","A_CONTROLER"))</f>
        <v/>
      </c>
      <c r="Q119">
        <f>IF(OR(L119="",N119=""),"",IFERROR((L119-IF(M119="",0,M119))*N119,0))</f>
        <v/>
      </c>
      <c r="V119">
        <f>IF(L119="","",L119-IF(M119="",0,M119)-IF(Q119="",0,Q119)-IF(T119="",0,T119))</f>
        <v/>
      </c>
      <c r="Y119">
        <f>IF(W119="IC","OUI",IF(W119="HC","OUI",IF(W119="HR","NON","A_CONTROLER")))</f>
        <v/>
      </c>
      <c r="Z119">
        <f>IF(W119="IC","OUI",IF(W119="HC","NON",IF(W119="HR","NON","A_CONTROLER")))</f>
        <v/>
      </c>
    </row>
    <row r="120">
      <c r="B120">
        <f>IF(A120="","",A120&amp;"|"&amp;D120&amp;"|"&amp;F120&amp;"|"&amp;G120&amp;"|"&amp;TEXT(I120,"YYYYMMDD")&amp;"|"&amp;TEXT(L120,"0.00"))</f>
        <v/>
      </c>
      <c r="C120">
        <f>IF(I120="","",TEXT(I120,"YYYY-MM"))</f>
        <v/>
      </c>
      <c r="K120">
        <f>IF(OR(I120="",J120=""),"",J120-I120)</f>
        <v/>
      </c>
      <c r="N120">
        <f>IF(F120="","",IFERROR(VLOOKUP(F120,lst_PropTauxLookup,2,0),""))</f>
        <v/>
      </c>
      <c r="O120">
        <f>IF(F120="","",IF(ISNUMBER(IFERROR(VLOOKUP(F120,lst_PropTauxLookup,2,0),"")),"REF_PROPRIETAIRE","A_CONTROLER"))</f>
        <v/>
      </c>
      <c r="Q120">
        <f>IF(OR(L120="",N120=""),"",IFERROR((L120-IF(M120="",0,M120))*N120,0))</f>
        <v/>
      </c>
      <c r="V120">
        <f>IF(L120="","",L120-IF(M120="",0,M120)-IF(Q120="",0,Q120)-IF(T120="",0,T120))</f>
        <v/>
      </c>
      <c r="Y120">
        <f>IF(W120="IC","OUI",IF(W120="HC","OUI",IF(W120="HR","NON","A_CONTROLER")))</f>
        <v/>
      </c>
      <c r="Z120">
        <f>IF(W120="IC","OUI",IF(W120="HC","NON",IF(W120="HR","NON","A_CONTROLER")))</f>
        <v/>
      </c>
    </row>
    <row r="121">
      <c r="B121">
        <f>IF(A121="","",A121&amp;"|"&amp;D121&amp;"|"&amp;F121&amp;"|"&amp;G121&amp;"|"&amp;TEXT(I121,"YYYYMMDD")&amp;"|"&amp;TEXT(L121,"0.00"))</f>
        <v/>
      </c>
      <c r="C121">
        <f>IF(I121="","",TEXT(I121,"YYYY-MM"))</f>
        <v/>
      </c>
      <c r="K121">
        <f>IF(OR(I121="",J121=""),"",J121-I121)</f>
        <v/>
      </c>
      <c r="N121">
        <f>IF(F121="","",IFERROR(VLOOKUP(F121,lst_PropTauxLookup,2,0),""))</f>
        <v/>
      </c>
      <c r="O121">
        <f>IF(F121="","",IF(ISNUMBER(IFERROR(VLOOKUP(F121,lst_PropTauxLookup,2,0),"")),"REF_PROPRIETAIRE","A_CONTROLER"))</f>
        <v/>
      </c>
      <c r="Q121">
        <f>IF(OR(L121="",N121=""),"",IFERROR((L121-IF(M121="",0,M121))*N121,0))</f>
        <v/>
      </c>
      <c r="V121">
        <f>IF(L121="","",L121-IF(M121="",0,M121)-IF(Q121="",0,Q121)-IF(T121="",0,T121))</f>
        <v/>
      </c>
      <c r="Y121">
        <f>IF(W121="IC","OUI",IF(W121="HC","OUI",IF(W121="HR","NON","A_CONTROLER")))</f>
        <v/>
      </c>
      <c r="Z121">
        <f>IF(W121="IC","OUI",IF(W121="HC","NON",IF(W121="HR","NON","A_CONTROLER")))</f>
        <v/>
      </c>
    </row>
    <row r="122">
      <c r="B122">
        <f>IF(A122="","",A122&amp;"|"&amp;D122&amp;"|"&amp;F122&amp;"|"&amp;G122&amp;"|"&amp;TEXT(I122,"YYYYMMDD")&amp;"|"&amp;TEXT(L122,"0.00"))</f>
        <v/>
      </c>
      <c r="C122">
        <f>IF(I122="","",TEXT(I122,"YYYY-MM"))</f>
        <v/>
      </c>
      <c r="K122">
        <f>IF(OR(I122="",J122=""),"",J122-I122)</f>
        <v/>
      </c>
      <c r="N122">
        <f>IF(F122="","",IFERROR(VLOOKUP(F122,lst_PropTauxLookup,2,0),""))</f>
        <v/>
      </c>
      <c r="O122">
        <f>IF(F122="","",IF(ISNUMBER(IFERROR(VLOOKUP(F122,lst_PropTauxLookup,2,0),"")),"REF_PROPRIETAIRE","A_CONTROLER"))</f>
        <v/>
      </c>
      <c r="Q122">
        <f>IF(OR(L122="",N122=""),"",IFERROR((L122-IF(M122="",0,M122))*N122,0))</f>
        <v/>
      </c>
      <c r="V122">
        <f>IF(L122="","",L122-IF(M122="",0,M122)-IF(Q122="",0,Q122)-IF(T122="",0,T122))</f>
        <v/>
      </c>
      <c r="Y122">
        <f>IF(W122="IC","OUI",IF(W122="HC","OUI",IF(W122="HR","NON","A_CONTROLER")))</f>
        <v/>
      </c>
      <c r="Z122">
        <f>IF(W122="IC","OUI",IF(W122="HC","NON",IF(W122="HR","NON","A_CONTROLER")))</f>
        <v/>
      </c>
    </row>
    <row r="123">
      <c r="B123">
        <f>IF(A123="","",A123&amp;"|"&amp;D123&amp;"|"&amp;F123&amp;"|"&amp;G123&amp;"|"&amp;TEXT(I123,"YYYYMMDD")&amp;"|"&amp;TEXT(L123,"0.00"))</f>
        <v/>
      </c>
      <c r="C123">
        <f>IF(I123="","",TEXT(I123,"YYYY-MM"))</f>
        <v/>
      </c>
      <c r="K123">
        <f>IF(OR(I123="",J123=""),"",J123-I123)</f>
        <v/>
      </c>
      <c r="N123">
        <f>IF(F123="","",IFERROR(VLOOKUP(F123,lst_PropTauxLookup,2,0),""))</f>
        <v/>
      </c>
      <c r="O123">
        <f>IF(F123="","",IF(ISNUMBER(IFERROR(VLOOKUP(F123,lst_PropTauxLookup,2,0),"")),"REF_PROPRIETAIRE","A_CONTROLER"))</f>
        <v/>
      </c>
      <c r="Q123">
        <f>IF(OR(L123="",N123=""),"",IFERROR((L123-IF(M123="",0,M123))*N123,0))</f>
        <v/>
      </c>
      <c r="V123">
        <f>IF(L123="","",L123-IF(M123="",0,M123)-IF(Q123="",0,Q123)-IF(T123="",0,T123))</f>
        <v/>
      </c>
      <c r="Y123">
        <f>IF(W123="IC","OUI",IF(W123="HC","OUI",IF(W123="HR","NON","A_CONTROLER")))</f>
        <v/>
      </c>
      <c r="Z123">
        <f>IF(W123="IC","OUI",IF(W123="HC","NON",IF(W123="HR","NON","A_CONTROLER")))</f>
        <v/>
      </c>
    </row>
    <row r="124">
      <c r="B124">
        <f>IF(A124="","",A124&amp;"|"&amp;D124&amp;"|"&amp;F124&amp;"|"&amp;G124&amp;"|"&amp;TEXT(I124,"YYYYMMDD")&amp;"|"&amp;TEXT(L124,"0.00"))</f>
        <v/>
      </c>
      <c r="C124">
        <f>IF(I124="","",TEXT(I124,"YYYY-MM"))</f>
        <v/>
      </c>
      <c r="K124">
        <f>IF(OR(I124="",J124=""),"",J124-I124)</f>
        <v/>
      </c>
      <c r="N124">
        <f>IF(F124="","",IFERROR(VLOOKUP(F124,lst_PropTauxLookup,2,0),""))</f>
        <v/>
      </c>
      <c r="O124">
        <f>IF(F124="","",IF(ISNUMBER(IFERROR(VLOOKUP(F124,lst_PropTauxLookup,2,0),"")),"REF_PROPRIETAIRE","A_CONTROLER"))</f>
        <v/>
      </c>
      <c r="Q124">
        <f>IF(OR(L124="",N124=""),"",IFERROR((L124-IF(M124="",0,M124))*N124,0))</f>
        <v/>
      </c>
      <c r="V124">
        <f>IF(L124="","",L124-IF(M124="",0,M124)-IF(Q124="",0,Q124)-IF(T124="",0,T124))</f>
        <v/>
      </c>
      <c r="Y124">
        <f>IF(W124="IC","OUI",IF(W124="HC","OUI",IF(W124="HR","NON","A_CONTROLER")))</f>
        <v/>
      </c>
      <c r="Z124">
        <f>IF(W124="IC","OUI",IF(W124="HC","NON",IF(W124="HR","NON","A_CONTROLER")))</f>
        <v/>
      </c>
    </row>
    <row r="125">
      <c r="B125">
        <f>IF(A125="","",A125&amp;"|"&amp;D125&amp;"|"&amp;F125&amp;"|"&amp;G125&amp;"|"&amp;TEXT(I125,"YYYYMMDD")&amp;"|"&amp;TEXT(L125,"0.00"))</f>
        <v/>
      </c>
      <c r="C125">
        <f>IF(I125="","",TEXT(I125,"YYYY-MM"))</f>
        <v/>
      </c>
      <c r="K125">
        <f>IF(OR(I125="",J125=""),"",J125-I125)</f>
        <v/>
      </c>
      <c r="N125">
        <f>IF(F125="","",IFERROR(VLOOKUP(F125,lst_PropTauxLookup,2,0),""))</f>
        <v/>
      </c>
      <c r="O125">
        <f>IF(F125="","",IF(ISNUMBER(IFERROR(VLOOKUP(F125,lst_PropTauxLookup,2,0),"")),"REF_PROPRIETAIRE","A_CONTROLER"))</f>
        <v/>
      </c>
      <c r="Q125">
        <f>IF(OR(L125="",N125=""),"",IFERROR((L125-IF(M125="",0,M125))*N125,0))</f>
        <v/>
      </c>
      <c r="V125">
        <f>IF(L125="","",L125-IF(M125="",0,M125)-IF(Q125="",0,Q125)-IF(T125="",0,T125))</f>
        <v/>
      </c>
      <c r="Y125">
        <f>IF(W125="IC","OUI",IF(W125="HC","OUI",IF(W125="HR","NON","A_CONTROLER")))</f>
        <v/>
      </c>
      <c r="Z125">
        <f>IF(W125="IC","OUI",IF(W125="HC","NON",IF(W125="HR","NON","A_CONTROLER")))</f>
        <v/>
      </c>
    </row>
    <row r="126">
      <c r="B126">
        <f>IF(A126="","",A126&amp;"|"&amp;D126&amp;"|"&amp;F126&amp;"|"&amp;G126&amp;"|"&amp;TEXT(I126,"YYYYMMDD")&amp;"|"&amp;TEXT(L126,"0.00"))</f>
        <v/>
      </c>
      <c r="C126">
        <f>IF(I126="","",TEXT(I126,"YYYY-MM"))</f>
        <v/>
      </c>
      <c r="K126">
        <f>IF(OR(I126="",J126=""),"",J126-I126)</f>
        <v/>
      </c>
      <c r="N126">
        <f>IF(F126="","",IFERROR(VLOOKUP(F126,lst_PropTauxLookup,2,0),""))</f>
        <v/>
      </c>
      <c r="O126">
        <f>IF(F126="","",IF(ISNUMBER(IFERROR(VLOOKUP(F126,lst_PropTauxLookup,2,0),"")),"REF_PROPRIETAIRE","A_CONTROLER"))</f>
        <v/>
      </c>
      <c r="Q126">
        <f>IF(OR(L126="",N126=""),"",IFERROR((L126-IF(M126="",0,M126))*N126,0))</f>
        <v/>
      </c>
      <c r="V126">
        <f>IF(L126="","",L126-IF(M126="",0,M126)-IF(Q126="",0,Q126)-IF(T126="",0,T126))</f>
        <v/>
      </c>
      <c r="Y126">
        <f>IF(W126="IC","OUI",IF(W126="HC","OUI",IF(W126="HR","NON","A_CONTROLER")))</f>
        <v/>
      </c>
      <c r="Z126">
        <f>IF(W126="IC","OUI",IF(W126="HC","NON",IF(W126="HR","NON","A_CONTROLER")))</f>
        <v/>
      </c>
    </row>
    <row r="127">
      <c r="B127">
        <f>IF(A127="","",A127&amp;"|"&amp;D127&amp;"|"&amp;F127&amp;"|"&amp;G127&amp;"|"&amp;TEXT(I127,"YYYYMMDD")&amp;"|"&amp;TEXT(L127,"0.00"))</f>
        <v/>
      </c>
      <c r="C127">
        <f>IF(I127="","",TEXT(I127,"YYYY-MM"))</f>
        <v/>
      </c>
      <c r="K127">
        <f>IF(OR(I127="",J127=""),"",J127-I127)</f>
        <v/>
      </c>
      <c r="N127">
        <f>IF(F127="","",IFERROR(VLOOKUP(F127,lst_PropTauxLookup,2,0),""))</f>
        <v/>
      </c>
      <c r="O127">
        <f>IF(F127="","",IF(ISNUMBER(IFERROR(VLOOKUP(F127,lst_PropTauxLookup,2,0),"")),"REF_PROPRIETAIRE","A_CONTROLER"))</f>
        <v/>
      </c>
      <c r="Q127">
        <f>IF(OR(L127="",N127=""),"",IFERROR((L127-IF(M127="",0,M127))*N127,0))</f>
        <v/>
      </c>
      <c r="V127">
        <f>IF(L127="","",L127-IF(M127="",0,M127)-IF(Q127="",0,Q127)-IF(T127="",0,T127))</f>
        <v/>
      </c>
      <c r="Y127">
        <f>IF(W127="IC","OUI",IF(W127="HC","OUI",IF(W127="HR","NON","A_CONTROLER")))</f>
        <v/>
      </c>
      <c r="Z127">
        <f>IF(W127="IC","OUI",IF(W127="HC","NON",IF(W127="HR","NON","A_CONTROLER")))</f>
        <v/>
      </c>
    </row>
    <row r="128">
      <c r="B128">
        <f>IF(A128="","",A128&amp;"|"&amp;D128&amp;"|"&amp;F128&amp;"|"&amp;G128&amp;"|"&amp;TEXT(I128,"YYYYMMDD")&amp;"|"&amp;TEXT(L128,"0.00"))</f>
        <v/>
      </c>
      <c r="C128">
        <f>IF(I128="","",TEXT(I128,"YYYY-MM"))</f>
        <v/>
      </c>
      <c r="K128">
        <f>IF(OR(I128="",J128=""),"",J128-I128)</f>
        <v/>
      </c>
      <c r="N128">
        <f>IF(F128="","",IFERROR(VLOOKUP(F128,lst_PropTauxLookup,2,0),""))</f>
        <v/>
      </c>
      <c r="O128">
        <f>IF(F128="","",IF(ISNUMBER(IFERROR(VLOOKUP(F128,lst_PropTauxLookup,2,0),"")),"REF_PROPRIETAIRE","A_CONTROLER"))</f>
        <v/>
      </c>
      <c r="Q128">
        <f>IF(OR(L128="",N128=""),"",IFERROR((L128-IF(M128="",0,M128))*N128,0))</f>
        <v/>
      </c>
      <c r="V128">
        <f>IF(L128="","",L128-IF(M128="",0,M128)-IF(Q128="",0,Q128)-IF(T128="",0,T128))</f>
        <v/>
      </c>
      <c r="Y128">
        <f>IF(W128="IC","OUI",IF(W128="HC","OUI",IF(W128="HR","NON","A_CONTROLER")))</f>
        <v/>
      </c>
      <c r="Z128">
        <f>IF(W128="IC","OUI",IF(W128="HC","NON",IF(W128="HR","NON","A_CONTROLER")))</f>
        <v/>
      </c>
    </row>
    <row r="129">
      <c r="B129">
        <f>IF(A129="","",A129&amp;"|"&amp;D129&amp;"|"&amp;F129&amp;"|"&amp;G129&amp;"|"&amp;TEXT(I129,"YYYYMMDD")&amp;"|"&amp;TEXT(L129,"0.00"))</f>
        <v/>
      </c>
      <c r="C129">
        <f>IF(I129="","",TEXT(I129,"YYYY-MM"))</f>
        <v/>
      </c>
      <c r="K129">
        <f>IF(OR(I129="",J129=""),"",J129-I129)</f>
        <v/>
      </c>
      <c r="N129">
        <f>IF(F129="","",IFERROR(VLOOKUP(F129,lst_PropTauxLookup,2,0),""))</f>
        <v/>
      </c>
      <c r="O129">
        <f>IF(F129="","",IF(ISNUMBER(IFERROR(VLOOKUP(F129,lst_PropTauxLookup,2,0),"")),"REF_PROPRIETAIRE","A_CONTROLER"))</f>
        <v/>
      </c>
      <c r="Q129">
        <f>IF(OR(L129="",N129=""),"",IFERROR((L129-IF(M129="",0,M129))*N129,0))</f>
        <v/>
      </c>
      <c r="V129">
        <f>IF(L129="","",L129-IF(M129="",0,M129)-IF(Q129="",0,Q129)-IF(T129="",0,T129))</f>
        <v/>
      </c>
      <c r="Y129">
        <f>IF(W129="IC","OUI",IF(W129="HC","OUI",IF(W129="HR","NON","A_CONTROLER")))</f>
        <v/>
      </c>
      <c r="Z129">
        <f>IF(W129="IC","OUI",IF(W129="HC","NON",IF(W129="HR","NON","A_CONTROLER")))</f>
        <v/>
      </c>
    </row>
    <row r="130">
      <c r="B130">
        <f>IF(A130="","",A130&amp;"|"&amp;D130&amp;"|"&amp;F130&amp;"|"&amp;G130&amp;"|"&amp;TEXT(I130,"YYYYMMDD")&amp;"|"&amp;TEXT(L130,"0.00"))</f>
        <v/>
      </c>
      <c r="C130">
        <f>IF(I130="","",TEXT(I130,"YYYY-MM"))</f>
        <v/>
      </c>
      <c r="K130">
        <f>IF(OR(I130="",J130=""),"",J130-I130)</f>
        <v/>
      </c>
      <c r="N130">
        <f>IF(F130="","",IFERROR(VLOOKUP(F130,lst_PropTauxLookup,2,0),""))</f>
        <v/>
      </c>
      <c r="O130">
        <f>IF(F130="","",IF(ISNUMBER(IFERROR(VLOOKUP(F130,lst_PropTauxLookup,2,0),"")),"REF_PROPRIETAIRE","A_CONTROLER"))</f>
        <v/>
      </c>
      <c r="Q130">
        <f>IF(OR(L130="",N130=""),"",IFERROR((L130-IF(M130="",0,M130))*N130,0))</f>
        <v/>
      </c>
      <c r="V130">
        <f>IF(L130="","",L130-IF(M130="",0,M130)-IF(Q130="",0,Q130)-IF(T130="",0,T130))</f>
        <v/>
      </c>
      <c r="Y130">
        <f>IF(W130="IC","OUI",IF(W130="HC","OUI",IF(W130="HR","NON","A_CONTROLER")))</f>
        <v/>
      </c>
      <c r="Z130">
        <f>IF(W130="IC","OUI",IF(W130="HC","NON",IF(W130="HR","NON","A_CONTROLER")))</f>
        <v/>
      </c>
    </row>
    <row r="131">
      <c r="B131">
        <f>IF(A131="","",A131&amp;"|"&amp;D131&amp;"|"&amp;F131&amp;"|"&amp;G131&amp;"|"&amp;TEXT(I131,"YYYYMMDD")&amp;"|"&amp;TEXT(L131,"0.00"))</f>
        <v/>
      </c>
      <c r="C131">
        <f>IF(I131="","",TEXT(I131,"YYYY-MM"))</f>
        <v/>
      </c>
      <c r="K131">
        <f>IF(OR(I131="",J131=""),"",J131-I131)</f>
        <v/>
      </c>
      <c r="N131">
        <f>IF(F131="","",IFERROR(VLOOKUP(F131,lst_PropTauxLookup,2,0),""))</f>
        <v/>
      </c>
      <c r="O131">
        <f>IF(F131="","",IF(ISNUMBER(IFERROR(VLOOKUP(F131,lst_PropTauxLookup,2,0),"")),"REF_PROPRIETAIRE","A_CONTROLER"))</f>
        <v/>
      </c>
      <c r="Q131">
        <f>IF(OR(L131="",N131=""),"",IFERROR((L131-IF(M131="",0,M131))*N131,0))</f>
        <v/>
      </c>
      <c r="V131">
        <f>IF(L131="","",L131-IF(M131="",0,M131)-IF(Q131="",0,Q131)-IF(T131="",0,T131))</f>
        <v/>
      </c>
      <c r="Y131">
        <f>IF(W131="IC","OUI",IF(W131="HC","OUI",IF(W131="HR","NON","A_CONTROLER")))</f>
        <v/>
      </c>
      <c r="Z131">
        <f>IF(W131="IC","OUI",IF(W131="HC","NON",IF(W131="HR","NON","A_CONTROLER")))</f>
        <v/>
      </c>
    </row>
    <row r="132">
      <c r="B132">
        <f>IF(A132="","",A132&amp;"|"&amp;D132&amp;"|"&amp;F132&amp;"|"&amp;G132&amp;"|"&amp;TEXT(I132,"YYYYMMDD")&amp;"|"&amp;TEXT(L132,"0.00"))</f>
        <v/>
      </c>
      <c r="C132">
        <f>IF(I132="","",TEXT(I132,"YYYY-MM"))</f>
        <v/>
      </c>
      <c r="K132">
        <f>IF(OR(I132="",J132=""),"",J132-I132)</f>
        <v/>
      </c>
      <c r="N132">
        <f>IF(F132="","",IFERROR(VLOOKUP(F132,lst_PropTauxLookup,2,0),""))</f>
        <v/>
      </c>
      <c r="O132">
        <f>IF(F132="","",IF(ISNUMBER(IFERROR(VLOOKUP(F132,lst_PropTauxLookup,2,0),"")),"REF_PROPRIETAIRE","A_CONTROLER"))</f>
        <v/>
      </c>
      <c r="Q132">
        <f>IF(OR(L132="",N132=""),"",IFERROR((L132-IF(M132="",0,M132))*N132,0))</f>
        <v/>
      </c>
      <c r="V132">
        <f>IF(L132="","",L132-IF(M132="",0,M132)-IF(Q132="",0,Q132)-IF(T132="",0,T132))</f>
        <v/>
      </c>
      <c r="Y132">
        <f>IF(W132="IC","OUI",IF(W132="HC","OUI",IF(W132="HR","NON","A_CONTROLER")))</f>
        <v/>
      </c>
      <c r="Z132">
        <f>IF(W132="IC","OUI",IF(W132="HC","NON",IF(W132="HR","NON","A_CONTROLER")))</f>
        <v/>
      </c>
    </row>
    <row r="133">
      <c r="B133">
        <f>IF(A133="","",A133&amp;"|"&amp;D133&amp;"|"&amp;F133&amp;"|"&amp;G133&amp;"|"&amp;TEXT(I133,"YYYYMMDD")&amp;"|"&amp;TEXT(L133,"0.00"))</f>
        <v/>
      </c>
      <c r="C133">
        <f>IF(I133="","",TEXT(I133,"YYYY-MM"))</f>
        <v/>
      </c>
      <c r="K133">
        <f>IF(OR(I133="",J133=""),"",J133-I133)</f>
        <v/>
      </c>
      <c r="N133">
        <f>IF(F133="","",IFERROR(VLOOKUP(F133,lst_PropTauxLookup,2,0),""))</f>
        <v/>
      </c>
      <c r="O133">
        <f>IF(F133="","",IF(ISNUMBER(IFERROR(VLOOKUP(F133,lst_PropTauxLookup,2,0),"")),"REF_PROPRIETAIRE","A_CONTROLER"))</f>
        <v/>
      </c>
      <c r="Q133">
        <f>IF(OR(L133="",N133=""),"",IFERROR((L133-IF(M133="",0,M133))*N133,0))</f>
        <v/>
      </c>
      <c r="V133">
        <f>IF(L133="","",L133-IF(M133="",0,M133)-IF(Q133="",0,Q133)-IF(T133="",0,T133))</f>
        <v/>
      </c>
      <c r="Y133">
        <f>IF(W133="IC","OUI",IF(W133="HC","OUI",IF(W133="HR","NON","A_CONTROLER")))</f>
        <v/>
      </c>
      <c r="Z133">
        <f>IF(W133="IC","OUI",IF(W133="HC","NON",IF(W133="HR","NON","A_CONTROLER")))</f>
        <v/>
      </c>
    </row>
    <row r="134">
      <c r="B134">
        <f>IF(A134="","",A134&amp;"|"&amp;D134&amp;"|"&amp;F134&amp;"|"&amp;G134&amp;"|"&amp;TEXT(I134,"YYYYMMDD")&amp;"|"&amp;TEXT(L134,"0.00"))</f>
        <v/>
      </c>
      <c r="C134">
        <f>IF(I134="","",TEXT(I134,"YYYY-MM"))</f>
        <v/>
      </c>
      <c r="K134">
        <f>IF(OR(I134="",J134=""),"",J134-I134)</f>
        <v/>
      </c>
      <c r="N134">
        <f>IF(F134="","",IFERROR(VLOOKUP(F134,lst_PropTauxLookup,2,0),""))</f>
        <v/>
      </c>
      <c r="O134">
        <f>IF(F134="","",IF(ISNUMBER(IFERROR(VLOOKUP(F134,lst_PropTauxLookup,2,0),"")),"REF_PROPRIETAIRE","A_CONTROLER"))</f>
        <v/>
      </c>
      <c r="Q134">
        <f>IF(OR(L134="",N134=""),"",IFERROR((L134-IF(M134="",0,M134))*N134,0))</f>
        <v/>
      </c>
      <c r="V134">
        <f>IF(L134="","",L134-IF(M134="",0,M134)-IF(Q134="",0,Q134)-IF(T134="",0,T134))</f>
        <v/>
      </c>
      <c r="Y134">
        <f>IF(W134="IC","OUI",IF(W134="HC","OUI",IF(W134="HR","NON","A_CONTROLER")))</f>
        <v/>
      </c>
      <c r="Z134">
        <f>IF(W134="IC","OUI",IF(W134="HC","NON",IF(W134="HR","NON","A_CONTROLER")))</f>
        <v/>
      </c>
    </row>
    <row r="135">
      <c r="B135">
        <f>IF(A135="","",A135&amp;"|"&amp;D135&amp;"|"&amp;F135&amp;"|"&amp;G135&amp;"|"&amp;TEXT(I135,"YYYYMMDD")&amp;"|"&amp;TEXT(L135,"0.00"))</f>
        <v/>
      </c>
      <c r="C135">
        <f>IF(I135="","",TEXT(I135,"YYYY-MM"))</f>
        <v/>
      </c>
      <c r="K135">
        <f>IF(OR(I135="",J135=""),"",J135-I135)</f>
        <v/>
      </c>
      <c r="N135">
        <f>IF(F135="","",IFERROR(VLOOKUP(F135,lst_PropTauxLookup,2,0),""))</f>
        <v/>
      </c>
      <c r="O135">
        <f>IF(F135="","",IF(ISNUMBER(IFERROR(VLOOKUP(F135,lst_PropTauxLookup,2,0),"")),"REF_PROPRIETAIRE","A_CONTROLER"))</f>
        <v/>
      </c>
      <c r="Q135">
        <f>IF(OR(L135="",N135=""),"",IFERROR((L135-IF(M135="",0,M135))*N135,0))</f>
        <v/>
      </c>
      <c r="V135">
        <f>IF(L135="","",L135-IF(M135="",0,M135)-IF(Q135="",0,Q135)-IF(T135="",0,T135))</f>
        <v/>
      </c>
      <c r="Y135">
        <f>IF(W135="IC","OUI",IF(W135="HC","OUI",IF(W135="HR","NON","A_CONTROLER")))</f>
        <v/>
      </c>
      <c r="Z135">
        <f>IF(W135="IC","OUI",IF(W135="HC","NON",IF(W135="HR","NON","A_CONTROLER")))</f>
        <v/>
      </c>
    </row>
    <row r="136">
      <c r="B136">
        <f>IF(A136="","",A136&amp;"|"&amp;D136&amp;"|"&amp;F136&amp;"|"&amp;G136&amp;"|"&amp;TEXT(I136,"YYYYMMDD")&amp;"|"&amp;TEXT(L136,"0.00"))</f>
        <v/>
      </c>
      <c r="C136">
        <f>IF(I136="","",TEXT(I136,"YYYY-MM"))</f>
        <v/>
      </c>
      <c r="K136">
        <f>IF(OR(I136="",J136=""),"",J136-I136)</f>
        <v/>
      </c>
      <c r="N136">
        <f>IF(F136="","",IFERROR(VLOOKUP(F136,lst_PropTauxLookup,2,0),""))</f>
        <v/>
      </c>
      <c r="O136">
        <f>IF(F136="","",IF(ISNUMBER(IFERROR(VLOOKUP(F136,lst_PropTauxLookup,2,0),"")),"REF_PROPRIETAIRE","A_CONTROLER"))</f>
        <v/>
      </c>
      <c r="Q136">
        <f>IF(OR(L136="",N136=""),"",IFERROR((L136-IF(M136="",0,M136))*N136,0))</f>
        <v/>
      </c>
      <c r="V136">
        <f>IF(L136="","",L136-IF(M136="",0,M136)-IF(Q136="",0,Q136)-IF(T136="",0,T136))</f>
        <v/>
      </c>
      <c r="Y136">
        <f>IF(W136="IC","OUI",IF(W136="HC","OUI",IF(W136="HR","NON","A_CONTROLER")))</f>
        <v/>
      </c>
      <c r="Z136">
        <f>IF(W136="IC","OUI",IF(W136="HC","NON",IF(W136="HR","NON","A_CONTROLER")))</f>
        <v/>
      </c>
    </row>
    <row r="137">
      <c r="B137">
        <f>IF(A137="","",A137&amp;"|"&amp;D137&amp;"|"&amp;F137&amp;"|"&amp;G137&amp;"|"&amp;TEXT(I137,"YYYYMMDD")&amp;"|"&amp;TEXT(L137,"0.00"))</f>
        <v/>
      </c>
      <c r="C137">
        <f>IF(I137="","",TEXT(I137,"YYYY-MM"))</f>
        <v/>
      </c>
      <c r="K137">
        <f>IF(OR(I137="",J137=""),"",J137-I137)</f>
        <v/>
      </c>
      <c r="N137">
        <f>IF(F137="","",IFERROR(VLOOKUP(F137,lst_PropTauxLookup,2,0),""))</f>
        <v/>
      </c>
      <c r="O137">
        <f>IF(F137="","",IF(ISNUMBER(IFERROR(VLOOKUP(F137,lst_PropTauxLookup,2,0),"")),"REF_PROPRIETAIRE","A_CONTROLER"))</f>
        <v/>
      </c>
      <c r="Q137">
        <f>IF(OR(L137="",N137=""),"",IFERROR((L137-IF(M137="",0,M137))*N137,0))</f>
        <v/>
      </c>
      <c r="V137">
        <f>IF(L137="","",L137-IF(M137="",0,M137)-IF(Q137="",0,Q137)-IF(T137="",0,T137))</f>
        <v/>
      </c>
      <c r="Y137">
        <f>IF(W137="IC","OUI",IF(W137="HC","OUI",IF(W137="HR","NON","A_CONTROLER")))</f>
        <v/>
      </c>
      <c r="Z137">
        <f>IF(W137="IC","OUI",IF(W137="HC","NON",IF(W137="HR","NON","A_CONTROLER")))</f>
        <v/>
      </c>
    </row>
    <row r="138">
      <c r="B138">
        <f>IF(A138="","",A138&amp;"|"&amp;D138&amp;"|"&amp;F138&amp;"|"&amp;G138&amp;"|"&amp;TEXT(I138,"YYYYMMDD")&amp;"|"&amp;TEXT(L138,"0.00"))</f>
        <v/>
      </c>
      <c r="C138">
        <f>IF(I138="","",TEXT(I138,"YYYY-MM"))</f>
        <v/>
      </c>
      <c r="K138">
        <f>IF(OR(I138="",J138=""),"",J138-I138)</f>
        <v/>
      </c>
      <c r="N138">
        <f>IF(F138="","",IFERROR(VLOOKUP(F138,lst_PropTauxLookup,2,0),""))</f>
        <v/>
      </c>
      <c r="O138">
        <f>IF(F138="","",IF(ISNUMBER(IFERROR(VLOOKUP(F138,lst_PropTauxLookup,2,0),"")),"REF_PROPRIETAIRE","A_CONTROLER"))</f>
        <v/>
      </c>
      <c r="Q138">
        <f>IF(OR(L138="",N138=""),"",IFERROR((L138-IF(M138="",0,M138))*N138,0))</f>
        <v/>
      </c>
      <c r="V138">
        <f>IF(L138="","",L138-IF(M138="",0,M138)-IF(Q138="",0,Q138)-IF(T138="",0,T138))</f>
        <v/>
      </c>
      <c r="Y138">
        <f>IF(W138="IC","OUI",IF(W138="HC","OUI",IF(W138="HR","NON","A_CONTROLER")))</f>
        <v/>
      </c>
      <c r="Z138">
        <f>IF(W138="IC","OUI",IF(W138="HC","NON",IF(W138="HR","NON","A_CONTROLER")))</f>
        <v/>
      </c>
    </row>
    <row r="139">
      <c r="B139">
        <f>IF(A139="","",A139&amp;"|"&amp;D139&amp;"|"&amp;F139&amp;"|"&amp;G139&amp;"|"&amp;TEXT(I139,"YYYYMMDD")&amp;"|"&amp;TEXT(L139,"0.00"))</f>
        <v/>
      </c>
      <c r="C139">
        <f>IF(I139="","",TEXT(I139,"YYYY-MM"))</f>
        <v/>
      </c>
      <c r="K139">
        <f>IF(OR(I139="",J139=""),"",J139-I139)</f>
        <v/>
      </c>
      <c r="N139">
        <f>IF(F139="","",IFERROR(VLOOKUP(F139,lst_PropTauxLookup,2,0),""))</f>
        <v/>
      </c>
      <c r="O139">
        <f>IF(F139="","",IF(ISNUMBER(IFERROR(VLOOKUP(F139,lst_PropTauxLookup,2,0),"")),"REF_PROPRIETAIRE","A_CONTROLER"))</f>
        <v/>
      </c>
      <c r="Q139">
        <f>IF(OR(L139="",N139=""),"",IFERROR((L139-IF(M139="",0,M139))*N139,0))</f>
        <v/>
      </c>
      <c r="V139">
        <f>IF(L139="","",L139-IF(M139="",0,M139)-IF(Q139="",0,Q139)-IF(T139="",0,T139))</f>
        <v/>
      </c>
      <c r="Y139">
        <f>IF(W139="IC","OUI",IF(W139="HC","OUI",IF(W139="HR","NON","A_CONTROLER")))</f>
        <v/>
      </c>
      <c r="Z139">
        <f>IF(W139="IC","OUI",IF(W139="HC","NON",IF(W139="HR","NON","A_CONTROLER")))</f>
        <v/>
      </c>
    </row>
    <row r="140">
      <c r="B140">
        <f>IF(A140="","",A140&amp;"|"&amp;D140&amp;"|"&amp;F140&amp;"|"&amp;G140&amp;"|"&amp;TEXT(I140,"YYYYMMDD")&amp;"|"&amp;TEXT(L140,"0.00"))</f>
        <v/>
      </c>
      <c r="C140">
        <f>IF(I140="","",TEXT(I140,"YYYY-MM"))</f>
        <v/>
      </c>
      <c r="K140">
        <f>IF(OR(I140="",J140=""),"",J140-I140)</f>
        <v/>
      </c>
      <c r="N140">
        <f>IF(F140="","",IFERROR(VLOOKUP(F140,lst_PropTauxLookup,2,0),""))</f>
        <v/>
      </c>
      <c r="O140">
        <f>IF(F140="","",IF(ISNUMBER(IFERROR(VLOOKUP(F140,lst_PropTauxLookup,2,0),"")),"REF_PROPRIETAIRE","A_CONTROLER"))</f>
        <v/>
      </c>
      <c r="Q140">
        <f>IF(OR(L140="",N140=""),"",IFERROR((L140-IF(M140="",0,M140))*N140,0))</f>
        <v/>
      </c>
      <c r="V140">
        <f>IF(L140="","",L140-IF(M140="",0,M140)-IF(Q140="",0,Q140)-IF(T140="",0,T140))</f>
        <v/>
      </c>
      <c r="Y140">
        <f>IF(W140="IC","OUI",IF(W140="HC","OUI",IF(W140="HR","NON","A_CONTROLER")))</f>
        <v/>
      </c>
      <c r="Z140">
        <f>IF(W140="IC","OUI",IF(W140="HC","NON",IF(W140="HR","NON","A_CONTROLER")))</f>
        <v/>
      </c>
    </row>
    <row r="141">
      <c r="B141">
        <f>IF(A141="","",A141&amp;"|"&amp;D141&amp;"|"&amp;F141&amp;"|"&amp;G141&amp;"|"&amp;TEXT(I141,"YYYYMMDD")&amp;"|"&amp;TEXT(L141,"0.00"))</f>
        <v/>
      </c>
      <c r="C141">
        <f>IF(I141="","",TEXT(I141,"YYYY-MM"))</f>
        <v/>
      </c>
      <c r="K141">
        <f>IF(OR(I141="",J141=""),"",J141-I141)</f>
        <v/>
      </c>
      <c r="N141">
        <f>IF(F141="","",IFERROR(VLOOKUP(F141,lst_PropTauxLookup,2,0),""))</f>
        <v/>
      </c>
      <c r="O141">
        <f>IF(F141="","",IF(ISNUMBER(IFERROR(VLOOKUP(F141,lst_PropTauxLookup,2,0),"")),"REF_PROPRIETAIRE","A_CONTROLER"))</f>
        <v/>
      </c>
      <c r="Q141">
        <f>IF(OR(L141="",N141=""),"",IFERROR((L141-IF(M141="",0,M141))*N141,0))</f>
        <v/>
      </c>
      <c r="V141">
        <f>IF(L141="","",L141-IF(M141="",0,M141)-IF(Q141="",0,Q141)-IF(T141="",0,T141))</f>
        <v/>
      </c>
      <c r="Y141">
        <f>IF(W141="IC","OUI",IF(W141="HC","OUI",IF(W141="HR","NON","A_CONTROLER")))</f>
        <v/>
      </c>
      <c r="Z141">
        <f>IF(W141="IC","OUI",IF(W141="HC","NON",IF(W141="HR","NON","A_CONTROLER")))</f>
        <v/>
      </c>
    </row>
    <row r="142">
      <c r="B142">
        <f>IF(A142="","",A142&amp;"|"&amp;D142&amp;"|"&amp;F142&amp;"|"&amp;G142&amp;"|"&amp;TEXT(I142,"YYYYMMDD")&amp;"|"&amp;TEXT(L142,"0.00"))</f>
        <v/>
      </c>
      <c r="C142">
        <f>IF(I142="","",TEXT(I142,"YYYY-MM"))</f>
        <v/>
      </c>
      <c r="K142">
        <f>IF(OR(I142="",J142=""),"",J142-I142)</f>
        <v/>
      </c>
      <c r="N142">
        <f>IF(F142="","",IFERROR(VLOOKUP(F142,lst_PropTauxLookup,2,0),""))</f>
        <v/>
      </c>
      <c r="O142">
        <f>IF(F142="","",IF(ISNUMBER(IFERROR(VLOOKUP(F142,lst_PropTauxLookup,2,0),"")),"REF_PROPRIETAIRE","A_CONTROLER"))</f>
        <v/>
      </c>
      <c r="Q142">
        <f>IF(OR(L142="",N142=""),"",IFERROR((L142-IF(M142="",0,M142))*N142,0))</f>
        <v/>
      </c>
      <c r="V142">
        <f>IF(L142="","",L142-IF(M142="",0,M142)-IF(Q142="",0,Q142)-IF(T142="",0,T142))</f>
        <v/>
      </c>
      <c r="Y142">
        <f>IF(W142="IC","OUI",IF(W142="HC","OUI",IF(W142="HR","NON","A_CONTROLER")))</f>
        <v/>
      </c>
      <c r="Z142">
        <f>IF(W142="IC","OUI",IF(W142="HC","NON",IF(W142="HR","NON","A_CONTROLER")))</f>
        <v/>
      </c>
    </row>
    <row r="143">
      <c r="B143">
        <f>IF(A143="","",A143&amp;"|"&amp;D143&amp;"|"&amp;F143&amp;"|"&amp;G143&amp;"|"&amp;TEXT(I143,"YYYYMMDD")&amp;"|"&amp;TEXT(L143,"0.00"))</f>
        <v/>
      </c>
      <c r="C143">
        <f>IF(I143="","",TEXT(I143,"YYYY-MM"))</f>
        <v/>
      </c>
      <c r="K143">
        <f>IF(OR(I143="",J143=""),"",J143-I143)</f>
        <v/>
      </c>
      <c r="N143">
        <f>IF(F143="","",IFERROR(VLOOKUP(F143,lst_PropTauxLookup,2,0),""))</f>
        <v/>
      </c>
      <c r="O143">
        <f>IF(F143="","",IF(ISNUMBER(IFERROR(VLOOKUP(F143,lst_PropTauxLookup,2,0),"")),"REF_PROPRIETAIRE","A_CONTROLER"))</f>
        <v/>
      </c>
      <c r="Q143">
        <f>IF(OR(L143="",N143=""),"",IFERROR((L143-IF(M143="",0,M143))*N143,0))</f>
        <v/>
      </c>
      <c r="V143">
        <f>IF(L143="","",L143-IF(M143="",0,M143)-IF(Q143="",0,Q143)-IF(T143="",0,T143))</f>
        <v/>
      </c>
      <c r="Y143">
        <f>IF(W143="IC","OUI",IF(W143="HC","OUI",IF(W143="HR","NON","A_CONTROLER")))</f>
        <v/>
      </c>
      <c r="Z143">
        <f>IF(W143="IC","OUI",IF(W143="HC","NON",IF(W143="HR","NON","A_CONTROLER")))</f>
        <v/>
      </c>
    </row>
    <row r="144">
      <c r="B144">
        <f>IF(A144="","",A144&amp;"|"&amp;D144&amp;"|"&amp;F144&amp;"|"&amp;G144&amp;"|"&amp;TEXT(I144,"YYYYMMDD")&amp;"|"&amp;TEXT(L144,"0.00"))</f>
        <v/>
      </c>
      <c r="C144">
        <f>IF(I144="","",TEXT(I144,"YYYY-MM"))</f>
        <v/>
      </c>
      <c r="K144">
        <f>IF(OR(I144="",J144=""),"",J144-I144)</f>
        <v/>
      </c>
      <c r="N144">
        <f>IF(F144="","",IFERROR(VLOOKUP(F144,lst_PropTauxLookup,2,0),""))</f>
        <v/>
      </c>
      <c r="O144">
        <f>IF(F144="","",IF(ISNUMBER(IFERROR(VLOOKUP(F144,lst_PropTauxLookup,2,0),"")),"REF_PROPRIETAIRE","A_CONTROLER"))</f>
        <v/>
      </c>
      <c r="Q144">
        <f>IF(OR(L144="",N144=""),"",IFERROR((L144-IF(M144="",0,M144))*N144,0))</f>
        <v/>
      </c>
      <c r="V144">
        <f>IF(L144="","",L144-IF(M144="",0,M144)-IF(Q144="",0,Q144)-IF(T144="",0,T144))</f>
        <v/>
      </c>
      <c r="Y144">
        <f>IF(W144="IC","OUI",IF(W144="HC","OUI",IF(W144="HR","NON","A_CONTROLER")))</f>
        <v/>
      </c>
      <c r="Z144">
        <f>IF(W144="IC","OUI",IF(W144="HC","NON",IF(W144="HR","NON","A_CONTROLER")))</f>
        <v/>
      </c>
    </row>
    <row r="145">
      <c r="B145">
        <f>IF(A145="","",A145&amp;"|"&amp;D145&amp;"|"&amp;F145&amp;"|"&amp;G145&amp;"|"&amp;TEXT(I145,"YYYYMMDD")&amp;"|"&amp;TEXT(L145,"0.00"))</f>
        <v/>
      </c>
      <c r="C145">
        <f>IF(I145="","",TEXT(I145,"YYYY-MM"))</f>
        <v/>
      </c>
      <c r="K145">
        <f>IF(OR(I145="",J145=""),"",J145-I145)</f>
        <v/>
      </c>
      <c r="N145">
        <f>IF(F145="","",IFERROR(VLOOKUP(F145,lst_PropTauxLookup,2,0),""))</f>
        <v/>
      </c>
      <c r="O145">
        <f>IF(F145="","",IF(ISNUMBER(IFERROR(VLOOKUP(F145,lst_PropTauxLookup,2,0),"")),"REF_PROPRIETAIRE","A_CONTROLER"))</f>
        <v/>
      </c>
      <c r="Q145">
        <f>IF(OR(L145="",N145=""),"",IFERROR((L145-IF(M145="",0,M145))*N145,0))</f>
        <v/>
      </c>
      <c r="V145">
        <f>IF(L145="","",L145-IF(M145="",0,M145)-IF(Q145="",0,Q145)-IF(T145="",0,T145))</f>
        <v/>
      </c>
      <c r="Y145">
        <f>IF(W145="IC","OUI",IF(W145="HC","OUI",IF(W145="HR","NON","A_CONTROLER")))</f>
        <v/>
      </c>
      <c r="Z145">
        <f>IF(W145="IC","OUI",IF(W145="HC","NON",IF(W145="HR","NON","A_CONTROLER")))</f>
        <v/>
      </c>
    </row>
    <row r="146">
      <c r="B146">
        <f>IF(A146="","",A146&amp;"|"&amp;D146&amp;"|"&amp;F146&amp;"|"&amp;G146&amp;"|"&amp;TEXT(I146,"YYYYMMDD")&amp;"|"&amp;TEXT(L146,"0.00"))</f>
        <v/>
      </c>
      <c r="C146">
        <f>IF(I146="","",TEXT(I146,"YYYY-MM"))</f>
        <v/>
      </c>
      <c r="K146">
        <f>IF(OR(I146="",J146=""),"",J146-I146)</f>
        <v/>
      </c>
      <c r="N146">
        <f>IF(F146="","",IFERROR(VLOOKUP(F146,lst_PropTauxLookup,2,0),""))</f>
        <v/>
      </c>
      <c r="O146">
        <f>IF(F146="","",IF(ISNUMBER(IFERROR(VLOOKUP(F146,lst_PropTauxLookup,2,0),"")),"REF_PROPRIETAIRE","A_CONTROLER"))</f>
        <v/>
      </c>
      <c r="Q146">
        <f>IF(OR(L146="",N146=""),"",IFERROR((L146-IF(M146="",0,M146))*N146,0))</f>
        <v/>
      </c>
      <c r="V146">
        <f>IF(L146="","",L146-IF(M146="",0,M146)-IF(Q146="",0,Q146)-IF(T146="",0,T146))</f>
        <v/>
      </c>
      <c r="Y146">
        <f>IF(W146="IC","OUI",IF(W146="HC","OUI",IF(W146="HR","NON","A_CONTROLER")))</f>
        <v/>
      </c>
      <c r="Z146">
        <f>IF(W146="IC","OUI",IF(W146="HC","NON",IF(W146="HR","NON","A_CONTROLER")))</f>
        <v/>
      </c>
    </row>
    <row r="147">
      <c r="B147">
        <f>IF(A147="","",A147&amp;"|"&amp;D147&amp;"|"&amp;F147&amp;"|"&amp;G147&amp;"|"&amp;TEXT(I147,"YYYYMMDD")&amp;"|"&amp;TEXT(L147,"0.00"))</f>
        <v/>
      </c>
      <c r="C147">
        <f>IF(I147="","",TEXT(I147,"YYYY-MM"))</f>
        <v/>
      </c>
      <c r="K147">
        <f>IF(OR(I147="",J147=""),"",J147-I147)</f>
        <v/>
      </c>
      <c r="N147">
        <f>IF(F147="","",IFERROR(VLOOKUP(F147,lst_PropTauxLookup,2,0),""))</f>
        <v/>
      </c>
      <c r="O147">
        <f>IF(F147="","",IF(ISNUMBER(IFERROR(VLOOKUP(F147,lst_PropTauxLookup,2,0),"")),"REF_PROPRIETAIRE","A_CONTROLER"))</f>
        <v/>
      </c>
      <c r="Q147">
        <f>IF(OR(L147="",N147=""),"",IFERROR((L147-IF(M147="",0,M147))*N147,0))</f>
        <v/>
      </c>
      <c r="V147">
        <f>IF(L147="","",L147-IF(M147="",0,M147)-IF(Q147="",0,Q147)-IF(T147="",0,T147))</f>
        <v/>
      </c>
      <c r="Y147">
        <f>IF(W147="IC","OUI",IF(W147="HC","OUI",IF(W147="HR","NON","A_CONTROLER")))</f>
        <v/>
      </c>
      <c r="Z147">
        <f>IF(W147="IC","OUI",IF(W147="HC","NON",IF(W147="HR","NON","A_CONTROLER")))</f>
        <v/>
      </c>
    </row>
    <row r="148">
      <c r="B148">
        <f>IF(A148="","",A148&amp;"|"&amp;D148&amp;"|"&amp;F148&amp;"|"&amp;G148&amp;"|"&amp;TEXT(I148,"YYYYMMDD")&amp;"|"&amp;TEXT(L148,"0.00"))</f>
        <v/>
      </c>
      <c r="C148">
        <f>IF(I148="","",TEXT(I148,"YYYY-MM"))</f>
        <v/>
      </c>
      <c r="K148">
        <f>IF(OR(I148="",J148=""),"",J148-I148)</f>
        <v/>
      </c>
      <c r="N148">
        <f>IF(F148="","",IFERROR(VLOOKUP(F148,lst_PropTauxLookup,2,0),""))</f>
        <v/>
      </c>
      <c r="O148">
        <f>IF(F148="","",IF(ISNUMBER(IFERROR(VLOOKUP(F148,lst_PropTauxLookup,2,0),"")),"REF_PROPRIETAIRE","A_CONTROLER"))</f>
        <v/>
      </c>
      <c r="Q148">
        <f>IF(OR(L148="",N148=""),"",IFERROR((L148-IF(M148="",0,M148))*N148,0))</f>
        <v/>
      </c>
      <c r="V148">
        <f>IF(L148="","",L148-IF(M148="",0,M148)-IF(Q148="",0,Q148)-IF(T148="",0,T148))</f>
        <v/>
      </c>
      <c r="Y148">
        <f>IF(W148="IC","OUI",IF(W148="HC","OUI",IF(W148="HR","NON","A_CONTROLER")))</f>
        <v/>
      </c>
      <c r="Z148">
        <f>IF(W148="IC","OUI",IF(W148="HC","NON",IF(W148="HR","NON","A_CONTROLER")))</f>
        <v/>
      </c>
    </row>
    <row r="149">
      <c r="B149">
        <f>IF(A149="","",A149&amp;"|"&amp;D149&amp;"|"&amp;F149&amp;"|"&amp;G149&amp;"|"&amp;TEXT(I149,"YYYYMMDD")&amp;"|"&amp;TEXT(L149,"0.00"))</f>
        <v/>
      </c>
      <c r="C149">
        <f>IF(I149="","",TEXT(I149,"YYYY-MM"))</f>
        <v/>
      </c>
      <c r="K149">
        <f>IF(OR(I149="",J149=""),"",J149-I149)</f>
        <v/>
      </c>
      <c r="N149">
        <f>IF(F149="","",IFERROR(VLOOKUP(F149,lst_PropTauxLookup,2,0),""))</f>
        <v/>
      </c>
      <c r="O149">
        <f>IF(F149="","",IF(ISNUMBER(IFERROR(VLOOKUP(F149,lst_PropTauxLookup,2,0),"")),"REF_PROPRIETAIRE","A_CONTROLER"))</f>
        <v/>
      </c>
      <c r="Q149">
        <f>IF(OR(L149="",N149=""),"",IFERROR((L149-IF(M149="",0,M149))*N149,0))</f>
        <v/>
      </c>
      <c r="V149">
        <f>IF(L149="","",L149-IF(M149="",0,M149)-IF(Q149="",0,Q149)-IF(T149="",0,T149))</f>
        <v/>
      </c>
      <c r="Y149">
        <f>IF(W149="IC","OUI",IF(W149="HC","OUI",IF(W149="HR","NON","A_CONTROLER")))</f>
        <v/>
      </c>
      <c r="Z149">
        <f>IF(W149="IC","OUI",IF(W149="HC","NON",IF(W149="HR","NON","A_CONTROLER")))</f>
        <v/>
      </c>
    </row>
    <row r="150">
      <c r="B150">
        <f>IF(A150="","",A150&amp;"|"&amp;D150&amp;"|"&amp;F150&amp;"|"&amp;G150&amp;"|"&amp;TEXT(I150,"YYYYMMDD")&amp;"|"&amp;TEXT(L150,"0.00"))</f>
        <v/>
      </c>
      <c r="C150">
        <f>IF(I150="","",TEXT(I150,"YYYY-MM"))</f>
        <v/>
      </c>
      <c r="K150">
        <f>IF(OR(I150="",J150=""),"",J150-I150)</f>
        <v/>
      </c>
      <c r="N150">
        <f>IF(F150="","",IFERROR(VLOOKUP(F150,lst_PropTauxLookup,2,0),""))</f>
        <v/>
      </c>
      <c r="O150">
        <f>IF(F150="","",IF(ISNUMBER(IFERROR(VLOOKUP(F150,lst_PropTauxLookup,2,0),"")),"REF_PROPRIETAIRE","A_CONTROLER"))</f>
        <v/>
      </c>
      <c r="Q150">
        <f>IF(OR(L150="",N150=""),"",IFERROR((L150-IF(M150="",0,M150))*N150,0))</f>
        <v/>
      </c>
      <c r="V150">
        <f>IF(L150="","",L150-IF(M150="",0,M150)-IF(Q150="",0,Q150)-IF(T150="",0,T150))</f>
        <v/>
      </c>
      <c r="Y150">
        <f>IF(W150="IC","OUI",IF(W150="HC","OUI",IF(W150="HR","NON","A_CONTROLER")))</f>
        <v/>
      </c>
      <c r="Z150">
        <f>IF(W150="IC","OUI",IF(W150="HC","NON",IF(W150="HR","NON","A_CONTROLER")))</f>
        <v/>
      </c>
    </row>
    <row r="151">
      <c r="B151">
        <f>IF(A151="","",A151&amp;"|"&amp;D151&amp;"|"&amp;F151&amp;"|"&amp;G151&amp;"|"&amp;TEXT(I151,"YYYYMMDD")&amp;"|"&amp;TEXT(L151,"0.00"))</f>
        <v/>
      </c>
      <c r="C151">
        <f>IF(I151="","",TEXT(I151,"YYYY-MM"))</f>
        <v/>
      </c>
      <c r="K151">
        <f>IF(OR(I151="",J151=""),"",J151-I151)</f>
        <v/>
      </c>
      <c r="N151">
        <f>IF(F151="","",IFERROR(VLOOKUP(F151,lst_PropTauxLookup,2,0),""))</f>
        <v/>
      </c>
      <c r="O151">
        <f>IF(F151="","",IF(ISNUMBER(IFERROR(VLOOKUP(F151,lst_PropTauxLookup,2,0),"")),"REF_PROPRIETAIRE","A_CONTROLER"))</f>
        <v/>
      </c>
      <c r="Q151">
        <f>IF(OR(L151="",N151=""),"",IFERROR((L151-IF(M151="",0,M151))*N151,0))</f>
        <v/>
      </c>
      <c r="V151">
        <f>IF(L151="","",L151-IF(M151="",0,M151)-IF(Q151="",0,Q151)-IF(T151="",0,T151))</f>
        <v/>
      </c>
      <c r="Y151">
        <f>IF(W151="IC","OUI",IF(W151="HC","OUI",IF(W151="HR","NON","A_CONTROLER")))</f>
        <v/>
      </c>
      <c r="Z151">
        <f>IF(W151="IC","OUI",IF(W151="HC","NON",IF(W151="HR","NON","A_CONTROLER")))</f>
        <v/>
      </c>
    </row>
    <row r="152">
      <c r="B152">
        <f>IF(A152="","",A152&amp;"|"&amp;D152&amp;"|"&amp;F152&amp;"|"&amp;G152&amp;"|"&amp;TEXT(I152,"YYYYMMDD")&amp;"|"&amp;TEXT(L152,"0.00"))</f>
        <v/>
      </c>
      <c r="C152">
        <f>IF(I152="","",TEXT(I152,"YYYY-MM"))</f>
        <v/>
      </c>
      <c r="K152">
        <f>IF(OR(I152="",J152=""),"",J152-I152)</f>
        <v/>
      </c>
      <c r="N152">
        <f>IF(F152="","",IFERROR(VLOOKUP(F152,lst_PropTauxLookup,2,0),""))</f>
        <v/>
      </c>
      <c r="O152">
        <f>IF(F152="","",IF(ISNUMBER(IFERROR(VLOOKUP(F152,lst_PropTauxLookup,2,0),"")),"REF_PROPRIETAIRE","A_CONTROLER"))</f>
        <v/>
      </c>
      <c r="Q152">
        <f>IF(OR(L152="",N152=""),"",IFERROR((L152-IF(M152="",0,M152))*N152,0))</f>
        <v/>
      </c>
      <c r="V152">
        <f>IF(L152="","",L152-IF(M152="",0,M152)-IF(Q152="",0,Q152)-IF(T152="",0,T152))</f>
        <v/>
      </c>
      <c r="Y152">
        <f>IF(W152="IC","OUI",IF(W152="HC","OUI",IF(W152="HR","NON","A_CONTROLER")))</f>
        <v/>
      </c>
      <c r="Z152">
        <f>IF(W152="IC","OUI",IF(W152="HC","NON",IF(W152="HR","NON","A_CONTROLER")))</f>
        <v/>
      </c>
    </row>
    <row r="153">
      <c r="B153">
        <f>IF(A153="","",A153&amp;"|"&amp;D153&amp;"|"&amp;F153&amp;"|"&amp;G153&amp;"|"&amp;TEXT(I153,"YYYYMMDD")&amp;"|"&amp;TEXT(L153,"0.00"))</f>
        <v/>
      </c>
      <c r="C153">
        <f>IF(I153="","",TEXT(I153,"YYYY-MM"))</f>
        <v/>
      </c>
      <c r="K153">
        <f>IF(OR(I153="",J153=""),"",J153-I153)</f>
        <v/>
      </c>
      <c r="N153">
        <f>IF(F153="","",IFERROR(VLOOKUP(F153,lst_PropTauxLookup,2,0),""))</f>
        <v/>
      </c>
      <c r="O153">
        <f>IF(F153="","",IF(ISNUMBER(IFERROR(VLOOKUP(F153,lst_PropTauxLookup,2,0),"")),"REF_PROPRIETAIRE","A_CONTROLER"))</f>
        <v/>
      </c>
      <c r="Q153">
        <f>IF(OR(L153="",N153=""),"",IFERROR((L153-IF(M153="",0,M153))*N153,0))</f>
        <v/>
      </c>
      <c r="V153">
        <f>IF(L153="","",L153-IF(M153="",0,M153)-IF(Q153="",0,Q153)-IF(T153="",0,T153))</f>
        <v/>
      </c>
      <c r="Y153">
        <f>IF(W153="IC","OUI",IF(W153="HC","OUI",IF(W153="HR","NON","A_CONTROLER")))</f>
        <v/>
      </c>
      <c r="Z153">
        <f>IF(W153="IC","OUI",IF(W153="HC","NON",IF(W153="HR","NON","A_CONTROLER")))</f>
        <v/>
      </c>
    </row>
    <row r="154">
      <c r="B154">
        <f>IF(A154="","",A154&amp;"|"&amp;D154&amp;"|"&amp;F154&amp;"|"&amp;G154&amp;"|"&amp;TEXT(I154,"YYYYMMDD")&amp;"|"&amp;TEXT(L154,"0.00"))</f>
        <v/>
      </c>
      <c r="C154">
        <f>IF(I154="","",TEXT(I154,"YYYY-MM"))</f>
        <v/>
      </c>
      <c r="K154">
        <f>IF(OR(I154="",J154=""),"",J154-I154)</f>
        <v/>
      </c>
      <c r="N154">
        <f>IF(F154="","",IFERROR(VLOOKUP(F154,lst_PropTauxLookup,2,0),""))</f>
        <v/>
      </c>
      <c r="O154">
        <f>IF(F154="","",IF(ISNUMBER(IFERROR(VLOOKUP(F154,lst_PropTauxLookup,2,0),"")),"REF_PROPRIETAIRE","A_CONTROLER"))</f>
        <v/>
      </c>
      <c r="Q154">
        <f>IF(OR(L154="",N154=""),"",IFERROR((L154-IF(M154="",0,M154))*N154,0))</f>
        <v/>
      </c>
      <c r="V154">
        <f>IF(L154="","",L154-IF(M154="",0,M154)-IF(Q154="",0,Q154)-IF(T154="",0,T154))</f>
        <v/>
      </c>
      <c r="Y154">
        <f>IF(W154="IC","OUI",IF(W154="HC","OUI",IF(W154="HR","NON","A_CONTROLER")))</f>
        <v/>
      </c>
      <c r="Z154">
        <f>IF(W154="IC","OUI",IF(W154="HC","NON",IF(W154="HR","NON","A_CONTROLER")))</f>
        <v/>
      </c>
    </row>
    <row r="155">
      <c r="B155">
        <f>IF(A155="","",A155&amp;"|"&amp;D155&amp;"|"&amp;F155&amp;"|"&amp;G155&amp;"|"&amp;TEXT(I155,"YYYYMMDD")&amp;"|"&amp;TEXT(L155,"0.00"))</f>
        <v/>
      </c>
      <c r="C155">
        <f>IF(I155="","",TEXT(I155,"YYYY-MM"))</f>
        <v/>
      </c>
      <c r="K155">
        <f>IF(OR(I155="",J155=""),"",J155-I155)</f>
        <v/>
      </c>
      <c r="N155">
        <f>IF(F155="","",IFERROR(VLOOKUP(F155,lst_PropTauxLookup,2,0),""))</f>
        <v/>
      </c>
      <c r="O155">
        <f>IF(F155="","",IF(ISNUMBER(IFERROR(VLOOKUP(F155,lst_PropTauxLookup,2,0),"")),"REF_PROPRIETAIRE","A_CONTROLER"))</f>
        <v/>
      </c>
      <c r="Q155">
        <f>IF(OR(L155="",N155=""),"",IFERROR((L155-IF(M155="",0,M155))*N155,0))</f>
        <v/>
      </c>
      <c r="V155">
        <f>IF(L155="","",L155-IF(M155="",0,M155)-IF(Q155="",0,Q155)-IF(T155="",0,T155))</f>
        <v/>
      </c>
      <c r="Y155">
        <f>IF(W155="IC","OUI",IF(W155="HC","OUI",IF(W155="HR","NON","A_CONTROLER")))</f>
        <v/>
      </c>
      <c r="Z155">
        <f>IF(W155="IC","OUI",IF(W155="HC","NON",IF(W155="HR","NON","A_CONTROLER")))</f>
        <v/>
      </c>
    </row>
    <row r="156">
      <c r="B156">
        <f>IF(A156="","",A156&amp;"|"&amp;D156&amp;"|"&amp;F156&amp;"|"&amp;G156&amp;"|"&amp;TEXT(I156,"YYYYMMDD")&amp;"|"&amp;TEXT(L156,"0.00"))</f>
        <v/>
      </c>
      <c r="C156">
        <f>IF(I156="","",TEXT(I156,"YYYY-MM"))</f>
        <v/>
      </c>
      <c r="K156">
        <f>IF(OR(I156="",J156=""),"",J156-I156)</f>
        <v/>
      </c>
      <c r="N156">
        <f>IF(F156="","",IFERROR(VLOOKUP(F156,lst_PropTauxLookup,2,0),""))</f>
        <v/>
      </c>
      <c r="O156">
        <f>IF(F156="","",IF(ISNUMBER(IFERROR(VLOOKUP(F156,lst_PropTauxLookup,2,0),"")),"REF_PROPRIETAIRE","A_CONTROLER"))</f>
        <v/>
      </c>
      <c r="Q156">
        <f>IF(OR(L156="",N156=""),"",IFERROR((L156-IF(M156="",0,M156))*N156,0))</f>
        <v/>
      </c>
      <c r="V156">
        <f>IF(L156="","",L156-IF(M156="",0,M156)-IF(Q156="",0,Q156)-IF(T156="",0,T156))</f>
        <v/>
      </c>
      <c r="Y156">
        <f>IF(W156="IC","OUI",IF(W156="HC","OUI",IF(W156="HR","NON","A_CONTROLER")))</f>
        <v/>
      </c>
      <c r="Z156">
        <f>IF(W156="IC","OUI",IF(W156="HC","NON",IF(W156="HR","NON","A_CONTROLER")))</f>
        <v/>
      </c>
    </row>
    <row r="157">
      <c r="B157">
        <f>IF(A157="","",A157&amp;"|"&amp;D157&amp;"|"&amp;F157&amp;"|"&amp;G157&amp;"|"&amp;TEXT(I157,"YYYYMMDD")&amp;"|"&amp;TEXT(L157,"0.00"))</f>
        <v/>
      </c>
      <c r="C157">
        <f>IF(I157="","",TEXT(I157,"YYYY-MM"))</f>
        <v/>
      </c>
      <c r="K157">
        <f>IF(OR(I157="",J157=""),"",J157-I157)</f>
        <v/>
      </c>
      <c r="N157">
        <f>IF(F157="","",IFERROR(VLOOKUP(F157,lst_PropTauxLookup,2,0),""))</f>
        <v/>
      </c>
      <c r="O157">
        <f>IF(F157="","",IF(ISNUMBER(IFERROR(VLOOKUP(F157,lst_PropTauxLookup,2,0),"")),"REF_PROPRIETAIRE","A_CONTROLER"))</f>
        <v/>
      </c>
      <c r="Q157">
        <f>IF(OR(L157="",N157=""),"",IFERROR((L157-IF(M157="",0,M157))*N157,0))</f>
        <v/>
      </c>
      <c r="V157">
        <f>IF(L157="","",L157-IF(M157="",0,M157)-IF(Q157="",0,Q157)-IF(T157="",0,T157))</f>
        <v/>
      </c>
      <c r="Y157">
        <f>IF(W157="IC","OUI",IF(W157="HC","OUI",IF(W157="HR","NON","A_CONTROLER")))</f>
        <v/>
      </c>
      <c r="Z157">
        <f>IF(W157="IC","OUI",IF(W157="HC","NON",IF(W157="HR","NON","A_CONTROLER")))</f>
        <v/>
      </c>
    </row>
    <row r="158">
      <c r="B158">
        <f>IF(A158="","",A158&amp;"|"&amp;D158&amp;"|"&amp;F158&amp;"|"&amp;G158&amp;"|"&amp;TEXT(I158,"YYYYMMDD")&amp;"|"&amp;TEXT(L158,"0.00"))</f>
        <v/>
      </c>
      <c r="C158">
        <f>IF(I158="","",TEXT(I158,"YYYY-MM"))</f>
        <v/>
      </c>
      <c r="K158">
        <f>IF(OR(I158="",J158=""),"",J158-I158)</f>
        <v/>
      </c>
      <c r="N158">
        <f>IF(F158="","",IFERROR(VLOOKUP(F158,lst_PropTauxLookup,2,0),""))</f>
        <v/>
      </c>
      <c r="O158">
        <f>IF(F158="","",IF(ISNUMBER(IFERROR(VLOOKUP(F158,lst_PropTauxLookup,2,0),"")),"REF_PROPRIETAIRE","A_CONTROLER"))</f>
        <v/>
      </c>
      <c r="Q158">
        <f>IF(OR(L158="",N158=""),"",IFERROR((L158-IF(M158="",0,M158))*N158,0))</f>
        <v/>
      </c>
      <c r="V158">
        <f>IF(L158="","",L158-IF(M158="",0,M158)-IF(Q158="",0,Q158)-IF(T158="",0,T158))</f>
        <v/>
      </c>
      <c r="Y158">
        <f>IF(W158="IC","OUI",IF(W158="HC","OUI",IF(W158="HR","NON","A_CONTROLER")))</f>
        <v/>
      </c>
      <c r="Z158">
        <f>IF(W158="IC","OUI",IF(W158="HC","NON",IF(W158="HR","NON","A_CONTROLER")))</f>
        <v/>
      </c>
    </row>
    <row r="159">
      <c r="B159">
        <f>IF(A159="","",A159&amp;"|"&amp;D159&amp;"|"&amp;F159&amp;"|"&amp;G159&amp;"|"&amp;TEXT(I159,"YYYYMMDD")&amp;"|"&amp;TEXT(L159,"0.00"))</f>
        <v/>
      </c>
      <c r="C159">
        <f>IF(I159="","",TEXT(I159,"YYYY-MM"))</f>
        <v/>
      </c>
      <c r="K159">
        <f>IF(OR(I159="",J159=""),"",J159-I159)</f>
        <v/>
      </c>
      <c r="N159">
        <f>IF(F159="","",IFERROR(VLOOKUP(F159,lst_PropTauxLookup,2,0),""))</f>
        <v/>
      </c>
      <c r="O159">
        <f>IF(F159="","",IF(ISNUMBER(IFERROR(VLOOKUP(F159,lst_PropTauxLookup,2,0),"")),"REF_PROPRIETAIRE","A_CONTROLER"))</f>
        <v/>
      </c>
      <c r="Q159">
        <f>IF(OR(L159="",N159=""),"",IFERROR((L159-IF(M159="",0,M159))*N159,0))</f>
        <v/>
      </c>
      <c r="V159">
        <f>IF(L159="","",L159-IF(M159="",0,M159)-IF(Q159="",0,Q159)-IF(T159="",0,T159))</f>
        <v/>
      </c>
      <c r="Y159">
        <f>IF(W159="IC","OUI",IF(W159="HC","OUI",IF(W159="HR","NON","A_CONTROLER")))</f>
        <v/>
      </c>
      <c r="Z159">
        <f>IF(W159="IC","OUI",IF(W159="HC","NON",IF(W159="HR","NON","A_CONTROLER")))</f>
        <v/>
      </c>
    </row>
    <row r="160">
      <c r="B160">
        <f>IF(A160="","",A160&amp;"|"&amp;D160&amp;"|"&amp;F160&amp;"|"&amp;G160&amp;"|"&amp;TEXT(I160,"YYYYMMDD")&amp;"|"&amp;TEXT(L160,"0.00"))</f>
        <v/>
      </c>
      <c r="C160">
        <f>IF(I160="","",TEXT(I160,"YYYY-MM"))</f>
        <v/>
      </c>
      <c r="K160">
        <f>IF(OR(I160="",J160=""),"",J160-I160)</f>
        <v/>
      </c>
      <c r="N160">
        <f>IF(F160="","",IFERROR(VLOOKUP(F160,lst_PropTauxLookup,2,0),""))</f>
        <v/>
      </c>
      <c r="O160">
        <f>IF(F160="","",IF(ISNUMBER(IFERROR(VLOOKUP(F160,lst_PropTauxLookup,2,0),"")),"REF_PROPRIETAIRE","A_CONTROLER"))</f>
        <v/>
      </c>
      <c r="Q160">
        <f>IF(OR(L160="",N160=""),"",IFERROR((L160-IF(M160="",0,M160))*N160,0))</f>
        <v/>
      </c>
      <c r="V160">
        <f>IF(L160="","",L160-IF(M160="",0,M160)-IF(Q160="",0,Q160)-IF(T160="",0,T160))</f>
        <v/>
      </c>
      <c r="Y160">
        <f>IF(W160="IC","OUI",IF(W160="HC","OUI",IF(W160="HR","NON","A_CONTROLER")))</f>
        <v/>
      </c>
      <c r="Z160">
        <f>IF(W160="IC","OUI",IF(W160="HC","NON",IF(W160="HR","NON","A_CONTROLER")))</f>
        <v/>
      </c>
    </row>
    <row r="161">
      <c r="B161">
        <f>IF(A161="","",A161&amp;"|"&amp;D161&amp;"|"&amp;F161&amp;"|"&amp;G161&amp;"|"&amp;TEXT(I161,"YYYYMMDD")&amp;"|"&amp;TEXT(L161,"0.00"))</f>
        <v/>
      </c>
      <c r="C161">
        <f>IF(I161="","",TEXT(I161,"YYYY-MM"))</f>
        <v/>
      </c>
      <c r="K161">
        <f>IF(OR(I161="",J161=""),"",J161-I161)</f>
        <v/>
      </c>
      <c r="N161">
        <f>IF(F161="","",IFERROR(VLOOKUP(F161,lst_PropTauxLookup,2,0),""))</f>
        <v/>
      </c>
      <c r="O161">
        <f>IF(F161="","",IF(ISNUMBER(IFERROR(VLOOKUP(F161,lst_PropTauxLookup,2,0),"")),"REF_PROPRIETAIRE","A_CONTROLER"))</f>
        <v/>
      </c>
      <c r="Q161">
        <f>IF(OR(L161="",N161=""),"",IFERROR((L161-IF(M161="",0,M161))*N161,0))</f>
        <v/>
      </c>
      <c r="V161">
        <f>IF(L161="","",L161-IF(M161="",0,M161)-IF(Q161="",0,Q161)-IF(T161="",0,T161))</f>
        <v/>
      </c>
      <c r="Y161">
        <f>IF(W161="IC","OUI",IF(W161="HC","OUI",IF(W161="HR","NON","A_CONTROLER")))</f>
        <v/>
      </c>
      <c r="Z161">
        <f>IF(W161="IC","OUI",IF(W161="HC","NON",IF(W161="HR","NON","A_CONTROLER")))</f>
        <v/>
      </c>
    </row>
    <row r="162">
      <c r="B162">
        <f>IF(A162="","",A162&amp;"|"&amp;D162&amp;"|"&amp;F162&amp;"|"&amp;G162&amp;"|"&amp;TEXT(I162,"YYYYMMDD")&amp;"|"&amp;TEXT(L162,"0.00"))</f>
        <v/>
      </c>
      <c r="C162">
        <f>IF(I162="","",TEXT(I162,"YYYY-MM"))</f>
        <v/>
      </c>
      <c r="K162">
        <f>IF(OR(I162="",J162=""),"",J162-I162)</f>
        <v/>
      </c>
      <c r="N162">
        <f>IF(F162="","",IFERROR(VLOOKUP(F162,lst_PropTauxLookup,2,0),""))</f>
        <v/>
      </c>
      <c r="O162">
        <f>IF(F162="","",IF(ISNUMBER(IFERROR(VLOOKUP(F162,lst_PropTauxLookup,2,0),"")),"REF_PROPRIETAIRE","A_CONTROLER"))</f>
        <v/>
      </c>
      <c r="Q162">
        <f>IF(OR(L162="",N162=""),"",IFERROR((L162-IF(M162="",0,M162))*N162,0))</f>
        <v/>
      </c>
      <c r="V162">
        <f>IF(L162="","",L162-IF(M162="",0,M162)-IF(Q162="",0,Q162)-IF(T162="",0,T162))</f>
        <v/>
      </c>
      <c r="Y162">
        <f>IF(W162="IC","OUI",IF(W162="HC","OUI",IF(W162="HR","NON","A_CONTROLER")))</f>
        <v/>
      </c>
      <c r="Z162">
        <f>IF(W162="IC","OUI",IF(W162="HC","NON",IF(W162="HR","NON","A_CONTROLER")))</f>
        <v/>
      </c>
    </row>
    <row r="163">
      <c r="B163">
        <f>IF(A163="","",A163&amp;"|"&amp;D163&amp;"|"&amp;F163&amp;"|"&amp;G163&amp;"|"&amp;TEXT(I163,"YYYYMMDD")&amp;"|"&amp;TEXT(L163,"0.00"))</f>
        <v/>
      </c>
      <c r="C163">
        <f>IF(I163="","",TEXT(I163,"YYYY-MM"))</f>
        <v/>
      </c>
      <c r="K163">
        <f>IF(OR(I163="",J163=""),"",J163-I163)</f>
        <v/>
      </c>
      <c r="N163">
        <f>IF(F163="","",IFERROR(VLOOKUP(F163,lst_PropTauxLookup,2,0),""))</f>
        <v/>
      </c>
      <c r="O163">
        <f>IF(F163="","",IF(ISNUMBER(IFERROR(VLOOKUP(F163,lst_PropTauxLookup,2,0),"")),"REF_PROPRIETAIRE","A_CONTROLER"))</f>
        <v/>
      </c>
      <c r="Q163">
        <f>IF(OR(L163="",N163=""),"",IFERROR((L163-IF(M163="",0,M163))*N163,0))</f>
        <v/>
      </c>
      <c r="V163">
        <f>IF(L163="","",L163-IF(M163="",0,M163)-IF(Q163="",0,Q163)-IF(T163="",0,T163))</f>
        <v/>
      </c>
      <c r="Y163">
        <f>IF(W163="IC","OUI",IF(W163="HC","OUI",IF(W163="HR","NON","A_CONTROLER")))</f>
        <v/>
      </c>
      <c r="Z163">
        <f>IF(W163="IC","OUI",IF(W163="HC","NON",IF(W163="HR","NON","A_CONTROLER")))</f>
        <v/>
      </c>
    </row>
    <row r="164">
      <c r="B164">
        <f>IF(A164="","",A164&amp;"|"&amp;D164&amp;"|"&amp;F164&amp;"|"&amp;G164&amp;"|"&amp;TEXT(I164,"YYYYMMDD")&amp;"|"&amp;TEXT(L164,"0.00"))</f>
        <v/>
      </c>
      <c r="C164">
        <f>IF(I164="","",TEXT(I164,"YYYY-MM"))</f>
        <v/>
      </c>
      <c r="K164">
        <f>IF(OR(I164="",J164=""),"",J164-I164)</f>
        <v/>
      </c>
      <c r="N164">
        <f>IF(F164="","",IFERROR(VLOOKUP(F164,lst_PropTauxLookup,2,0),""))</f>
        <v/>
      </c>
      <c r="O164">
        <f>IF(F164="","",IF(ISNUMBER(IFERROR(VLOOKUP(F164,lst_PropTauxLookup,2,0),"")),"REF_PROPRIETAIRE","A_CONTROLER"))</f>
        <v/>
      </c>
      <c r="Q164">
        <f>IF(OR(L164="",N164=""),"",IFERROR((L164-IF(M164="",0,M164))*N164,0))</f>
        <v/>
      </c>
      <c r="V164">
        <f>IF(L164="","",L164-IF(M164="",0,M164)-IF(Q164="",0,Q164)-IF(T164="",0,T164))</f>
        <v/>
      </c>
      <c r="Y164">
        <f>IF(W164="IC","OUI",IF(W164="HC","OUI",IF(W164="HR","NON","A_CONTROLER")))</f>
        <v/>
      </c>
      <c r="Z164">
        <f>IF(W164="IC","OUI",IF(W164="HC","NON",IF(W164="HR","NON","A_CONTROLER")))</f>
        <v/>
      </c>
    </row>
    <row r="165">
      <c r="B165">
        <f>IF(A165="","",A165&amp;"|"&amp;D165&amp;"|"&amp;F165&amp;"|"&amp;G165&amp;"|"&amp;TEXT(I165,"YYYYMMDD")&amp;"|"&amp;TEXT(L165,"0.00"))</f>
        <v/>
      </c>
      <c r="C165">
        <f>IF(I165="","",TEXT(I165,"YYYY-MM"))</f>
        <v/>
      </c>
      <c r="K165">
        <f>IF(OR(I165="",J165=""),"",J165-I165)</f>
        <v/>
      </c>
      <c r="N165">
        <f>IF(F165="","",IFERROR(VLOOKUP(F165,lst_PropTauxLookup,2,0),""))</f>
        <v/>
      </c>
      <c r="O165">
        <f>IF(F165="","",IF(ISNUMBER(IFERROR(VLOOKUP(F165,lst_PropTauxLookup,2,0),"")),"REF_PROPRIETAIRE","A_CONTROLER"))</f>
        <v/>
      </c>
      <c r="Q165">
        <f>IF(OR(L165="",N165=""),"",IFERROR((L165-IF(M165="",0,M165))*N165,0))</f>
        <v/>
      </c>
      <c r="V165">
        <f>IF(L165="","",L165-IF(M165="",0,M165)-IF(Q165="",0,Q165)-IF(T165="",0,T165))</f>
        <v/>
      </c>
      <c r="Y165">
        <f>IF(W165="IC","OUI",IF(W165="HC","OUI",IF(W165="HR","NON","A_CONTROLER")))</f>
        <v/>
      </c>
      <c r="Z165">
        <f>IF(W165="IC","OUI",IF(W165="HC","NON",IF(W165="HR","NON","A_CONTROLER")))</f>
        <v/>
      </c>
    </row>
    <row r="166">
      <c r="B166">
        <f>IF(A166="","",A166&amp;"|"&amp;D166&amp;"|"&amp;F166&amp;"|"&amp;G166&amp;"|"&amp;TEXT(I166,"YYYYMMDD")&amp;"|"&amp;TEXT(L166,"0.00"))</f>
        <v/>
      </c>
      <c r="C166">
        <f>IF(I166="","",TEXT(I166,"YYYY-MM"))</f>
        <v/>
      </c>
      <c r="K166">
        <f>IF(OR(I166="",J166=""),"",J166-I166)</f>
        <v/>
      </c>
      <c r="N166">
        <f>IF(F166="","",IFERROR(VLOOKUP(F166,lst_PropTauxLookup,2,0),""))</f>
        <v/>
      </c>
      <c r="O166">
        <f>IF(F166="","",IF(ISNUMBER(IFERROR(VLOOKUP(F166,lst_PropTauxLookup,2,0),"")),"REF_PROPRIETAIRE","A_CONTROLER"))</f>
        <v/>
      </c>
      <c r="Q166">
        <f>IF(OR(L166="",N166=""),"",IFERROR((L166-IF(M166="",0,M166))*N166,0))</f>
        <v/>
      </c>
      <c r="V166">
        <f>IF(L166="","",L166-IF(M166="",0,M166)-IF(Q166="",0,Q166)-IF(T166="",0,T166))</f>
        <v/>
      </c>
      <c r="Y166">
        <f>IF(W166="IC","OUI",IF(W166="HC","OUI",IF(W166="HR","NON","A_CONTROLER")))</f>
        <v/>
      </c>
      <c r="Z166">
        <f>IF(W166="IC","OUI",IF(W166="HC","NON",IF(W166="HR","NON","A_CONTROLER")))</f>
        <v/>
      </c>
    </row>
    <row r="167">
      <c r="B167">
        <f>IF(A167="","",A167&amp;"|"&amp;D167&amp;"|"&amp;F167&amp;"|"&amp;G167&amp;"|"&amp;TEXT(I167,"YYYYMMDD")&amp;"|"&amp;TEXT(L167,"0.00"))</f>
        <v/>
      </c>
      <c r="C167">
        <f>IF(I167="","",TEXT(I167,"YYYY-MM"))</f>
        <v/>
      </c>
      <c r="K167">
        <f>IF(OR(I167="",J167=""),"",J167-I167)</f>
        <v/>
      </c>
      <c r="N167">
        <f>IF(F167="","",IFERROR(VLOOKUP(F167,lst_PropTauxLookup,2,0),""))</f>
        <v/>
      </c>
      <c r="O167">
        <f>IF(F167="","",IF(ISNUMBER(IFERROR(VLOOKUP(F167,lst_PropTauxLookup,2,0),"")),"REF_PROPRIETAIRE","A_CONTROLER"))</f>
        <v/>
      </c>
      <c r="Q167">
        <f>IF(OR(L167="",N167=""),"",IFERROR((L167-IF(M167="",0,M167))*N167,0))</f>
        <v/>
      </c>
      <c r="V167">
        <f>IF(L167="","",L167-IF(M167="",0,M167)-IF(Q167="",0,Q167)-IF(T167="",0,T167))</f>
        <v/>
      </c>
      <c r="Y167">
        <f>IF(W167="IC","OUI",IF(W167="HC","OUI",IF(W167="HR","NON","A_CONTROLER")))</f>
        <v/>
      </c>
      <c r="Z167">
        <f>IF(W167="IC","OUI",IF(W167="HC","NON",IF(W167="HR","NON","A_CONTROLER")))</f>
        <v/>
      </c>
    </row>
    <row r="168">
      <c r="B168">
        <f>IF(A168="","",A168&amp;"|"&amp;D168&amp;"|"&amp;F168&amp;"|"&amp;G168&amp;"|"&amp;TEXT(I168,"YYYYMMDD")&amp;"|"&amp;TEXT(L168,"0.00"))</f>
        <v/>
      </c>
      <c r="C168">
        <f>IF(I168="","",TEXT(I168,"YYYY-MM"))</f>
        <v/>
      </c>
      <c r="K168">
        <f>IF(OR(I168="",J168=""),"",J168-I168)</f>
        <v/>
      </c>
      <c r="N168">
        <f>IF(F168="","",IFERROR(VLOOKUP(F168,lst_PropTauxLookup,2,0),""))</f>
        <v/>
      </c>
      <c r="O168">
        <f>IF(F168="","",IF(ISNUMBER(IFERROR(VLOOKUP(F168,lst_PropTauxLookup,2,0),"")),"REF_PROPRIETAIRE","A_CONTROLER"))</f>
        <v/>
      </c>
      <c r="Q168">
        <f>IF(OR(L168="",N168=""),"",IFERROR((L168-IF(M168="",0,M168))*N168,0))</f>
        <v/>
      </c>
      <c r="V168">
        <f>IF(L168="","",L168-IF(M168="",0,M168)-IF(Q168="",0,Q168)-IF(T168="",0,T168))</f>
        <v/>
      </c>
      <c r="Y168">
        <f>IF(W168="IC","OUI",IF(W168="HC","OUI",IF(W168="HR","NON","A_CONTROLER")))</f>
        <v/>
      </c>
      <c r="Z168">
        <f>IF(W168="IC","OUI",IF(W168="HC","NON",IF(W168="HR","NON","A_CONTROLER")))</f>
        <v/>
      </c>
    </row>
    <row r="169">
      <c r="B169">
        <f>IF(A169="","",A169&amp;"|"&amp;D169&amp;"|"&amp;F169&amp;"|"&amp;G169&amp;"|"&amp;TEXT(I169,"YYYYMMDD")&amp;"|"&amp;TEXT(L169,"0.00"))</f>
        <v/>
      </c>
      <c r="C169">
        <f>IF(I169="","",TEXT(I169,"YYYY-MM"))</f>
        <v/>
      </c>
      <c r="K169">
        <f>IF(OR(I169="",J169=""),"",J169-I169)</f>
        <v/>
      </c>
      <c r="N169">
        <f>IF(F169="","",IFERROR(VLOOKUP(F169,lst_PropTauxLookup,2,0),""))</f>
        <v/>
      </c>
      <c r="O169">
        <f>IF(F169="","",IF(ISNUMBER(IFERROR(VLOOKUP(F169,lst_PropTauxLookup,2,0),"")),"REF_PROPRIETAIRE","A_CONTROLER"))</f>
        <v/>
      </c>
      <c r="Q169">
        <f>IF(OR(L169="",N169=""),"",IFERROR((L169-IF(M169="",0,M169))*N169,0))</f>
        <v/>
      </c>
      <c r="V169">
        <f>IF(L169="","",L169-IF(M169="",0,M169)-IF(Q169="",0,Q169)-IF(T169="",0,T169))</f>
        <v/>
      </c>
      <c r="Y169">
        <f>IF(W169="IC","OUI",IF(W169="HC","OUI",IF(W169="HR","NON","A_CONTROLER")))</f>
        <v/>
      </c>
      <c r="Z169">
        <f>IF(W169="IC","OUI",IF(W169="HC","NON",IF(W169="HR","NON","A_CONTROLER")))</f>
        <v/>
      </c>
    </row>
    <row r="170">
      <c r="B170">
        <f>IF(A170="","",A170&amp;"|"&amp;D170&amp;"|"&amp;F170&amp;"|"&amp;G170&amp;"|"&amp;TEXT(I170,"YYYYMMDD")&amp;"|"&amp;TEXT(L170,"0.00"))</f>
        <v/>
      </c>
      <c r="C170">
        <f>IF(I170="","",TEXT(I170,"YYYY-MM"))</f>
        <v/>
      </c>
      <c r="K170">
        <f>IF(OR(I170="",J170=""),"",J170-I170)</f>
        <v/>
      </c>
      <c r="N170">
        <f>IF(F170="","",IFERROR(VLOOKUP(F170,lst_PropTauxLookup,2,0),""))</f>
        <v/>
      </c>
      <c r="O170">
        <f>IF(F170="","",IF(ISNUMBER(IFERROR(VLOOKUP(F170,lst_PropTauxLookup,2,0),"")),"REF_PROPRIETAIRE","A_CONTROLER"))</f>
        <v/>
      </c>
      <c r="Q170">
        <f>IF(OR(L170="",N170=""),"",IFERROR((L170-IF(M170="",0,M170))*N170,0))</f>
        <v/>
      </c>
      <c r="V170">
        <f>IF(L170="","",L170-IF(M170="",0,M170)-IF(Q170="",0,Q170)-IF(T170="",0,T170))</f>
        <v/>
      </c>
      <c r="Y170">
        <f>IF(W170="IC","OUI",IF(W170="HC","OUI",IF(W170="HR","NON","A_CONTROLER")))</f>
        <v/>
      </c>
      <c r="Z170">
        <f>IF(W170="IC","OUI",IF(W170="HC","NON",IF(W170="HR","NON","A_CONTROLER")))</f>
        <v/>
      </c>
    </row>
    <row r="171">
      <c r="B171">
        <f>IF(A171="","",A171&amp;"|"&amp;D171&amp;"|"&amp;F171&amp;"|"&amp;G171&amp;"|"&amp;TEXT(I171,"YYYYMMDD")&amp;"|"&amp;TEXT(L171,"0.00"))</f>
        <v/>
      </c>
      <c r="C171">
        <f>IF(I171="","",TEXT(I171,"YYYY-MM"))</f>
        <v/>
      </c>
      <c r="K171">
        <f>IF(OR(I171="",J171=""),"",J171-I171)</f>
        <v/>
      </c>
      <c r="N171">
        <f>IF(F171="","",IFERROR(VLOOKUP(F171,lst_PropTauxLookup,2,0),""))</f>
        <v/>
      </c>
      <c r="O171">
        <f>IF(F171="","",IF(ISNUMBER(IFERROR(VLOOKUP(F171,lst_PropTauxLookup,2,0),"")),"REF_PROPRIETAIRE","A_CONTROLER"))</f>
        <v/>
      </c>
      <c r="Q171">
        <f>IF(OR(L171="",N171=""),"",IFERROR((L171-IF(M171="",0,M171))*N171,0))</f>
        <v/>
      </c>
      <c r="V171">
        <f>IF(L171="","",L171-IF(M171="",0,M171)-IF(Q171="",0,Q171)-IF(T171="",0,T171))</f>
        <v/>
      </c>
      <c r="Y171">
        <f>IF(W171="IC","OUI",IF(W171="HC","OUI",IF(W171="HR","NON","A_CONTROLER")))</f>
        <v/>
      </c>
      <c r="Z171">
        <f>IF(W171="IC","OUI",IF(W171="HC","NON",IF(W171="HR","NON","A_CONTROLER")))</f>
        <v/>
      </c>
    </row>
    <row r="172">
      <c r="B172">
        <f>IF(A172="","",A172&amp;"|"&amp;D172&amp;"|"&amp;F172&amp;"|"&amp;G172&amp;"|"&amp;TEXT(I172,"YYYYMMDD")&amp;"|"&amp;TEXT(L172,"0.00"))</f>
        <v/>
      </c>
      <c r="C172">
        <f>IF(I172="","",TEXT(I172,"YYYY-MM"))</f>
        <v/>
      </c>
      <c r="K172">
        <f>IF(OR(I172="",J172=""),"",J172-I172)</f>
        <v/>
      </c>
      <c r="N172">
        <f>IF(F172="","",IFERROR(VLOOKUP(F172,lst_PropTauxLookup,2,0),""))</f>
        <v/>
      </c>
      <c r="O172">
        <f>IF(F172="","",IF(ISNUMBER(IFERROR(VLOOKUP(F172,lst_PropTauxLookup,2,0),"")),"REF_PROPRIETAIRE","A_CONTROLER"))</f>
        <v/>
      </c>
      <c r="Q172">
        <f>IF(OR(L172="",N172=""),"",IFERROR((L172-IF(M172="",0,M172))*N172,0))</f>
        <v/>
      </c>
      <c r="V172">
        <f>IF(L172="","",L172-IF(M172="",0,M172)-IF(Q172="",0,Q172)-IF(T172="",0,T172))</f>
        <v/>
      </c>
      <c r="Y172">
        <f>IF(W172="IC","OUI",IF(W172="HC","OUI",IF(W172="HR","NON","A_CONTROLER")))</f>
        <v/>
      </c>
      <c r="Z172">
        <f>IF(W172="IC","OUI",IF(W172="HC","NON",IF(W172="HR","NON","A_CONTROLER")))</f>
        <v/>
      </c>
    </row>
    <row r="173">
      <c r="B173">
        <f>IF(A173="","",A173&amp;"|"&amp;D173&amp;"|"&amp;F173&amp;"|"&amp;G173&amp;"|"&amp;TEXT(I173,"YYYYMMDD")&amp;"|"&amp;TEXT(L173,"0.00"))</f>
        <v/>
      </c>
      <c r="C173">
        <f>IF(I173="","",TEXT(I173,"YYYY-MM"))</f>
        <v/>
      </c>
      <c r="K173">
        <f>IF(OR(I173="",J173=""),"",J173-I173)</f>
        <v/>
      </c>
      <c r="N173">
        <f>IF(F173="","",IFERROR(VLOOKUP(F173,lst_PropTauxLookup,2,0),""))</f>
        <v/>
      </c>
      <c r="O173">
        <f>IF(F173="","",IF(ISNUMBER(IFERROR(VLOOKUP(F173,lst_PropTauxLookup,2,0),"")),"REF_PROPRIETAIRE","A_CONTROLER"))</f>
        <v/>
      </c>
      <c r="Q173">
        <f>IF(OR(L173="",N173=""),"",IFERROR((L173-IF(M173="",0,M173))*N173,0))</f>
        <v/>
      </c>
      <c r="V173">
        <f>IF(L173="","",L173-IF(M173="",0,M173)-IF(Q173="",0,Q173)-IF(T173="",0,T173))</f>
        <v/>
      </c>
      <c r="Y173">
        <f>IF(W173="IC","OUI",IF(W173="HC","OUI",IF(W173="HR","NON","A_CONTROLER")))</f>
        <v/>
      </c>
      <c r="Z173">
        <f>IF(W173="IC","OUI",IF(W173="HC","NON",IF(W173="HR","NON","A_CONTROLER")))</f>
        <v/>
      </c>
    </row>
    <row r="174">
      <c r="B174">
        <f>IF(A174="","",A174&amp;"|"&amp;D174&amp;"|"&amp;F174&amp;"|"&amp;G174&amp;"|"&amp;TEXT(I174,"YYYYMMDD")&amp;"|"&amp;TEXT(L174,"0.00"))</f>
        <v/>
      </c>
      <c r="C174">
        <f>IF(I174="","",TEXT(I174,"YYYY-MM"))</f>
        <v/>
      </c>
      <c r="K174">
        <f>IF(OR(I174="",J174=""),"",J174-I174)</f>
        <v/>
      </c>
      <c r="N174">
        <f>IF(F174="","",IFERROR(VLOOKUP(F174,lst_PropTauxLookup,2,0),""))</f>
        <v/>
      </c>
      <c r="O174">
        <f>IF(F174="","",IF(ISNUMBER(IFERROR(VLOOKUP(F174,lst_PropTauxLookup,2,0),"")),"REF_PROPRIETAIRE","A_CONTROLER"))</f>
        <v/>
      </c>
      <c r="Q174">
        <f>IF(OR(L174="",N174=""),"",IFERROR((L174-IF(M174="",0,M174))*N174,0))</f>
        <v/>
      </c>
      <c r="V174">
        <f>IF(L174="","",L174-IF(M174="",0,M174)-IF(Q174="",0,Q174)-IF(T174="",0,T174))</f>
        <v/>
      </c>
      <c r="Y174">
        <f>IF(W174="IC","OUI",IF(W174="HC","OUI",IF(W174="HR","NON","A_CONTROLER")))</f>
        <v/>
      </c>
      <c r="Z174">
        <f>IF(W174="IC","OUI",IF(W174="HC","NON",IF(W174="HR","NON","A_CONTROLER")))</f>
        <v/>
      </c>
    </row>
    <row r="175">
      <c r="B175">
        <f>IF(A175="","",A175&amp;"|"&amp;D175&amp;"|"&amp;F175&amp;"|"&amp;G175&amp;"|"&amp;TEXT(I175,"YYYYMMDD")&amp;"|"&amp;TEXT(L175,"0.00"))</f>
        <v/>
      </c>
      <c r="C175">
        <f>IF(I175="","",TEXT(I175,"YYYY-MM"))</f>
        <v/>
      </c>
      <c r="K175">
        <f>IF(OR(I175="",J175=""),"",J175-I175)</f>
        <v/>
      </c>
      <c r="N175">
        <f>IF(F175="","",IFERROR(VLOOKUP(F175,lst_PropTauxLookup,2,0),""))</f>
        <v/>
      </c>
      <c r="O175">
        <f>IF(F175="","",IF(ISNUMBER(IFERROR(VLOOKUP(F175,lst_PropTauxLookup,2,0),"")),"REF_PROPRIETAIRE","A_CONTROLER"))</f>
        <v/>
      </c>
      <c r="Q175">
        <f>IF(OR(L175="",N175=""),"",IFERROR((L175-IF(M175="",0,M175))*N175,0))</f>
        <v/>
      </c>
      <c r="V175">
        <f>IF(L175="","",L175-IF(M175="",0,M175)-IF(Q175="",0,Q175)-IF(T175="",0,T175))</f>
        <v/>
      </c>
      <c r="Y175">
        <f>IF(W175="IC","OUI",IF(W175="HC","OUI",IF(W175="HR","NON","A_CONTROLER")))</f>
        <v/>
      </c>
      <c r="Z175">
        <f>IF(W175="IC","OUI",IF(W175="HC","NON",IF(W175="HR","NON","A_CONTROLER")))</f>
        <v/>
      </c>
    </row>
    <row r="176">
      <c r="B176">
        <f>IF(A176="","",A176&amp;"|"&amp;D176&amp;"|"&amp;F176&amp;"|"&amp;G176&amp;"|"&amp;TEXT(I176,"YYYYMMDD")&amp;"|"&amp;TEXT(L176,"0.00"))</f>
        <v/>
      </c>
      <c r="C176">
        <f>IF(I176="","",TEXT(I176,"YYYY-MM"))</f>
        <v/>
      </c>
      <c r="K176">
        <f>IF(OR(I176="",J176=""),"",J176-I176)</f>
        <v/>
      </c>
      <c r="N176">
        <f>IF(F176="","",IFERROR(VLOOKUP(F176,lst_PropTauxLookup,2,0),""))</f>
        <v/>
      </c>
      <c r="O176">
        <f>IF(F176="","",IF(ISNUMBER(IFERROR(VLOOKUP(F176,lst_PropTauxLookup,2,0),"")),"REF_PROPRIETAIRE","A_CONTROLER"))</f>
        <v/>
      </c>
      <c r="Q176">
        <f>IF(OR(L176="",N176=""),"",IFERROR((L176-IF(M176="",0,M176))*N176,0))</f>
        <v/>
      </c>
      <c r="V176">
        <f>IF(L176="","",L176-IF(M176="",0,M176)-IF(Q176="",0,Q176)-IF(T176="",0,T176))</f>
        <v/>
      </c>
      <c r="Y176">
        <f>IF(W176="IC","OUI",IF(W176="HC","OUI",IF(W176="HR","NON","A_CONTROLER")))</f>
        <v/>
      </c>
      <c r="Z176">
        <f>IF(W176="IC","OUI",IF(W176="HC","NON",IF(W176="HR","NON","A_CONTROLER")))</f>
        <v/>
      </c>
    </row>
    <row r="177">
      <c r="B177">
        <f>IF(A177="","",A177&amp;"|"&amp;D177&amp;"|"&amp;F177&amp;"|"&amp;G177&amp;"|"&amp;TEXT(I177,"YYYYMMDD")&amp;"|"&amp;TEXT(L177,"0.00"))</f>
        <v/>
      </c>
      <c r="C177">
        <f>IF(I177="","",TEXT(I177,"YYYY-MM"))</f>
        <v/>
      </c>
      <c r="K177">
        <f>IF(OR(I177="",J177=""),"",J177-I177)</f>
        <v/>
      </c>
      <c r="N177">
        <f>IF(F177="","",IFERROR(VLOOKUP(F177,lst_PropTauxLookup,2,0),""))</f>
        <v/>
      </c>
      <c r="O177">
        <f>IF(F177="","",IF(ISNUMBER(IFERROR(VLOOKUP(F177,lst_PropTauxLookup,2,0),"")),"REF_PROPRIETAIRE","A_CONTROLER"))</f>
        <v/>
      </c>
      <c r="Q177">
        <f>IF(OR(L177="",N177=""),"",IFERROR((L177-IF(M177="",0,M177))*N177,0))</f>
        <v/>
      </c>
      <c r="V177">
        <f>IF(L177="","",L177-IF(M177="",0,M177)-IF(Q177="",0,Q177)-IF(T177="",0,T177))</f>
        <v/>
      </c>
      <c r="Y177">
        <f>IF(W177="IC","OUI",IF(W177="HC","OUI",IF(W177="HR","NON","A_CONTROLER")))</f>
        <v/>
      </c>
      <c r="Z177">
        <f>IF(W177="IC","OUI",IF(W177="HC","NON",IF(W177="HR","NON","A_CONTROLER")))</f>
        <v/>
      </c>
    </row>
    <row r="178">
      <c r="B178">
        <f>IF(A178="","",A178&amp;"|"&amp;D178&amp;"|"&amp;F178&amp;"|"&amp;G178&amp;"|"&amp;TEXT(I178,"YYYYMMDD")&amp;"|"&amp;TEXT(L178,"0.00"))</f>
        <v/>
      </c>
      <c r="C178">
        <f>IF(I178="","",TEXT(I178,"YYYY-MM"))</f>
        <v/>
      </c>
      <c r="K178">
        <f>IF(OR(I178="",J178=""),"",J178-I178)</f>
        <v/>
      </c>
      <c r="N178">
        <f>IF(F178="","",IFERROR(VLOOKUP(F178,lst_PropTauxLookup,2,0),""))</f>
        <v/>
      </c>
      <c r="O178">
        <f>IF(F178="","",IF(ISNUMBER(IFERROR(VLOOKUP(F178,lst_PropTauxLookup,2,0),"")),"REF_PROPRIETAIRE","A_CONTROLER"))</f>
        <v/>
      </c>
      <c r="Q178">
        <f>IF(OR(L178="",N178=""),"",IFERROR((L178-IF(M178="",0,M178))*N178,0))</f>
        <v/>
      </c>
      <c r="V178">
        <f>IF(L178="","",L178-IF(M178="",0,M178)-IF(Q178="",0,Q178)-IF(T178="",0,T178))</f>
        <v/>
      </c>
      <c r="Y178">
        <f>IF(W178="IC","OUI",IF(W178="HC","OUI",IF(W178="HR","NON","A_CONTROLER")))</f>
        <v/>
      </c>
      <c r="Z178">
        <f>IF(W178="IC","OUI",IF(W178="HC","NON",IF(W178="HR","NON","A_CONTROLER")))</f>
        <v/>
      </c>
    </row>
    <row r="179">
      <c r="B179">
        <f>IF(A179="","",A179&amp;"|"&amp;D179&amp;"|"&amp;F179&amp;"|"&amp;G179&amp;"|"&amp;TEXT(I179,"YYYYMMDD")&amp;"|"&amp;TEXT(L179,"0.00"))</f>
        <v/>
      </c>
      <c r="C179">
        <f>IF(I179="","",TEXT(I179,"YYYY-MM"))</f>
        <v/>
      </c>
      <c r="K179">
        <f>IF(OR(I179="",J179=""),"",J179-I179)</f>
        <v/>
      </c>
      <c r="N179">
        <f>IF(F179="","",IFERROR(VLOOKUP(F179,lst_PropTauxLookup,2,0),""))</f>
        <v/>
      </c>
      <c r="O179">
        <f>IF(F179="","",IF(ISNUMBER(IFERROR(VLOOKUP(F179,lst_PropTauxLookup,2,0),"")),"REF_PROPRIETAIRE","A_CONTROLER"))</f>
        <v/>
      </c>
      <c r="Q179">
        <f>IF(OR(L179="",N179=""),"",IFERROR((L179-IF(M179="",0,M179))*N179,0))</f>
        <v/>
      </c>
      <c r="V179">
        <f>IF(L179="","",L179-IF(M179="",0,M179)-IF(Q179="",0,Q179)-IF(T179="",0,T179))</f>
        <v/>
      </c>
      <c r="Y179">
        <f>IF(W179="IC","OUI",IF(W179="HC","OUI",IF(W179="HR","NON","A_CONTROLER")))</f>
        <v/>
      </c>
      <c r="Z179">
        <f>IF(W179="IC","OUI",IF(W179="HC","NON",IF(W179="HR","NON","A_CONTROLER")))</f>
        <v/>
      </c>
    </row>
    <row r="180">
      <c r="B180">
        <f>IF(A180="","",A180&amp;"|"&amp;D180&amp;"|"&amp;F180&amp;"|"&amp;G180&amp;"|"&amp;TEXT(I180,"YYYYMMDD")&amp;"|"&amp;TEXT(L180,"0.00"))</f>
        <v/>
      </c>
      <c r="C180">
        <f>IF(I180="","",TEXT(I180,"YYYY-MM"))</f>
        <v/>
      </c>
      <c r="K180">
        <f>IF(OR(I180="",J180=""),"",J180-I180)</f>
        <v/>
      </c>
      <c r="N180">
        <f>IF(F180="","",IFERROR(VLOOKUP(F180,lst_PropTauxLookup,2,0),""))</f>
        <v/>
      </c>
      <c r="O180">
        <f>IF(F180="","",IF(ISNUMBER(IFERROR(VLOOKUP(F180,lst_PropTauxLookup,2,0),"")),"REF_PROPRIETAIRE","A_CONTROLER"))</f>
        <v/>
      </c>
      <c r="Q180">
        <f>IF(OR(L180="",N180=""),"",IFERROR((L180-IF(M180="",0,M180))*N180,0))</f>
        <v/>
      </c>
      <c r="V180">
        <f>IF(L180="","",L180-IF(M180="",0,M180)-IF(Q180="",0,Q180)-IF(T180="",0,T180))</f>
        <v/>
      </c>
      <c r="Y180">
        <f>IF(W180="IC","OUI",IF(W180="HC","OUI",IF(W180="HR","NON","A_CONTROLER")))</f>
        <v/>
      </c>
      <c r="Z180">
        <f>IF(W180="IC","OUI",IF(W180="HC","NON",IF(W180="HR","NON","A_CONTROLER")))</f>
        <v/>
      </c>
    </row>
    <row r="181">
      <c r="B181">
        <f>IF(A181="","",A181&amp;"|"&amp;D181&amp;"|"&amp;F181&amp;"|"&amp;G181&amp;"|"&amp;TEXT(I181,"YYYYMMDD")&amp;"|"&amp;TEXT(L181,"0.00"))</f>
        <v/>
      </c>
      <c r="C181">
        <f>IF(I181="","",TEXT(I181,"YYYY-MM"))</f>
        <v/>
      </c>
      <c r="K181">
        <f>IF(OR(I181="",J181=""),"",J181-I181)</f>
        <v/>
      </c>
      <c r="N181">
        <f>IF(F181="","",IFERROR(VLOOKUP(F181,lst_PropTauxLookup,2,0),""))</f>
        <v/>
      </c>
      <c r="O181">
        <f>IF(F181="","",IF(ISNUMBER(IFERROR(VLOOKUP(F181,lst_PropTauxLookup,2,0),"")),"REF_PROPRIETAIRE","A_CONTROLER"))</f>
        <v/>
      </c>
      <c r="Q181">
        <f>IF(OR(L181="",N181=""),"",IFERROR((L181-IF(M181="",0,M181))*N181,0))</f>
        <v/>
      </c>
      <c r="V181">
        <f>IF(L181="","",L181-IF(M181="",0,M181)-IF(Q181="",0,Q181)-IF(T181="",0,T181))</f>
        <v/>
      </c>
      <c r="Y181">
        <f>IF(W181="IC","OUI",IF(W181="HC","OUI",IF(W181="HR","NON","A_CONTROLER")))</f>
        <v/>
      </c>
      <c r="Z181">
        <f>IF(W181="IC","OUI",IF(W181="HC","NON",IF(W181="HR","NON","A_CONTROLER")))</f>
        <v/>
      </c>
    </row>
    <row r="182">
      <c r="B182">
        <f>IF(A182="","",A182&amp;"|"&amp;D182&amp;"|"&amp;F182&amp;"|"&amp;G182&amp;"|"&amp;TEXT(I182,"YYYYMMDD")&amp;"|"&amp;TEXT(L182,"0.00"))</f>
        <v/>
      </c>
      <c r="C182">
        <f>IF(I182="","",TEXT(I182,"YYYY-MM"))</f>
        <v/>
      </c>
      <c r="K182">
        <f>IF(OR(I182="",J182=""),"",J182-I182)</f>
        <v/>
      </c>
      <c r="N182">
        <f>IF(F182="","",IFERROR(VLOOKUP(F182,lst_PropTauxLookup,2,0),""))</f>
        <v/>
      </c>
      <c r="O182">
        <f>IF(F182="","",IF(ISNUMBER(IFERROR(VLOOKUP(F182,lst_PropTauxLookup,2,0),"")),"REF_PROPRIETAIRE","A_CONTROLER"))</f>
        <v/>
      </c>
      <c r="Q182">
        <f>IF(OR(L182="",N182=""),"",IFERROR((L182-IF(M182="",0,M182))*N182,0))</f>
        <v/>
      </c>
      <c r="V182">
        <f>IF(L182="","",L182-IF(M182="",0,M182)-IF(Q182="",0,Q182)-IF(T182="",0,T182))</f>
        <v/>
      </c>
      <c r="Y182">
        <f>IF(W182="IC","OUI",IF(W182="HC","OUI",IF(W182="HR","NON","A_CONTROLER")))</f>
        <v/>
      </c>
      <c r="Z182">
        <f>IF(W182="IC","OUI",IF(W182="HC","NON",IF(W182="HR","NON","A_CONTROLER")))</f>
        <v/>
      </c>
    </row>
    <row r="183">
      <c r="B183">
        <f>IF(A183="","",A183&amp;"|"&amp;D183&amp;"|"&amp;F183&amp;"|"&amp;G183&amp;"|"&amp;TEXT(I183,"YYYYMMDD")&amp;"|"&amp;TEXT(L183,"0.00"))</f>
        <v/>
      </c>
      <c r="C183">
        <f>IF(I183="","",TEXT(I183,"YYYY-MM"))</f>
        <v/>
      </c>
      <c r="K183">
        <f>IF(OR(I183="",J183=""),"",J183-I183)</f>
        <v/>
      </c>
      <c r="N183">
        <f>IF(F183="","",IFERROR(VLOOKUP(F183,lst_PropTauxLookup,2,0),""))</f>
        <v/>
      </c>
      <c r="O183">
        <f>IF(F183="","",IF(ISNUMBER(IFERROR(VLOOKUP(F183,lst_PropTauxLookup,2,0),"")),"REF_PROPRIETAIRE","A_CONTROLER"))</f>
        <v/>
      </c>
      <c r="Q183">
        <f>IF(OR(L183="",N183=""),"",IFERROR((L183-IF(M183="",0,M183))*N183,0))</f>
        <v/>
      </c>
      <c r="V183">
        <f>IF(L183="","",L183-IF(M183="",0,M183)-IF(Q183="",0,Q183)-IF(T183="",0,T183))</f>
        <v/>
      </c>
      <c r="Y183">
        <f>IF(W183="IC","OUI",IF(W183="HC","OUI",IF(W183="HR","NON","A_CONTROLER")))</f>
        <v/>
      </c>
      <c r="Z183">
        <f>IF(W183="IC","OUI",IF(W183="HC","NON",IF(W183="HR","NON","A_CONTROLER")))</f>
        <v/>
      </c>
    </row>
    <row r="184">
      <c r="B184">
        <f>IF(A184="","",A184&amp;"|"&amp;D184&amp;"|"&amp;F184&amp;"|"&amp;G184&amp;"|"&amp;TEXT(I184,"YYYYMMDD")&amp;"|"&amp;TEXT(L184,"0.00"))</f>
        <v/>
      </c>
      <c r="C184">
        <f>IF(I184="","",TEXT(I184,"YYYY-MM"))</f>
        <v/>
      </c>
      <c r="K184">
        <f>IF(OR(I184="",J184=""),"",J184-I184)</f>
        <v/>
      </c>
      <c r="N184">
        <f>IF(F184="","",IFERROR(VLOOKUP(F184,lst_PropTauxLookup,2,0),""))</f>
        <v/>
      </c>
      <c r="O184">
        <f>IF(F184="","",IF(ISNUMBER(IFERROR(VLOOKUP(F184,lst_PropTauxLookup,2,0),"")),"REF_PROPRIETAIRE","A_CONTROLER"))</f>
        <v/>
      </c>
      <c r="Q184">
        <f>IF(OR(L184="",N184=""),"",IFERROR((L184-IF(M184="",0,M184))*N184,0))</f>
        <v/>
      </c>
      <c r="V184">
        <f>IF(L184="","",L184-IF(M184="",0,M184)-IF(Q184="",0,Q184)-IF(T184="",0,T184))</f>
        <v/>
      </c>
      <c r="Y184">
        <f>IF(W184="IC","OUI",IF(W184="HC","OUI",IF(W184="HR","NON","A_CONTROLER")))</f>
        <v/>
      </c>
      <c r="Z184">
        <f>IF(W184="IC","OUI",IF(W184="HC","NON",IF(W184="HR","NON","A_CONTROLER")))</f>
        <v/>
      </c>
    </row>
    <row r="185">
      <c r="B185">
        <f>IF(A185="","",A185&amp;"|"&amp;D185&amp;"|"&amp;F185&amp;"|"&amp;G185&amp;"|"&amp;TEXT(I185,"YYYYMMDD")&amp;"|"&amp;TEXT(L185,"0.00"))</f>
        <v/>
      </c>
      <c r="C185">
        <f>IF(I185="","",TEXT(I185,"YYYY-MM"))</f>
        <v/>
      </c>
      <c r="K185">
        <f>IF(OR(I185="",J185=""),"",J185-I185)</f>
        <v/>
      </c>
      <c r="N185">
        <f>IF(F185="","",IFERROR(VLOOKUP(F185,lst_PropTauxLookup,2,0),""))</f>
        <v/>
      </c>
      <c r="O185">
        <f>IF(F185="","",IF(ISNUMBER(IFERROR(VLOOKUP(F185,lst_PropTauxLookup,2,0),"")),"REF_PROPRIETAIRE","A_CONTROLER"))</f>
        <v/>
      </c>
      <c r="Q185">
        <f>IF(OR(L185="",N185=""),"",IFERROR((L185-IF(M185="",0,M185))*N185,0))</f>
        <v/>
      </c>
      <c r="V185">
        <f>IF(L185="","",L185-IF(M185="",0,M185)-IF(Q185="",0,Q185)-IF(T185="",0,T185))</f>
        <v/>
      </c>
      <c r="Y185">
        <f>IF(W185="IC","OUI",IF(W185="HC","OUI",IF(W185="HR","NON","A_CONTROLER")))</f>
        <v/>
      </c>
      <c r="Z185">
        <f>IF(W185="IC","OUI",IF(W185="HC","NON",IF(W185="HR","NON","A_CONTROLER")))</f>
        <v/>
      </c>
    </row>
    <row r="186">
      <c r="B186">
        <f>IF(A186="","",A186&amp;"|"&amp;D186&amp;"|"&amp;F186&amp;"|"&amp;G186&amp;"|"&amp;TEXT(I186,"YYYYMMDD")&amp;"|"&amp;TEXT(L186,"0.00"))</f>
        <v/>
      </c>
      <c r="C186">
        <f>IF(I186="","",TEXT(I186,"YYYY-MM"))</f>
        <v/>
      </c>
      <c r="K186">
        <f>IF(OR(I186="",J186=""),"",J186-I186)</f>
        <v/>
      </c>
      <c r="N186">
        <f>IF(F186="","",IFERROR(VLOOKUP(F186,lst_PropTauxLookup,2,0),""))</f>
        <v/>
      </c>
      <c r="O186">
        <f>IF(F186="","",IF(ISNUMBER(IFERROR(VLOOKUP(F186,lst_PropTauxLookup,2,0),"")),"REF_PROPRIETAIRE","A_CONTROLER"))</f>
        <v/>
      </c>
      <c r="Q186">
        <f>IF(OR(L186="",N186=""),"",IFERROR((L186-IF(M186="",0,M186))*N186,0))</f>
        <v/>
      </c>
      <c r="V186">
        <f>IF(L186="","",L186-IF(M186="",0,M186)-IF(Q186="",0,Q186)-IF(T186="",0,T186))</f>
        <v/>
      </c>
      <c r="Y186">
        <f>IF(W186="IC","OUI",IF(W186="HC","OUI",IF(W186="HR","NON","A_CONTROLER")))</f>
        <v/>
      </c>
      <c r="Z186">
        <f>IF(W186="IC","OUI",IF(W186="HC","NON",IF(W186="HR","NON","A_CONTROLER")))</f>
        <v/>
      </c>
    </row>
    <row r="187">
      <c r="B187">
        <f>IF(A187="","",A187&amp;"|"&amp;D187&amp;"|"&amp;F187&amp;"|"&amp;G187&amp;"|"&amp;TEXT(I187,"YYYYMMDD")&amp;"|"&amp;TEXT(L187,"0.00"))</f>
        <v/>
      </c>
      <c r="C187">
        <f>IF(I187="","",TEXT(I187,"YYYY-MM"))</f>
        <v/>
      </c>
      <c r="K187">
        <f>IF(OR(I187="",J187=""),"",J187-I187)</f>
        <v/>
      </c>
      <c r="N187">
        <f>IF(F187="","",IFERROR(VLOOKUP(F187,lst_PropTauxLookup,2,0),""))</f>
        <v/>
      </c>
      <c r="O187">
        <f>IF(F187="","",IF(ISNUMBER(IFERROR(VLOOKUP(F187,lst_PropTauxLookup,2,0),"")),"REF_PROPRIETAIRE","A_CONTROLER"))</f>
        <v/>
      </c>
      <c r="Q187">
        <f>IF(OR(L187="",N187=""),"",IFERROR((L187-IF(M187="",0,M187))*N187,0))</f>
        <v/>
      </c>
      <c r="V187">
        <f>IF(L187="","",L187-IF(M187="",0,M187)-IF(Q187="",0,Q187)-IF(T187="",0,T187))</f>
        <v/>
      </c>
      <c r="Y187">
        <f>IF(W187="IC","OUI",IF(W187="HC","OUI",IF(W187="HR","NON","A_CONTROLER")))</f>
        <v/>
      </c>
      <c r="Z187">
        <f>IF(W187="IC","OUI",IF(W187="HC","NON",IF(W187="HR","NON","A_CONTROLER")))</f>
        <v/>
      </c>
    </row>
    <row r="188">
      <c r="B188">
        <f>IF(A188="","",A188&amp;"|"&amp;D188&amp;"|"&amp;F188&amp;"|"&amp;G188&amp;"|"&amp;TEXT(I188,"YYYYMMDD")&amp;"|"&amp;TEXT(L188,"0.00"))</f>
        <v/>
      </c>
      <c r="C188">
        <f>IF(I188="","",TEXT(I188,"YYYY-MM"))</f>
        <v/>
      </c>
      <c r="K188">
        <f>IF(OR(I188="",J188=""),"",J188-I188)</f>
        <v/>
      </c>
      <c r="N188">
        <f>IF(F188="","",IFERROR(VLOOKUP(F188,lst_PropTauxLookup,2,0),""))</f>
        <v/>
      </c>
      <c r="O188">
        <f>IF(F188="","",IF(ISNUMBER(IFERROR(VLOOKUP(F188,lst_PropTauxLookup,2,0),"")),"REF_PROPRIETAIRE","A_CONTROLER"))</f>
        <v/>
      </c>
      <c r="Q188">
        <f>IF(OR(L188="",N188=""),"",IFERROR((L188-IF(M188="",0,M188))*N188,0))</f>
        <v/>
      </c>
      <c r="V188">
        <f>IF(L188="","",L188-IF(M188="",0,M188)-IF(Q188="",0,Q188)-IF(T188="",0,T188))</f>
        <v/>
      </c>
      <c r="Y188">
        <f>IF(W188="IC","OUI",IF(W188="HC","OUI",IF(W188="HR","NON","A_CONTROLER")))</f>
        <v/>
      </c>
      <c r="Z188">
        <f>IF(W188="IC","OUI",IF(W188="HC","NON",IF(W188="HR","NON","A_CONTROLER")))</f>
        <v/>
      </c>
    </row>
    <row r="189">
      <c r="B189">
        <f>IF(A189="","",A189&amp;"|"&amp;D189&amp;"|"&amp;F189&amp;"|"&amp;G189&amp;"|"&amp;TEXT(I189,"YYYYMMDD")&amp;"|"&amp;TEXT(L189,"0.00"))</f>
        <v/>
      </c>
      <c r="C189">
        <f>IF(I189="","",TEXT(I189,"YYYY-MM"))</f>
        <v/>
      </c>
      <c r="K189">
        <f>IF(OR(I189="",J189=""),"",J189-I189)</f>
        <v/>
      </c>
      <c r="N189">
        <f>IF(F189="","",IFERROR(VLOOKUP(F189,lst_PropTauxLookup,2,0),""))</f>
        <v/>
      </c>
      <c r="O189">
        <f>IF(F189="","",IF(ISNUMBER(IFERROR(VLOOKUP(F189,lst_PropTauxLookup,2,0),"")),"REF_PROPRIETAIRE","A_CONTROLER"))</f>
        <v/>
      </c>
      <c r="Q189">
        <f>IF(OR(L189="",N189=""),"",IFERROR((L189-IF(M189="",0,M189))*N189,0))</f>
        <v/>
      </c>
      <c r="V189">
        <f>IF(L189="","",L189-IF(M189="",0,M189)-IF(Q189="",0,Q189)-IF(T189="",0,T189))</f>
        <v/>
      </c>
      <c r="Y189">
        <f>IF(W189="IC","OUI",IF(W189="HC","OUI",IF(W189="HR","NON","A_CONTROLER")))</f>
        <v/>
      </c>
      <c r="Z189">
        <f>IF(W189="IC","OUI",IF(W189="HC","NON",IF(W189="HR","NON","A_CONTROLER")))</f>
        <v/>
      </c>
    </row>
    <row r="190">
      <c r="B190">
        <f>IF(A190="","",A190&amp;"|"&amp;D190&amp;"|"&amp;F190&amp;"|"&amp;G190&amp;"|"&amp;TEXT(I190,"YYYYMMDD")&amp;"|"&amp;TEXT(L190,"0.00"))</f>
        <v/>
      </c>
      <c r="C190">
        <f>IF(I190="","",TEXT(I190,"YYYY-MM"))</f>
        <v/>
      </c>
      <c r="K190">
        <f>IF(OR(I190="",J190=""),"",J190-I190)</f>
        <v/>
      </c>
      <c r="N190">
        <f>IF(F190="","",IFERROR(VLOOKUP(F190,lst_PropTauxLookup,2,0),""))</f>
        <v/>
      </c>
      <c r="O190">
        <f>IF(F190="","",IF(ISNUMBER(IFERROR(VLOOKUP(F190,lst_PropTauxLookup,2,0),"")),"REF_PROPRIETAIRE","A_CONTROLER"))</f>
        <v/>
      </c>
      <c r="Q190">
        <f>IF(OR(L190="",N190=""),"",IFERROR((L190-IF(M190="",0,M190))*N190,0))</f>
        <v/>
      </c>
      <c r="V190">
        <f>IF(L190="","",L190-IF(M190="",0,M190)-IF(Q190="",0,Q190)-IF(T190="",0,T190))</f>
        <v/>
      </c>
      <c r="Y190">
        <f>IF(W190="IC","OUI",IF(W190="HC","OUI",IF(W190="HR","NON","A_CONTROLER")))</f>
        <v/>
      </c>
      <c r="Z190">
        <f>IF(W190="IC","OUI",IF(W190="HC","NON",IF(W190="HR","NON","A_CONTROLER")))</f>
        <v/>
      </c>
    </row>
    <row r="191">
      <c r="B191">
        <f>IF(A191="","",A191&amp;"|"&amp;D191&amp;"|"&amp;F191&amp;"|"&amp;G191&amp;"|"&amp;TEXT(I191,"YYYYMMDD")&amp;"|"&amp;TEXT(L191,"0.00"))</f>
        <v/>
      </c>
      <c r="C191">
        <f>IF(I191="","",TEXT(I191,"YYYY-MM"))</f>
        <v/>
      </c>
      <c r="K191">
        <f>IF(OR(I191="",J191=""),"",J191-I191)</f>
        <v/>
      </c>
      <c r="N191">
        <f>IF(F191="","",IFERROR(VLOOKUP(F191,lst_PropTauxLookup,2,0),""))</f>
        <v/>
      </c>
      <c r="O191">
        <f>IF(F191="","",IF(ISNUMBER(IFERROR(VLOOKUP(F191,lst_PropTauxLookup,2,0),"")),"REF_PROPRIETAIRE","A_CONTROLER"))</f>
        <v/>
      </c>
      <c r="Q191">
        <f>IF(OR(L191="",N191=""),"",IFERROR((L191-IF(M191="",0,M191))*N191,0))</f>
        <v/>
      </c>
      <c r="V191">
        <f>IF(L191="","",L191-IF(M191="",0,M191)-IF(Q191="",0,Q191)-IF(T191="",0,T191))</f>
        <v/>
      </c>
      <c r="Y191">
        <f>IF(W191="IC","OUI",IF(W191="HC","OUI",IF(W191="HR","NON","A_CONTROLER")))</f>
        <v/>
      </c>
      <c r="Z191">
        <f>IF(W191="IC","OUI",IF(W191="HC","NON",IF(W191="HR","NON","A_CONTROLER")))</f>
        <v/>
      </c>
    </row>
    <row r="192">
      <c r="B192">
        <f>IF(A192="","",A192&amp;"|"&amp;D192&amp;"|"&amp;F192&amp;"|"&amp;G192&amp;"|"&amp;TEXT(I192,"YYYYMMDD")&amp;"|"&amp;TEXT(L192,"0.00"))</f>
        <v/>
      </c>
      <c r="C192">
        <f>IF(I192="","",TEXT(I192,"YYYY-MM"))</f>
        <v/>
      </c>
      <c r="K192">
        <f>IF(OR(I192="",J192=""),"",J192-I192)</f>
        <v/>
      </c>
      <c r="N192">
        <f>IF(F192="","",IFERROR(VLOOKUP(F192,lst_PropTauxLookup,2,0),""))</f>
        <v/>
      </c>
      <c r="O192">
        <f>IF(F192="","",IF(ISNUMBER(IFERROR(VLOOKUP(F192,lst_PropTauxLookup,2,0),"")),"REF_PROPRIETAIRE","A_CONTROLER"))</f>
        <v/>
      </c>
      <c r="Q192">
        <f>IF(OR(L192="",N192=""),"",IFERROR((L192-IF(M192="",0,M192))*N192,0))</f>
        <v/>
      </c>
      <c r="V192">
        <f>IF(L192="","",L192-IF(M192="",0,M192)-IF(Q192="",0,Q192)-IF(T192="",0,T192))</f>
        <v/>
      </c>
      <c r="Y192">
        <f>IF(W192="IC","OUI",IF(W192="HC","OUI",IF(W192="HR","NON","A_CONTROLER")))</f>
        <v/>
      </c>
      <c r="Z192">
        <f>IF(W192="IC","OUI",IF(W192="HC","NON",IF(W192="HR","NON","A_CONTROLER")))</f>
        <v/>
      </c>
    </row>
    <row r="193">
      <c r="B193">
        <f>IF(A193="","",A193&amp;"|"&amp;D193&amp;"|"&amp;F193&amp;"|"&amp;G193&amp;"|"&amp;TEXT(I193,"YYYYMMDD")&amp;"|"&amp;TEXT(L193,"0.00"))</f>
        <v/>
      </c>
      <c r="C193">
        <f>IF(I193="","",TEXT(I193,"YYYY-MM"))</f>
        <v/>
      </c>
      <c r="K193">
        <f>IF(OR(I193="",J193=""),"",J193-I193)</f>
        <v/>
      </c>
      <c r="N193">
        <f>IF(F193="","",IFERROR(VLOOKUP(F193,lst_PropTauxLookup,2,0),""))</f>
        <v/>
      </c>
      <c r="O193">
        <f>IF(F193="","",IF(ISNUMBER(IFERROR(VLOOKUP(F193,lst_PropTauxLookup,2,0),"")),"REF_PROPRIETAIRE","A_CONTROLER"))</f>
        <v/>
      </c>
      <c r="Q193">
        <f>IF(OR(L193="",N193=""),"",IFERROR((L193-IF(M193="",0,M193))*N193,0))</f>
        <v/>
      </c>
      <c r="V193">
        <f>IF(L193="","",L193-IF(M193="",0,M193)-IF(Q193="",0,Q193)-IF(T193="",0,T193))</f>
        <v/>
      </c>
      <c r="Y193">
        <f>IF(W193="IC","OUI",IF(W193="HC","OUI",IF(W193="HR","NON","A_CONTROLER")))</f>
        <v/>
      </c>
      <c r="Z193">
        <f>IF(W193="IC","OUI",IF(W193="HC","NON",IF(W193="HR","NON","A_CONTROLER")))</f>
        <v/>
      </c>
    </row>
    <row r="194">
      <c r="B194">
        <f>IF(A194="","",A194&amp;"|"&amp;D194&amp;"|"&amp;F194&amp;"|"&amp;G194&amp;"|"&amp;TEXT(I194,"YYYYMMDD")&amp;"|"&amp;TEXT(L194,"0.00"))</f>
        <v/>
      </c>
      <c r="C194">
        <f>IF(I194="","",TEXT(I194,"YYYY-MM"))</f>
        <v/>
      </c>
      <c r="K194">
        <f>IF(OR(I194="",J194=""),"",J194-I194)</f>
        <v/>
      </c>
      <c r="N194">
        <f>IF(F194="","",IFERROR(VLOOKUP(F194,lst_PropTauxLookup,2,0),""))</f>
        <v/>
      </c>
      <c r="O194">
        <f>IF(F194="","",IF(ISNUMBER(IFERROR(VLOOKUP(F194,lst_PropTauxLookup,2,0),"")),"REF_PROPRIETAIRE","A_CONTROLER"))</f>
        <v/>
      </c>
      <c r="Q194">
        <f>IF(OR(L194="",N194=""),"",IFERROR((L194-IF(M194="",0,M194))*N194,0))</f>
        <v/>
      </c>
      <c r="V194">
        <f>IF(L194="","",L194-IF(M194="",0,M194)-IF(Q194="",0,Q194)-IF(T194="",0,T194))</f>
        <v/>
      </c>
      <c r="Y194">
        <f>IF(W194="IC","OUI",IF(W194="HC","OUI",IF(W194="HR","NON","A_CONTROLER")))</f>
        <v/>
      </c>
      <c r="Z194">
        <f>IF(W194="IC","OUI",IF(W194="HC","NON",IF(W194="HR","NON","A_CONTROLER")))</f>
        <v/>
      </c>
    </row>
    <row r="195">
      <c r="B195">
        <f>IF(A195="","",A195&amp;"|"&amp;D195&amp;"|"&amp;F195&amp;"|"&amp;G195&amp;"|"&amp;TEXT(I195,"YYYYMMDD")&amp;"|"&amp;TEXT(L195,"0.00"))</f>
        <v/>
      </c>
      <c r="C195">
        <f>IF(I195="","",TEXT(I195,"YYYY-MM"))</f>
        <v/>
      </c>
      <c r="K195">
        <f>IF(OR(I195="",J195=""),"",J195-I195)</f>
        <v/>
      </c>
      <c r="N195">
        <f>IF(F195="","",IFERROR(VLOOKUP(F195,lst_PropTauxLookup,2,0),""))</f>
        <v/>
      </c>
      <c r="O195">
        <f>IF(F195="","",IF(ISNUMBER(IFERROR(VLOOKUP(F195,lst_PropTauxLookup,2,0),"")),"REF_PROPRIETAIRE","A_CONTROLER"))</f>
        <v/>
      </c>
      <c r="Q195">
        <f>IF(OR(L195="",N195=""),"",IFERROR((L195-IF(M195="",0,M195))*N195,0))</f>
        <v/>
      </c>
      <c r="V195">
        <f>IF(L195="","",L195-IF(M195="",0,M195)-IF(Q195="",0,Q195)-IF(T195="",0,T195))</f>
        <v/>
      </c>
      <c r="Y195">
        <f>IF(W195="IC","OUI",IF(W195="HC","OUI",IF(W195="HR","NON","A_CONTROLER")))</f>
        <v/>
      </c>
      <c r="Z195">
        <f>IF(W195="IC","OUI",IF(W195="HC","NON",IF(W195="HR","NON","A_CONTROLER")))</f>
        <v/>
      </c>
    </row>
    <row r="196">
      <c r="B196">
        <f>IF(A196="","",A196&amp;"|"&amp;D196&amp;"|"&amp;F196&amp;"|"&amp;G196&amp;"|"&amp;TEXT(I196,"YYYYMMDD")&amp;"|"&amp;TEXT(L196,"0.00"))</f>
        <v/>
      </c>
      <c r="C196">
        <f>IF(I196="","",TEXT(I196,"YYYY-MM"))</f>
        <v/>
      </c>
      <c r="K196">
        <f>IF(OR(I196="",J196=""),"",J196-I196)</f>
        <v/>
      </c>
      <c r="N196">
        <f>IF(F196="","",IFERROR(VLOOKUP(F196,lst_PropTauxLookup,2,0),""))</f>
        <v/>
      </c>
      <c r="O196">
        <f>IF(F196="","",IF(ISNUMBER(IFERROR(VLOOKUP(F196,lst_PropTauxLookup,2,0),"")),"REF_PROPRIETAIRE","A_CONTROLER"))</f>
        <v/>
      </c>
      <c r="Q196">
        <f>IF(OR(L196="",N196=""),"",IFERROR((L196-IF(M196="",0,M196))*N196,0))</f>
        <v/>
      </c>
      <c r="V196">
        <f>IF(L196="","",L196-IF(M196="",0,M196)-IF(Q196="",0,Q196)-IF(T196="",0,T196))</f>
        <v/>
      </c>
      <c r="Y196">
        <f>IF(W196="IC","OUI",IF(W196="HC","OUI",IF(W196="HR","NON","A_CONTROLER")))</f>
        <v/>
      </c>
      <c r="Z196">
        <f>IF(W196="IC","OUI",IF(W196="HC","NON",IF(W196="HR","NON","A_CONTROLER")))</f>
        <v/>
      </c>
    </row>
    <row r="197">
      <c r="B197">
        <f>IF(A197="","",A197&amp;"|"&amp;D197&amp;"|"&amp;F197&amp;"|"&amp;G197&amp;"|"&amp;TEXT(I197,"YYYYMMDD")&amp;"|"&amp;TEXT(L197,"0.00"))</f>
        <v/>
      </c>
      <c r="C197">
        <f>IF(I197="","",TEXT(I197,"YYYY-MM"))</f>
        <v/>
      </c>
      <c r="K197">
        <f>IF(OR(I197="",J197=""),"",J197-I197)</f>
        <v/>
      </c>
      <c r="N197">
        <f>IF(F197="","",IFERROR(VLOOKUP(F197,lst_PropTauxLookup,2,0),""))</f>
        <v/>
      </c>
      <c r="O197">
        <f>IF(F197="","",IF(ISNUMBER(IFERROR(VLOOKUP(F197,lst_PropTauxLookup,2,0),"")),"REF_PROPRIETAIRE","A_CONTROLER"))</f>
        <v/>
      </c>
      <c r="Q197">
        <f>IF(OR(L197="",N197=""),"",IFERROR((L197-IF(M197="",0,M197))*N197,0))</f>
        <v/>
      </c>
      <c r="V197">
        <f>IF(L197="","",L197-IF(M197="",0,M197)-IF(Q197="",0,Q197)-IF(T197="",0,T197))</f>
        <v/>
      </c>
      <c r="Y197">
        <f>IF(W197="IC","OUI",IF(W197="HC","OUI",IF(W197="HR","NON","A_CONTROLER")))</f>
        <v/>
      </c>
      <c r="Z197">
        <f>IF(W197="IC","OUI",IF(W197="HC","NON",IF(W197="HR","NON","A_CONTROLER")))</f>
        <v/>
      </c>
    </row>
    <row r="198">
      <c r="B198">
        <f>IF(A198="","",A198&amp;"|"&amp;D198&amp;"|"&amp;F198&amp;"|"&amp;G198&amp;"|"&amp;TEXT(I198,"YYYYMMDD")&amp;"|"&amp;TEXT(L198,"0.00"))</f>
        <v/>
      </c>
      <c r="C198">
        <f>IF(I198="","",TEXT(I198,"YYYY-MM"))</f>
        <v/>
      </c>
      <c r="K198">
        <f>IF(OR(I198="",J198=""),"",J198-I198)</f>
        <v/>
      </c>
      <c r="N198">
        <f>IF(F198="","",IFERROR(VLOOKUP(F198,lst_PropTauxLookup,2,0),""))</f>
        <v/>
      </c>
      <c r="O198">
        <f>IF(F198="","",IF(ISNUMBER(IFERROR(VLOOKUP(F198,lst_PropTauxLookup,2,0),"")),"REF_PROPRIETAIRE","A_CONTROLER"))</f>
        <v/>
      </c>
      <c r="Q198">
        <f>IF(OR(L198="",N198=""),"",IFERROR((L198-IF(M198="",0,M198))*N198,0))</f>
        <v/>
      </c>
      <c r="V198">
        <f>IF(L198="","",L198-IF(M198="",0,M198)-IF(Q198="",0,Q198)-IF(T198="",0,T198))</f>
        <v/>
      </c>
      <c r="Y198">
        <f>IF(W198="IC","OUI",IF(W198="HC","OUI",IF(W198="HR","NON","A_CONTROLER")))</f>
        <v/>
      </c>
      <c r="Z198">
        <f>IF(W198="IC","OUI",IF(W198="HC","NON",IF(W198="HR","NON","A_CONTROLER")))</f>
        <v/>
      </c>
    </row>
    <row r="199">
      <c r="B199">
        <f>IF(A199="","",A199&amp;"|"&amp;D199&amp;"|"&amp;F199&amp;"|"&amp;G199&amp;"|"&amp;TEXT(I199,"YYYYMMDD")&amp;"|"&amp;TEXT(L199,"0.00"))</f>
        <v/>
      </c>
      <c r="C199">
        <f>IF(I199="","",TEXT(I199,"YYYY-MM"))</f>
        <v/>
      </c>
      <c r="K199">
        <f>IF(OR(I199="",J199=""),"",J199-I199)</f>
        <v/>
      </c>
      <c r="N199">
        <f>IF(F199="","",IFERROR(VLOOKUP(F199,lst_PropTauxLookup,2,0),""))</f>
        <v/>
      </c>
      <c r="O199">
        <f>IF(F199="","",IF(ISNUMBER(IFERROR(VLOOKUP(F199,lst_PropTauxLookup,2,0),"")),"REF_PROPRIETAIRE","A_CONTROLER"))</f>
        <v/>
      </c>
      <c r="Q199">
        <f>IF(OR(L199="",N199=""),"",IFERROR((L199-IF(M199="",0,M199))*N199,0))</f>
        <v/>
      </c>
      <c r="V199">
        <f>IF(L199="","",L199-IF(M199="",0,M199)-IF(Q199="",0,Q199)-IF(T199="",0,T199))</f>
        <v/>
      </c>
      <c r="Y199">
        <f>IF(W199="IC","OUI",IF(W199="HC","OUI",IF(W199="HR","NON","A_CONTROLER")))</f>
        <v/>
      </c>
      <c r="Z199">
        <f>IF(W199="IC","OUI",IF(W199="HC","NON",IF(W199="HR","NON","A_CONTROLER")))</f>
        <v/>
      </c>
    </row>
    <row r="200">
      <c r="B200">
        <f>IF(A200="","",A200&amp;"|"&amp;D200&amp;"|"&amp;F200&amp;"|"&amp;G200&amp;"|"&amp;TEXT(I200,"YYYYMMDD")&amp;"|"&amp;TEXT(L200,"0.00"))</f>
        <v/>
      </c>
      <c r="C200">
        <f>IF(I200="","",TEXT(I200,"YYYY-MM"))</f>
        <v/>
      </c>
      <c r="K200">
        <f>IF(OR(I200="",J200=""),"",J200-I200)</f>
        <v/>
      </c>
      <c r="N200">
        <f>IF(F200="","",IFERROR(VLOOKUP(F200,lst_PropTauxLookup,2,0),""))</f>
        <v/>
      </c>
      <c r="O200">
        <f>IF(F200="","",IF(ISNUMBER(IFERROR(VLOOKUP(F200,lst_PropTauxLookup,2,0),"")),"REF_PROPRIETAIRE","A_CONTROLER"))</f>
        <v/>
      </c>
      <c r="Q200">
        <f>IF(OR(L200="",N200=""),"",IFERROR((L200-IF(M200="",0,M200))*N200,0))</f>
        <v/>
      </c>
      <c r="V200">
        <f>IF(L200="","",L200-IF(M200="",0,M200)-IF(Q200="",0,Q200)-IF(T200="",0,T200))</f>
        <v/>
      </c>
      <c r="Y200">
        <f>IF(W200="IC","OUI",IF(W200="HC","OUI",IF(W200="HR","NON","A_CONTROLER")))</f>
        <v/>
      </c>
      <c r="Z200">
        <f>IF(W200="IC","OUI",IF(W200="HC","NON",IF(W200="HR","NON","A_CONTROLER")))</f>
        <v/>
      </c>
    </row>
    <row r="201">
      <c r="B201">
        <f>IF(A201="","",A201&amp;"|"&amp;D201&amp;"|"&amp;F201&amp;"|"&amp;G201&amp;"|"&amp;TEXT(I201,"YYYYMMDD")&amp;"|"&amp;TEXT(L201,"0.00"))</f>
        <v/>
      </c>
      <c r="C201">
        <f>IF(I201="","",TEXT(I201,"YYYY-MM"))</f>
        <v/>
      </c>
      <c r="K201">
        <f>IF(OR(I201="",J201=""),"",J201-I201)</f>
        <v/>
      </c>
      <c r="N201">
        <f>IF(F201="","",IFERROR(VLOOKUP(F201,lst_PropTauxLookup,2,0),""))</f>
        <v/>
      </c>
      <c r="O201">
        <f>IF(F201="","",IF(ISNUMBER(IFERROR(VLOOKUP(F201,lst_PropTauxLookup,2,0),"")),"REF_PROPRIETAIRE","A_CONTROLER"))</f>
        <v/>
      </c>
      <c r="Q201">
        <f>IF(OR(L201="",N201=""),"",IFERROR((L201-IF(M201="",0,M201))*N201,0))</f>
        <v/>
      </c>
      <c r="V201">
        <f>IF(L201="","",L201-IF(M201="",0,M201)-IF(Q201="",0,Q201)-IF(T201="",0,T201))</f>
        <v/>
      </c>
      <c r="Y201">
        <f>IF(W201="IC","OUI",IF(W201="HC","OUI",IF(W201="HR","NON","A_CONTROLER")))</f>
        <v/>
      </c>
      <c r="Z201">
        <f>IF(W201="IC","OUI",IF(W201="HC","NON",IF(W201="HR","NON","A_CONTROLER")))</f>
        <v/>
      </c>
    </row>
    <row r="202">
      <c r="B202">
        <f>IF(A202="","",A202&amp;"|"&amp;D202&amp;"|"&amp;F202&amp;"|"&amp;G202&amp;"|"&amp;TEXT(I202,"YYYYMMDD")&amp;"|"&amp;TEXT(L202,"0.00"))</f>
        <v/>
      </c>
      <c r="C202">
        <f>IF(I202="","",TEXT(I202,"YYYY-MM"))</f>
        <v/>
      </c>
      <c r="K202">
        <f>IF(OR(I202="",J202=""),"",J202-I202)</f>
        <v/>
      </c>
      <c r="N202">
        <f>IF(F202="","",IFERROR(VLOOKUP(F202,lst_PropTauxLookup,2,0),""))</f>
        <v/>
      </c>
      <c r="O202">
        <f>IF(F202="","",IF(ISNUMBER(IFERROR(VLOOKUP(F202,lst_PropTauxLookup,2,0),"")),"REF_PROPRIETAIRE","A_CONTROLER"))</f>
        <v/>
      </c>
      <c r="Q202">
        <f>IF(OR(L202="",N202=""),"",IFERROR((L202-IF(M202="",0,M202))*N202,0))</f>
        <v/>
      </c>
      <c r="V202">
        <f>IF(L202="","",L202-IF(M202="",0,M202)-IF(Q202="",0,Q202)-IF(T202="",0,T202))</f>
        <v/>
      </c>
      <c r="Y202">
        <f>IF(W202="IC","OUI",IF(W202="HC","OUI",IF(W202="HR","NON","A_CONTROLER")))</f>
        <v/>
      </c>
      <c r="Z202">
        <f>IF(W202="IC","OUI",IF(W202="HC","NON",IF(W202="HR","NON","A_CONTROLER")))</f>
        <v/>
      </c>
    </row>
    <row r="203">
      <c r="B203">
        <f>IF(A203="","",A203&amp;"|"&amp;D203&amp;"|"&amp;F203&amp;"|"&amp;G203&amp;"|"&amp;TEXT(I203,"YYYYMMDD")&amp;"|"&amp;TEXT(L203,"0.00"))</f>
        <v/>
      </c>
      <c r="C203">
        <f>IF(I203="","",TEXT(I203,"YYYY-MM"))</f>
        <v/>
      </c>
      <c r="K203">
        <f>IF(OR(I203="",J203=""),"",J203-I203)</f>
        <v/>
      </c>
      <c r="N203">
        <f>IF(F203="","",IFERROR(VLOOKUP(F203,lst_PropTauxLookup,2,0),""))</f>
        <v/>
      </c>
      <c r="O203">
        <f>IF(F203="","",IF(ISNUMBER(IFERROR(VLOOKUP(F203,lst_PropTauxLookup,2,0),"")),"REF_PROPRIETAIRE","A_CONTROLER"))</f>
        <v/>
      </c>
      <c r="Q203">
        <f>IF(OR(L203="",N203=""),"",IFERROR((L203-IF(M203="",0,M203))*N203,0))</f>
        <v/>
      </c>
      <c r="V203">
        <f>IF(L203="","",L203-IF(M203="",0,M203)-IF(Q203="",0,Q203)-IF(T203="",0,T203))</f>
        <v/>
      </c>
      <c r="Y203">
        <f>IF(W203="IC","OUI",IF(W203="HC","OUI",IF(W203="HR","NON","A_CONTROLER")))</f>
        <v/>
      </c>
      <c r="Z203">
        <f>IF(W203="IC","OUI",IF(W203="HC","NON",IF(W203="HR","NON","A_CONTROLER")))</f>
        <v/>
      </c>
    </row>
    <row r="204">
      <c r="B204">
        <f>IF(A204="","",A204&amp;"|"&amp;D204&amp;"|"&amp;F204&amp;"|"&amp;G204&amp;"|"&amp;TEXT(I204,"YYYYMMDD")&amp;"|"&amp;TEXT(L204,"0.00"))</f>
        <v/>
      </c>
      <c r="C204">
        <f>IF(I204="","",TEXT(I204,"YYYY-MM"))</f>
        <v/>
      </c>
      <c r="K204">
        <f>IF(OR(I204="",J204=""),"",J204-I204)</f>
        <v/>
      </c>
      <c r="N204">
        <f>IF(F204="","",IFERROR(VLOOKUP(F204,lst_PropTauxLookup,2,0),""))</f>
        <v/>
      </c>
      <c r="O204">
        <f>IF(F204="","",IF(ISNUMBER(IFERROR(VLOOKUP(F204,lst_PropTauxLookup,2,0),"")),"REF_PROPRIETAIRE","A_CONTROLER"))</f>
        <v/>
      </c>
      <c r="Q204">
        <f>IF(OR(L204="",N204=""),"",IFERROR((L204-IF(M204="",0,M204))*N204,0))</f>
        <v/>
      </c>
      <c r="V204">
        <f>IF(L204="","",L204-IF(M204="",0,M204)-IF(Q204="",0,Q204)-IF(T204="",0,T204))</f>
        <v/>
      </c>
      <c r="Y204">
        <f>IF(W204="IC","OUI",IF(W204="HC","OUI",IF(W204="HR","NON","A_CONTROLER")))</f>
        <v/>
      </c>
      <c r="Z204">
        <f>IF(W204="IC","OUI",IF(W204="HC","NON",IF(W204="HR","NON","A_CONTROLER")))</f>
        <v/>
      </c>
    </row>
    <row r="205">
      <c r="B205">
        <f>IF(A205="","",A205&amp;"|"&amp;D205&amp;"|"&amp;F205&amp;"|"&amp;G205&amp;"|"&amp;TEXT(I205,"YYYYMMDD")&amp;"|"&amp;TEXT(L205,"0.00"))</f>
        <v/>
      </c>
      <c r="C205">
        <f>IF(I205="","",TEXT(I205,"YYYY-MM"))</f>
        <v/>
      </c>
      <c r="K205">
        <f>IF(OR(I205="",J205=""),"",J205-I205)</f>
        <v/>
      </c>
      <c r="N205">
        <f>IF(F205="","",IFERROR(VLOOKUP(F205,lst_PropTauxLookup,2,0),""))</f>
        <v/>
      </c>
      <c r="O205">
        <f>IF(F205="","",IF(ISNUMBER(IFERROR(VLOOKUP(F205,lst_PropTauxLookup,2,0),"")),"REF_PROPRIETAIRE","A_CONTROLER"))</f>
        <v/>
      </c>
      <c r="Q205">
        <f>IF(OR(L205="",N205=""),"",IFERROR((L205-IF(M205="",0,M205))*N205,0))</f>
        <v/>
      </c>
      <c r="V205">
        <f>IF(L205="","",L205-IF(M205="",0,M205)-IF(Q205="",0,Q205)-IF(T205="",0,T205))</f>
        <v/>
      </c>
      <c r="Y205">
        <f>IF(W205="IC","OUI",IF(W205="HC","OUI",IF(W205="HR","NON","A_CONTROLER")))</f>
        <v/>
      </c>
      <c r="Z205">
        <f>IF(W205="IC","OUI",IF(W205="HC","NON",IF(W205="HR","NON","A_CONTROLER")))</f>
        <v/>
      </c>
    </row>
    <row r="206">
      <c r="B206">
        <f>IF(A206="","",A206&amp;"|"&amp;D206&amp;"|"&amp;F206&amp;"|"&amp;G206&amp;"|"&amp;TEXT(I206,"YYYYMMDD")&amp;"|"&amp;TEXT(L206,"0.00"))</f>
        <v/>
      </c>
      <c r="C206">
        <f>IF(I206="","",TEXT(I206,"YYYY-MM"))</f>
        <v/>
      </c>
      <c r="K206">
        <f>IF(OR(I206="",J206=""),"",J206-I206)</f>
        <v/>
      </c>
      <c r="N206">
        <f>IF(F206="","",IFERROR(VLOOKUP(F206,lst_PropTauxLookup,2,0),""))</f>
        <v/>
      </c>
      <c r="O206">
        <f>IF(F206="","",IF(ISNUMBER(IFERROR(VLOOKUP(F206,lst_PropTauxLookup,2,0),"")),"REF_PROPRIETAIRE","A_CONTROLER"))</f>
        <v/>
      </c>
      <c r="Q206">
        <f>IF(OR(L206="",N206=""),"",IFERROR((L206-IF(M206="",0,M206))*N206,0))</f>
        <v/>
      </c>
      <c r="V206">
        <f>IF(L206="","",L206-IF(M206="",0,M206)-IF(Q206="",0,Q206)-IF(T206="",0,T206))</f>
        <v/>
      </c>
      <c r="Y206">
        <f>IF(W206="IC","OUI",IF(W206="HC","OUI",IF(W206="HR","NON","A_CONTROLER")))</f>
        <v/>
      </c>
      <c r="Z206">
        <f>IF(W206="IC","OUI",IF(W206="HC","NON",IF(W206="HR","NON","A_CONTROLER")))</f>
        <v/>
      </c>
    </row>
    <row r="207">
      <c r="B207">
        <f>IF(A207="","",A207&amp;"|"&amp;D207&amp;"|"&amp;F207&amp;"|"&amp;G207&amp;"|"&amp;TEXT(I207,"YYYYMMDD")&amp;"|"&amp;TEXT(L207,"0.00"))</f>
        <v/>
      </c>
      <c r="C207">
        <f>IF(I207="","",TEXT(I207,"YYYY-MM"))</f>
        <v/>
      </c>
      <c r="K207">
        <f>IF(OR(I207="",J207=""),"",J207-I207)</f>
        <v/>
      </c>
      <c r="N207">
        <f>IF(F207="","",IFERROR(VLOOKUP(F207,lst_PropTauxLookup,2,0),""))</f>
        <v/>
      </c>
      <c r="O207">
        <f>IF(F207="","",IF(ISNUMBER(IFERROR(VLOOKUP(F207,lst_PropTauxLookup,2,0),"")),"REF_PROPRIETAIRE","A_CONTROLER"))</f>
        <v/>
      </c>
      <c r="Q207">
        <f>IF(OR(L207="",N207=""),"",IFERROR((L207-IF(M207="",0,M207))*N207,0))</f>
        <v/>
      </c>
      <c r="V207">
        <f>IF(L207="","",L207-IF(M207="",0,M207)-IF(Q207="",0,Q207)-IF(T207="",0,T207))</f>
        <v/>
      </c>
      <c r="Y207">
        <f>IF(W207="IC","OUI",IF(W207="HC","OUI",IF(W207="HR","NON","A_CONTROLER")))</f>
        <v/>
      </c>
      <c r="Z207">
        <f>IF(W207="IC","OUI",IF(W207="HC","NON",IF(W207="HR","NON","A_CONTROLER")))</f>
        <v/>
      </c>
    </row>
    <row r="208">
      <c r="B208">
        <f>IF(A208="","",A208&amp;"|"&amp;D208&amp;"|"&amp;F208&amp;"|"&amp;G208&amp;"|"&amp;TEXT(I208,"YYYYMMDD")&amp;"|"&amp;TEXT(L208,"0.00"))</f>
        <v/>
      </c>
      <c r="C208">
        <f>IF(I208="","",TEXT(I208,"YYYY-MM"))</f>
        <v/>
      </c>
      <c r="K208">
        <f>IF(OR(I208="",J208=""),"",J208-I208)</f>
        <v/>
      </c>
      <c r="N208">
        <f>IF(F208="","",IFERROR(VLOOKUP(F208,lst_PropTauxLookup,2,0),""))</f>
        <v/>
      </c>
      <c r="O208">
        <f>IF(F208="","",IF(ISNUMBER(IFERROR(VLOOKUP(F208,lst_PropTauxLookup,2,0),"")),"REF_PROPRIETAIRE","A_CONTROLER"))</f>
        <v/>
      </c>
      <c r="Q208">
        <f>IF(OR(L208="",N208=""),"",IFERROR((L208-IF(M208="",0,M208))*N208,0))</f>
        <v/>
      </c>
      <c r="V208">
        <f>IF(L208="","",L208-IF(M208="",0,M208)-IF(Q208="",0,Q208)-IF(T208="",0,T208))</f>
        <v/>
      </c>
      <c r="Y208">
        <f>IF(W208="IC","OUI",IF(W208="HC","OUI",IF(W208="HR","NON","A_CONTROLER")))</f>
        <v/>
      </c>
      <c r="Z208">
        <f>IF(W208="IC","OUI",IF(W208="HC","NON",IF(W208="HR","NON","A_CONTROLER")))</f>
        <v/>
      </c>
    </row>
    <row r="209">
      <c r="B209">
        <f>IF(A209="","",A209&amp;"|"&amp;D209&amp;"|"&amp;F209&amp;"|"&amp;G209&amp;"|"&amp;TEXT(I209,"YYYYMMDD")&amp;"|"&amp;TEXT(L209,"0.00"))</f>
        <v/>
      </c>
      <c r="C209">
        <f>IF(I209="","",TEXT(I209,"YYYY-MM"))</f>
        <v/>
      </c>
      <c r="K209">
        <f>IF(OR(I209="",J209=""),"",J209-I209)</f>
        <v/>
      </c>
      <c r="N209">
        <f>IF(F209="","",IFERROR(VLOOKUP(F209,lst_PropTauxLookup,2,0),""))</f>
        <v/>
      </c>
      <c r="O209">
        <f>IF(F209="","",IF(ISNUMBER(IFERROR(VLOOKUP(F209,lst_PropTauxLookup,2,0),"")),"REF_PROPRIETAIRE","A_CONTROLER"))</f>
        <v/>
      </c>
      <c r="Q209">
        <f>IF(OR(L209="",N209=""),"",IFERROR((L209-IF(M209="",0,M209))*N209,0))</f>
        <v/>
      </c>
      <c r="V209">
        <f>IF(L209="","",L209-IF(M209="",0,M209)-IF(Q209="",0,Q209)-IF(T209="",0,T209))</f>
        <v/>
      </c>
      <c r="Y209">
        <f>IF(W209="IC","OUI",IF(W209="HC","OUI",IF(W209="HR","NON","A_CONTROLER")))</f>
        <v/>
      </c>
      <c r="Z209">
        <f>IF(W209="IC","OUI",IF(W209="HC","NON",IF(W209="HR","NON","A_CONTROLER")))</f>
        <v/>
      </c>
    </row>
    <row r="210">
      <c r="B210">
        <f>IF(A210="","",A210&amp;"|"&amp;D210&amp;"|"&amp;F210&amp;"|"&amp;G210&amp;"|"&amp;TEXT(I210,"YYYYMMDD")&amp;"|"&amp;TEXT(L210,"0.00"))</f>
        <v/>
      </c>
      <c r="C210">
        <f>IF(I210="","",TEXT(I210,"YYYY-MM"))</f>
        <v/>
      </c>
      <c r="K210">
        <f>IF(OR(I210="",J210=""),"",J210-I210)</f>
        <v/>
      </c>
      <c r="N210">
        <f>IF(F210="","",IFERROR(VLOOKUP(F210,lst_PropTauxLookup,2,0),""))</f>
        <v/>
      </c>
      <c r="O210">
        <f>IF(F210="","",IF(ISNUMBER(IFERROR(VLOOKUP(F210,lst_PropTauxLookup,2,0),"")),"REF_PROPRIETAIRE","A_CONTROLER"))</f>
        <v/>
      </c>
      <c r="Q210">
        <f>IF(OR(L210="",N210=""),"",IFERROR((L210-IF(M210="",0,M210))*N210,0))</f>
        <v/>
      </c>
      <c r="V210">
        <f>IF(L210="","",L210-IF(M210="",0,M210)-IF(Q210="",0,Q210)-IF(T210="",0,T210))</f>
        <v/>
      </c>
      <c r="Y210">
        <f>IF(W210="IC","OUI",IF(W210="HC","OUI",IF(W210="HR","NON","A_CONTROLER")))</f>
        <v/>
      </c>
      <c r="Z210">
        <f>IF(W210="IC","OUI",IF(W210="HC","NON",IF(W210="HR","NON","A_CONTROLER")))</f>
        <v/>
      </c>
    </row>
    <row r="211">
      <c r="B211">
        <f>IF(A211="","",A211&amp;"|"&amp;D211&amp;"|"&amp;F211&amp;"|"&amp;G211&amp;"|"&amp;TEXT(I211,"YYYYMMDD")&amp;"|"&amp;TEXT(L211,"0.00"))</f>
        <v/>
      </c>
      <c r="C211">
        <f>IF(I211="","",TEXT(I211,"YYYY-MM"))</f>
        <v/>
      </c>
      <c r="K211">
        <f>IF(OR(I211="",J211=""),"",J211-I211)</f>
        <v/>
      </c>
      <c r="N211">
        <f>IF(F211="","",IFERROR(VLOOKUP(F211,lst_PropTauxLookup,2,0),""))</f>
        <v/>
      </c>
      <c r="O211">
        <f>IF(F211="","",IF(ISNUMBER(IFERROR(VLOOKUP(F211,lst_PropTauxLookup,2,0),"")),"REF_PROPRIETAIRE","A_CONTROLER"))</f>
        <v/>
      </c>
      <c r="Q211">
        <f>IF(OR(L211="",N211=""),"",IFERROR((L211-IF(M211="",0,M211))*N211,0))</f>
        <v/>
      </c>
      <c r="V211">
        <f>IF(L211="","",L211-IF(M211="",0,M211)-IF(Q211="",0,Q211)-IF(T211="",0,T211))</f>
        <v/>
      </c>
      <c r="Y211">
        <f>IF(W211="IC","OUI",IF(W211="HC","OUI",IF(W211="HR","NON","A_CONTROLER")))</f>
        <v/>
      </c>
      <c r="Z211">
        <f>IF(W211="IC","OUI",IF(W211="HC","NON",IF(W211="HR","NON","A_CONTROLER")))</f>
        <v/>
      </c>
    </row>
    <row r="212">
      <c r="B212">
        <f>IF(A212="","",A212&amp;"|"&amp;D212&amp;"|"&amp;F212&amp;"|"&amp;G212&amp;"|"&amp;TEXT(I212,"YYYYMMDD")&amp;"|"&amp;TEXT(L212,"0.00"))</f>
        <v/>
      </c>
      <c r="C212">
        <f>IF(I212="","",TEXT(I212,"YYYY-MM"))</f>
        <v/>
      </c>
      <c r="K212">
        <f>IF(OR(I212="",J212=""),"",J212-I212)</f>
        <v/>
      </c>
      <c r="N212">
        <f>IF(F212="","",IFERROR(VLOOKUP(F212,lst_PropTauxLookup,2,0),""))</f>
        <v/>
      </c>
      <c r="O212">
        <f>IF(F212="","",IF(ISNUMBER(IFERROR(VLOOKUP(F212,lst_PropTauxLookup,2,0),"")),"REF_PROPRIETAIRE","A_CONTROLER"))</f>
        <v/>
      </c>
      <c r="Q212">
        <f>IF(OR(L212="",N212=""),"",IFERROR((L212-IF(M212="",0,M212))*N212,0))</f>
        <v/>
      </c>
      <c r="V212">
        <f>IF(L212="","",L212-IF(M212="",0,M212)-IF(Q212="",0,Q212)-IF(T212="",0,T212))</f>
        <v/>
      </c>
      <c r="Y212">
        <f>IF(W212="IC","OUI",IF(W212="HC","OUI",IF(W212="HR","NON","A_CONTROLER")))</f>
        <v/>
      </c>
      <c r="Z212">
        <f>IF(W212="IC","OUI",IF(W212="HC","NON",IF(W212="HR","NON","A_CONTROLER")))</f>
        <v/>
      </c>
    </row>
    <row r="213">
      <c r="B213">
        <f>IF(A213="","",A213&amp;"|"&amp;D213&amp;"|"&amp;F213&amp;"|"&amp;G213&amp;"|"&amp;TEXT(I213,"YYYYMMDD")&amp;"|"&amp;TEXT(L213,"0.00"))</f>
        <v/>
      </c>
      <c r="C213">
        <f>IF(I213="","",TEXT(I213,"YYYY-MM"))</f>
        <v/>
      </c>
      <c r="K213">
        <f>IF(OR(I213="",J213=""),"",J213-I213)</f>
        <v/>
      </c>
      <c r="N213">
        <f>IF(F213="","",IFERROR(VLOOKUP(F213,lst_PropTauxLookup,2,0),""))</f>
        <v/>
      </c>
      <c r="O213">
        <f>IF(F213="","",IF(ISNUMBER(IFERROR(VLOOKUP(F213,lst_PropTauxLookup,2,0),"")),"REF_PROPRIETAIRE","A_CONTROLER"))</f>
        <v/>
      </c>
      <c r="Q213">
        <f>IF(OR(L213="",N213=""),"",IFERROR((L213-IF(M213="",0,M213))*N213,0))</f>
        <v/>
      </c>
      <c r="V213">
        <f>IF(L213="","",L213-IF(M213="",0,M213)-IF(Q213="",0,Q213)-IF(T213="",0,T213))</f>
        <v/>
      </c>
      <c r="Y213">
        <f>IF(W213="IC","OUI",IF(W213="HC","OUI",IF(W213="HR","NON","A_CONTROLER")))</f>
        <v/>
      </c>
      <c r="Z213">
        <f>IF(W213="IC","OUI",IF(W213="HC","NON",IF(W213="HR","NON","A_CONTROLER")))</f>
        <v/>
      </c>
    </row>
    <row r="214">
      <c r="B214">
        <f>IF(A214="","",A214&amp;"|"&amp;D214&amp;"|"&amp;F214&amp;"|"&amp;G214&amp;"|"&amp;TEXT(I214,"YYYYMMDD")&amp;"|"&amp;TEXT(L214,"0.00"))</f>
        <v/>
      </c>
      <c r="C214">
        <f>IF(I214="","",TEXT(I214,"YYYY-MM"))</f>
        <v/>
      </c>
      <c r="K214">
        <f>IF(OR(I214="",J214=""),"",J214-I214)</f>
        <v/>
      </c>
      <c r="N214">
        <f>IF(F214="","",IFERROR(VLOOKUP(F214,lst_PropTauxLookup,2,0),""))</f>
        <v/>
      </c>
      <c r="O214">
        <f>IF(F214="","",IF(ISNUMBER(IFERROR(VLOOKUP(F214,lst_PropTauxLookup,2,0),"")),"REF_PROPRIETAIRE","A_CONTROLER"))</f>
        <v/>
      </c>
      <c r="Q214">
        <f>IF(OR(L214="",N214=""),"",IFERROR((L214-IF(M214="",0,M214))*N214,0))</f>
        <v/>
      </c>
      <c r="V214">
        <f>IF(L214="","",L214-IF(M214="",0,M214)-IF(Q214="",0,Q214)-IF(T214="",0,T214))</f>
        <v/>
      </c>
      <c r="Y214">
        <f>IF(W214="IC","OUI",IF(W214="HC","OUI",IF(W214="HR","NON","A_CONTROLER")))</f>
        <v/>
      </c>
      <c r="Z214">
        <f>IF(W214="IC","OUI",IF(W214="HC","NON",IF(W214="HR","NON","A_CONTROLER")))</f>
        <v/>
      </c>
    </row>
    <row r="215">
      <c r="B215">
        <f>IF(A215="","",A215&amp;"|"&amp;D215&amp;"|"&amp;F215&amp;"|"&amp;G215&amp;"|"&amp;TEXT(I215,"YYYYMMDD")&amp;"|"&amp;TEXT(L215,"0.00"))</f>
        <v/>
      </c>
      <c r="C215">
        <f>IF(I215="","",TEXT(I215,"YYYY-MM"))</f>
        <v/>
      </c>
      <c r="K215">
        <f>IF(OR(I215="",J215=""),"",J215-I215)</f>
        <v/>
      </c>
      <c r="N215">
        <f>IF(F215="","",IFERROR(VLOOKUP(F215,lst_PropTauxLookup,2,0),""))</f>
        <v/>
      </c>
      <c r="O215">
        <f>IF(F215="","",IF(ISNUMBER(IFERROR(VLOOKUP(F215,lst_PropTauxLookup,2,0),"")),"REF_PROPRIETAIRE","A_CONTROLER"))</f>
        <v/>
      </c>
      <c r="Q215">
        <f>IF(OR(L215="",N215=""),"",IFERROR((L215-IF(M215="",0,M215))*N215,0))</f>
        <v/>
      </c>
      <c r="V215">
        <f>IF(L215="","",L215-IF(M215="",0,M215)-IF(Q215="",0,Q215)-IF(T215="",0,T215))</f>
        <v/>
      </c>
      <c r="Y215">
        <f>IF(W215="IC","OUI",IF(W215="HC","OUI",IF(W215="HR","NON","A_CONTROLER")))</f>
        <v/>
      </c>
      <c r="Z215">
        <f>IF(W215="IC","OUI",IF(W215="HC","NON",IF(W215="HR","NON","A_CONTROLER")))</f>
        <v/>
      </c>
    </row>
    <row r="216">
      <c r="B216">
        <f>IF(A216="","",A216&amp;"|"&amp;D216&amp;"|"&amp;F216&amp;"|"&amp;G216&amp;"|"&amp;TEXT(I216,"YYYYMMDD")&amp;"|"&amp;TEXT(L216,"0.00"))</f>
        <v/>
      </c>
      <c r="C216">
        <f>IF(I216="","",TEXT(I216,"YYYY-MM"))</f>
        <v/>
      </c>
      <c r="K216">
        <f>IF(OR(I216="",J216=""),"",J216-I216)</f>
        <v/>
      </c>
      <c r="N216">
        <f>IF(F216="","",IFERROR(VLOOKUP(F216,lst_PropTauxLookup,2,0),""))</f>
        <v/>
      </c>
      <c r="O216">
        <f>IF(F216="","",IF(ISNUMBER(IFERROR(VLOOKUP(F216,lst_PropTauxLookup,2,0),"")),"REF_PROPRIETAIRE","A_CONTROLER"))</f>
        <v/>
      </c>
      <c r="Q216">
        <f>IF(OR(L216="",N216=""),"",IFERROR((L216-IF(M216="",0,M216))*N216,0))</f>
        <v/>
      </c>
      <c r="V216">
        <f>IF(L216="","",L216-IF(M216="",0,M216)-IF(Q216="",0,Q216)-IF(T216="",0,T216))</f>
        <v/>
      </c>
      <c r="Y216">
        <f>IF(W216="IC","OUI",IF(W216="HC","OUI",IF(W216="HR","NON","A_CONTROLER")))</f>
        <v/>
      </c>
      <c r="Z216">
        <f>IF(W216="IC","OUI",IF(W216="HC","NON",IF(W216="HR","NON","A_CONTROLER")))</f>
        <v/>
      </c>
    </row>
    <row r="217">
      <c r="B217">
        <f>IF(A217="","",A217&amp;"|"&amp;D217&amp;"|"&amp;F217&amp;"|"&amp;G217&amp;"|"&amp;TEXT(I217,"YYYYMMDD")&amp;"|"&amp;TEXT(L217,"0.00"))</f>
        <v/>
      </c>
      <c r="C217">
        <f>IF(I217="","",TEXT(I217,"YYYY-MM"))</f>
        <v/>
      </c>
      <c r="K217">
        <f>IF(OR(I217="",J217=""),"",J217-I217)</f>
        <v/>
      </c>
      <c r="N217">
        <f>IF(F217="","",IFERROR(VLOOKUP(F217,lst_PropTauxLookup,2,0),""))</f>
        <v/>
      </c>
      <c r="O217">
        <f>IF(F217="","",IF(ISNUMBER(IFERROR(VLOOKUP(F217,lst_PropTauxLookup,2,0),"")),"REF_PROPRIETAIRE","A_CONTROLER"))</f>
        <v/>
      </c>
      <c r="Q217">
        <f>IF(OR(L217="",N217=""),"",IFERROR((L217-IF(M217="",0,M217))*N217,0))</f>
        <v/>
      </c>
      <c r="V217">
        <f>IF(L217="","",L217-IF(M217="",0,M217)-IF(Q217="",0,Q217)-IF(T217="",0,T217))</f>
        <v/>
      </c>
      <c r="Y217">
        <f>IF(W217="IC","OUI",IF(W217="HC","OUI",IF(W217="HR","NON","A_CONTROLER")))</f>
        <v/>
      </c>
      <c r="Z217">
        <f>IF(W217="IC","OUI",IF(W217="HC","NON",IF(W217="HR","NON","A_CONTROLER")))</f>
        <v/>
      </c>
    </row>
    <row r="218">
      <c r="B218">
        <f>IF(A218="","",A218&amp;"|"&amp;D218&amp;"|"&amp;F218&amp;"|"&amp;G218&amp;"|"&amp;TEXT(I218,"YYYYMMDD")&amp;"|"&amp;TEXT(L218,"0.00"))</f>
        <v/>
      </c>
      <c r="C218">
        <f>IF(I218="","",TEXT(I218,"YYYY-MM"))</f>
        <v/>
      </c>
      <c r="K218">
        <f>IF(OR(I218="",J218=""),"",J218-I218)</f>
        <v/>
      </c>
      <c r="N218">
        <f>IF(F218="","",IFERROR(VLOOKUP(F218,lst_PropTauxLookup,2,0),""))</f>
        <v/>
      </c>
      <c r="O218">
        <f>IF(F218="","",IF(ISNUMBER(IFERROR(VLOOKUP(F218,lst_PropTauxLookup,2,0),"")),"REF_PROPRIETAIRE","A_CONTROLER"))</f>
        <v/>
      </c>
      <c r="Q218">
        <f>IF(OR(L218="",N218=""),"",IFERROR((L218-IF(M218="",0,M218))*N218,0))</f>
        <v/>
      </c>
      <c r="V218">
        <f>IF(L218="","",L218-IF(M218="",0,M218)-IF(Q218="",0,Q218)-IF(T218="",0,T218))</f>
        <v/>
      </c>
      <c r="Y218">
        <f>IF(W218="IC","OUI",IF(W218="HC","OUI",IF(W218="HR","NON","A_CONTROLER")))</f>
        <v/>
      </c>
      <c r="Z218">
        <f>IF(W218="IC","OUI",IF(W218="HC","NON",IF(W218="HR","NON","A_CONTROLER")))</f>
        <v/>
      </c>
    </row>
    <row r="219">
      <c r="B219">
        <f>IF(A219="","",A219&amp;"|"&amp;D219&amp;"|"&amp;F219&amp;"|"&amp;G219&amp;"|"&amp;TEXT(I219,"YYYYMMDD")&amp;"|"&amp;TEXT(L219,"0.00"))</f>
        <v/>
      </c>
      <c r="C219">
        <f>IF(I219="","",TEXT(I219,"YYYY-MM"))</f>
        <v/>
      </c>
      <c r="K219">
        <f>IF(OR(I219="",J219=""),"",J219-I219)</f>
        <v/>
      </c>
      <c r="N219">
        <f>IF(F219="","",IFERROR(VLOOKUP(F219,lst_PropTauxLookup,2,0),""))</f>
        <v/>
      </c>
      <c r="O219">
        <f>IF(F219="","",IF(ISNUMBER(IFERROR(VLOOKUP(F219,lst_PropTauxLookup,2,0),"")),"REF_PROPRIETAIRE","A_CONTROLER"))</f>
        <v/>
      </c>
      <c r="Q219">
        <f>IF(OR(L219="",N219=""),"",IFERROR((L219-IF(M219="",0,M219))*N219,0))</f>
        <v/>
      </c>
      <c r="V219">
        <f>IF(L219="","",L219-IF(M219="",0,M219)-IF(Q219="",0,Q219)-IF(T219="",0,T219))</f>
        <v/>
      </c>
      <c r="Y219">
        <f>IF(W219="IC","OUI",IF(W219="HC","OUI",IF(W219="HR","NON","A_CONTROLER")))</f>
        <v/>
      </c>
      <c r="Z219">
        <f>IF(W219="IC","OUI",IF(W219="HC","NON",IF(W219="HR","NON","A_CONTROLER")))</f>
        <v/>
      </c>
    </row>
    <row r="220">
      <c r="B220">
        <f>IF(A220="","",A220&amp;"|"&amp;D220&amp;"|"&amp;F220&amp;"|"&amp;G220&amp;"|"&amp;TEXT(I220,"YYYYMMDD")&amp;"|"&amp;TEXT(L220,"0.00"))</f>
        <v/>
      </c>
      <c r="C220">
        <f>IF(I220="","",TEXT(I220,"YYYY-MM"))</f>
        <v/>
      </c>
      <c r="K220">
        <f>IF(OR(I220="",J220=""),"",J220-I220)</f>
        <v/>
      </c>
      <c r="N220">
        <f>IF(F220="","",IFERROR(VLOOKUP(F220,lst_PropTauxLookup,2,0),""))</f>
        <v/>
      </c>
      <c r="O220">
        <f>IF(F220="","",IF(ISNUMBER(IFERROR(VLOOKUP(F220,lst_PropTauxLookup,2,0),"")),"REF_PROPRIETAIRE","A_CONTROLER"))</f>
        <v/>
      </c>
      <c r="Q220">
        <f>IF(OR(L220="",N220=""),"",IFERROR((L220-IF(M220="",0,M220))*N220,0))</f>
        <v/>
      </c>
      <c r="V220">
        <f>IF(L220="","",L220-IF(M220="",0,M220)-IF(Q220="",0,Q220)-IF(T220="",0,T220))</f>
        <v/>
      </c>
      <c r="Y220">
        <f>IF(W220="IC","OUI",IF(W220="HC","OUI",IF(W220="HR","NON","A_CONTROLER")))</f>
        <v/>
      </c>
      <c r="Z220">
        <f>IF(W220="IC","OUI",IF(W220="HC","NON",IF(W220="HR","NON","A_CONTROLER")))</f>
        <v/>
      </c>
    </row>
    <row r="221">
      <c r="B221">
        <f>IF(A221="","",A221&amp;"|"&amp;D221&amp;"|"&amp;F221&amp;"|"&amp;G221&amp;"|"&amp;TEXT(I221,"YYYYMMDD")&amp;"|"&amp;TEXT(L221,"0.00"))</f>
        <v/>
      </c>
      <c r="C221">
        <f>IF(I221="","",TEXT(I221,"YYYY-MM"))</f>
        <v/>
      </c>
      <c r="K221">
        <f>IF(OR(I221="",J221=""),"",J221-I221)</f>
        <v/>
      </c>
      <c r="N221">
        <f>IF(F221="","",IFERROR(VLOOKUP(F221,lst_PropTauxLookup,2,0),""))</f>
        <v/>
      </c>
      <c r="O221">
        <f>IF(F221="","",IF(ISNUMBER(IFERROR(VLOOKUP(F221,lst_PropTauxLookup,2,0),"")),"REF_PROPRIETAIRE","A_CONTROLER"))</f>
        <v/>
      </c>
      <c r="Q221">
        <f>IF(OR(L221="",N221=""),"",IFERROR((L221-IF(M221="",0,M221))*N221,0))</f>
        <v/>
      </c>
      <c r="V221">
        <f>IF(L221="","",L221-IF(M221="",0,M221)-IF(Q221="",0,Q221)-IF(T221="",0,T221))</f>
        <v/>
      </c>
      <c r="Y221">
        <f>IF(W221="IC","OUI",IF(W221="HC","OUI",IF(W221="HR","NON","A_CONTROLER")))</f>
        <v/>
      </c>
      <c r="Z221">
        <f>IF(W221="IC","OUI",IF(W221="HC","NON",IF(W221="HR","NON","A_CONTROLER")))</f>
        <v/>
      </c>
    </row>
    <row r="222">
      <c r="B222">
        <f>IF(A222="","",A222&amp;"|"&amp;D222&amp;"|"&amp;F222&amp;"|"&amp;G222&amp;"|"&amp;TEXT(I222,"YYYYMMDD")&amp;"|"&amp;TEXT(L222,"0.00"))</f>
        <v/>
      </c>
      <c r="C222">
        <f>IF(I222="","",TEXT(I222,"YYYY-MM"))</f>
        <v/>
      </c>
      <c r="K222">
        <f>IF(OR(I222="",J222=""),"",J222-I222)</f>
        <v/>
      </c>
      <c r="N222">
        <f>IF(F222="","",IFERROR(VLOOKUP(F222,lst_PropTauxLookup,2,0),""))</f>
        <v/>
      </c>
      <c r="O222">
        <f>IF(F222="","",IF(ISNUMBER(IFERROR(VLOOKUP(F222,lst_PropTauxLookup,2,0),"")),"REF_PROPRIETAIRE","A_CONTROLER"))</f>
        <v/>
      </c>
      <c r="Q222">
        <f>IF(OR(L222="",N222=""),"",IFERROR((L222-IF(M222="",0,M222))*N222,0))</f>
        <v/>
      </c>
      <c r="V222">
        <f>IF(L222="","",L222-IF(M222="",0,M222)-IF(Q222="",0,Q222)-IF(T222="",0,T222))</f>
        <v/>
      </c>
      <c r="Y222">
        <f>IF(W222="IC","OUI",IF(W222="HC","OUI",IF(W222="HR","NON","A_CONTROLER")))</f>
        <v/>
      </c>
      <c r="Z222">
        <f>IF(W222="IC","OUI",IF(W222="HC","NON",IF(W222="HR","NON","A_CONTROLER")))</f>
        <v/>
      </c>
    </row>
    <row r="223">
      <c r="B223">
        <f>IF(A223="","",A223&amp;"|"&amp;D223&amp;"|"&amp;F223&amp;"|"&amp;G223&amp;"|"&amp;TEXT(I223,"YYYYMMDD")&amp;"|"&amp;TEXT(L223,"0.00"))</f>
        <v/>
      </c>
      <c r="C223">
        <f>IF(I223="","",TEXT(I223,"YYYY-MM"))</f>
        <v/>
      </c>
      <c r="K223">
        <f>IF(OR(I223="",J223=""),"",J223-I223)</f>
        <v/>
      </c>
      <c r="N223">
        <f>IF(F223="","",IFERROR(VLOOKUP(F223,lst_PropTauxLookup,2,0),""))</f>
        <v/>
      </c>
      <c r="O223">
        <f>IF(F223="","",IF(ISNUMBER(IFERROR(VLOOKUP(F223,lst_PropTauxLookup,2,0),"")),"REF_PROPRIETAIRE","A_CONTROLER"))</f>
        <v/>
      </c>
      <c r="Q223">
        <f>IF(OR(L223="",N223=""),"",IFERROR((L223-IF(M223="",0,M223))*N223,0))</f>
        <v/>
      </c>
      <c r="V223">
        <f>IF(L223="","",L223-IF(M223="",0,M223)-IF(Q223="",0,Q223)-IF(T223="",0,T223))</f>
        <v/>
      </c>
      <c r="Y223">
        <f>IF(W223="IC","OUI",IF(W223="HC","OUI",IF(W223="HR","NON","A_CONTROLER")))</f>
        <v/>
      </c>
      <c r="Z223">
        <f>IF(W223="IC","OUI",IF(W223="HC","NON",IF(W223="HR","NON","A_CONTROLER")))</f>
        <v/>
      </c>
    </row>
    <row r="224">
      <c r="B224">
        <f>IF(A224="","",A224&amp;"|"&amp;D224&amp;"|"&amp;F224&amp;"|"&amp;G224&amp;"|"&amp;TEXT(I224,"YYYYMMDD")&amp;"|"&amp;TEXT(L224,"0.00"))</f>
        <v/>
      </c>
      <c r="C224">
        <f>IF(I224="","",TEXT(I224,"YYYY-MM"))</f>
        <v/>
      </c>
      <c r="K224">
        <f>IF(OR(I224="",J224=""),"",J224-I224)</f>
        <v/>
      </c>
      <c r="N224">
        <f>IF(F224="","",IFERROR(VLOOKUP(F224,lst_PropTauxLookup,2,0),""))</f>
        <v/>
      </c>
      <c r="O224">
        <f>IF(F224="","",IF(ISNUMBER(IFERROR(VLOOKUP(F224,lst_PropTauxLookup,2,0),"")),"REF_PROPRIETAIRE","A_CONTROLER"))</f>
        <v/>
      </c>
      <c r="Q224">
        <f>IF(OR(L224="",N224=""),"",IFERROR((L224-IF(M224="",0,M224))*N224,0))</f>
        <v/>
      </c>
      <c r="V224">
        <f>IF(L224="","",L224-IF(M224="",0,M224)-IF(Q224="",0,Q224)-IF(T224="",0,T224))</f>
        <v/>
      </c>
      <c r="Y224">
        <f>IF(W224="IC","OUI",IF(W224="HC","OUI",IF(W224="HR","NON","A_CONTROLER")))</f>
        <v/>
      </c>
      <c r="Z224">
        <f>IF(W224="IC","OUI",IF(W224="HC","NON",IF(W224="HR","NON","A_CONTROLER")))</f>
        <v/>
      </c>
    </row>
    <row r="225">
      <c r="B225">
        <f>IF(A225="","",A225&amp;"|"&amp;D225&amp;"|"&amp;F225&amp;"|"&amp;G225&amp;"|"&amp;TEXT(I225,"YYYYMMDD")&amp;"|"&amp;TEXT(L225,"0.00"))</f>
        <v/>
      </c>
      <c r="C225">
        <f>IF(I225="","",TEXT(I225,"YYYY-MM"))</f>
        <v/>
      </c>
      <c r="K225">
        <f>IF(OR(I225="",J225=""),"",J225-I225)</f>
        <v/>
      </c>
      <c r="N225">
        <f>IF(F225="","",IFERROR(VLOOKUP(F225,lst_PropTauxLookup,2,0),""))</f>
        <v/>
      </c>
      <c r="O225">
        <f>IF(F225="","",IF(ISNUMBER(IFERROR(VLOOKUP(F225,lst_PropTauxLookup,2,0),"")),"REF_PROPRIETAIRE","A_CONTROLER"))</f>
        <v/>
      </c>
      <c r="Q225">
        <f>IF(OR(L225="",N225=""),"",IFERROR((L225-IF(M225="",0,M225))*N225,0))</f>
        <v/>
      </c>
      <c r="V225">
        <f>IF(L225="","",L225-IF(M225="",0,M225)-IF(Q225="",0,Q225)-IF(T225="",0,T225))</f>
        <v/>
      </c>
      <c r="Y225">
        <f>IF(W225="IC","OUI",IF(W225="HC","OUI",IF(W225="HR","NON","A_CONTROLER")))</f>
        <v/>
      </c>
      <c r="Z225">
        <f>IF(W225="IC","OUI",IF(W225="HC","NON",IF(W225="HR","NON","A_CONTROLER")))</f>
        <v/>
      </c>
    </row>
    <row r="226">
      <c r="B226">
        <f>IF(A226="","",A226&amp;"|"&amp;D226&amp;"|"&amp;F226&amp;"|"&amp;G226&amp;"|"&amp;TEXT(I226,"YYYYMMDD")&amp;"|"&amp;TEXT(L226,"0.00"))</f>
        <v/>
      </c>
      <c r="C226">
        <f>IF(I226="","",TEXT(I226,"YYYY-MM"))</f>
        <v/>
      </c>
      <c r="K226">
        <f>IF(OR(I226="",J226=""),"",J226-I226)</f>
        <v/>
      </c>
      <c r="N226">
        <f>IF(F226="","",IFERROR(VLOOKUP(F226,lst_PropTauxLookup,2,0),""))</f>
        <v/>
      </c>
      <c r="O226">
        <f>IF(F226="","",IF(ISNUMBER(IFERROR(VLOOKUP(F226,lst_PropTauxLookup,2,0),"")),"REF_PROPRIETAIRE","A_CONTROLER"))</f>
        <v/>
      </c>
      <c r="Q226">
        <f>IF(OR(L226="",N226=""),"",IFERROR((L226-IF(M226="",0,M226))*N226,0))</f>
        <v/>
      </c>
      <c r="V226">
        <f>IF(L226="","",L226-IF(M226="",0,M226)-IF(Q226="",0,Q226)-IF(T226="",0,T226))</f>
        <v/>
      </c>
      <c r="Y226">
        <f>IF(W226="IC","OUI",IF(W226="HC","OUI",IF(W226="HR","NON","A_CONTROLER")))</f>
        <v/>
      </c>
      <c r="Z226">
        <f>IF(W226="IC","OUI",IF(W226="HC","NON",IF(W226="HR","NON","A_CONTROLER")))</f>
        <v/>
      </c>
    </row>
    <row r="227">
      <c r="B227">
        <f>IF(A227="","",A227&amp;"|"&amp;D227&amp;"|"&amp;F227&amp;"|"&amp;G227&amp;"|"&amp;TEXT(I227,"YYYYMMDD")&amp;"|"&amp;TEXT(L227,"0.00"))</f>
        <v/>
      </c>
      <c r="C227">
        <f>IF(I227="","",TEXT(I227,"YYYY-MM"))</f>
        <v/>
      </c>
      <c r="K227">
        <f>IF(OR(I227="",J227=""),"",J227-I227)</f>
        <v/>
      </c>
      <c r="N227">
        <f>IF(F227="","",IFERROR(VLOOKUP(F227,lst_PropTauxLookup,2,0),""))</f>
        <v/>
      </c>
      <c r="O227">
        <f>IF(F227="","",IF(ISNUMBER(IFERROR(VLOOKUP(F227,lst_PropTauxLookup,2,0),"")),"REF_PROPRIETAIRE","A_CONTROLER"))</f>
        <v/>
      </c>
      <c r="Q227">
        <f>IF(OR(L227="",N227=""),"",IFERROR((L227-IF(M227="",0,M227))*N227,0))</f>
        <v/>
      </c>
      <c r="V227">
        <f>IF(L227="","",L227-IF(M227="",0,M227)-IF(Q227="",0,Q227)-IF(T227="",0,T227))</f>
        <v/>
      </c>
      <c r="Y227">
        <f>IF(W227="IC","OUI",IF(W227="HC","OUI",IF(W227="HR","NON","A_CONTROLER")))</f>
        <v/>
      </c>
      <c r="Z227">
        <f>IF(W227="IC","OUI",IF(W227="HC","NON",IF(W227="HR","NON","A_CONTROLER")))</f>
        <v/>
      </c>
    </row>
    <row r="228">
      <c r="B228">
        <f>IF(A228="","",A228&amp;"|"&amp;D228&amp;"|"&amp;F228&amp;"|"&amp;G228&amp;"|"&amp;TEXT(I228,"YYYYMMDD")&amp;"|"&amp;TEXT(L228,"0.00"))</f>
        <v/>
      </c>
      <c r="C228">
        <f>IF(I228="","",TEXT(I228,"YYYY-MM"))</f>
        <v/>
      </c>
      <c r="K228">
        <f>IF(OR(I228="",J228=""),"",J228-I228)</f>
        <v/>
      </c>
      <c r="N228">
        <f>IF(F228="","",IFERROR(VLOOKUP(F228,lst_PropTauxLookup,2,0),""))</f>
        <v/>
      </c>
      <c r="O228">
        <f>IF(F228="","",IF(ISNUMBER(IFERROR(VLOOKUP(F228,lst_PropTauxLookup,2,0),"")),"REF_PROPRIETAIRE","A_CONTROLER"))</f>
        <v/>
      </c>
      <c r="Q228">
        <f>IF(OR(L228="",N228=""),"",IFERROR((L228-IF(M228="",0,M228))*N228,0))</f>
        <v/>
      </c>
      <c r="V228">
        <f>IF(L228="","",L228-IF(M228="",0,M228)-IF(Q228="",0,Q228)-IF(T228="",0,T228))</f>
        <v/>
      </c>
      <c r="Y228">
        <f>IF(W228="IC","OUI",IF(W228="HC","OUI",IF(W228="HR","NON","A_CONTROLER")))</f>
        <v/>
      </c>
      <c r="Z228">
        <f>IF(W228="IC","OUI",IF(W228="HC","NON",IF(W228="HR","NON","A_CONTROLER")))</f>
        <v/>
      </c>
    </row>
    <row r="229">
      <c r="B229">
        <f>IF(A229="","",A229&amp;"|"&amp;D229&amp;"|"&amp;F229&amp;"|"&amp;G229&amp;"|"&amp;TEXT(I229,"YYYYMMDD")&amp;"|"&amp;TEXT(L229,"0.00"))</f>
        <v/>
      </c>
      <c r="C229">
        <f>IF(I229="","",TEXT(I229,"YYYY-MM"))</f>
        <v/>
      </c>
      <c r="K229">
        <f>IF(OR(I229="",J229=""),"",J229-I229)</f>
        <v/>
      </c>
      <c r="N229">
        <f>IF(F229="","",IFERROR(VLOOKUP(F229,lst_PropTauxLookup,2,0),""))</f>
        <v/>
      </c>
      <c r="O229">
        <f>IF(F229="","",IF(ISNUMBER(IFERROR(VLOOKUP(F229,lst_PropTauxLookup,2,0),"")),"REF_PROPRIETAIRE","A_CONTROLER"))</f>
        <v/>
      </c>
      <c r="Q229">
        <f>IF(OR(L229="",N229=""),"",IFERROR((L229-IF(M229="",0,M229))*N229,0))</f>
        <v/>
      </c>
      <c r="V229">
        <f>IF(L229="","",L229-IF(M229="",0,M229)-IF(Q229="",0,Q229)-IF(T229="",0,T229))</f>
        <v/>
      </c>
      <c r="Y229">
        <f>IF(W229="IC","OUI",IF(W229="HC","OUI",IF(W229="HR","NON","A_CONTROLER")))</f>
        <v/>
      </c>
      <c r="Z229">
        <f>IF(W229="IC","OUI",IF(W229="HC","NON",IF(W229="HR","NON","A_CONTROLER")))</f>
        <v/>
      </c>
    </row>
    <row r="230">
      <c r="B230">
        <f>IF(A230="","",A230&amp;"|"&amp;D230&amp;"|"&amp;F230&amp;"|"&amp;G230&amp;"|"&amp;TEXT(I230,"YYYYMMDD")&amp;"|"&amp;TEXT(L230,"0.00"))</f>
        <v/>
      </c>
      <c r="C230">
        <f>IF(I230="","",TEXT(I230,"YYYY-MM"))</f>
        <v/>
      </c>
      <c r="K230">
        <f>IF(OR(I230="",J230=""),"",J230-I230)</f>
        <v/>
      </c>
      <c r="N230">
        <f>IF(F230="","",IFERROR(VLOOKUP(F230,lst_PropTauxLookup,2,0),""))</f>
        <v/>
      </c>
      <c r="O230">
        <f>IF(F230="","",IF(ISNUMBER(IFERROR(VLOOKUP(F230,lst_PropTauxLookup,2,0),"")),"REF_PROPRIETAIRE","A_CONTROLER"))</f>
        <v/>
      </c>
      <c r="Q230">
        <f>IF(OR(L230="",N230=""),"",IFERROR((L230-IF(M230="",0,M230))*N230,0))</f>
        <v/>
      </c>
      <c r="V230">
        <f>IF(L230="","",L230-IF(M230="",0,M230)-IF(Q230="",0,Q230)-IF(T230="",0,T230))</f>
        <v/>
      </c>
      <c r="Y230">
        <f>IF(W230="IC","OUI",IF(W230="HC","OUI",IF(W230="HR","NON","A_CONTROLER")))</f>
        <v/>
      </c>
      <c r="Z230">
        <f>IF(W230="IC","OUI",IF(W230="HC","NON",IF(W230="HR","NON","A_CONTROLER")))</f>
        <v/>
      </c>
    </row>
    <row r="231">
      <c r="B231">
        <f>IF(A231="","",A231&amp;"|"&amp;D231&amp;"|"&amp;F231&amp;"|"&amp;G231&amp;"|"&amp;TEXT(I231,"YYYYMMDD")&amp;"|"&amp;TEXT(L231,"0.00"))</f>
        <v/>
      </c>
      <c r="C231">
        <f>IF(I231="","",TEXT(I231,"YYYY-MM"))</f>
        <v/>
      </c>
      <c r="K231">
        <f>IF(OR(I231="",J231=""),"",J231-I231)</f>
        <v/>
      </c>
      <c r="N231">
        <f>IF(F231="","",IFERROR(VLOOKUP(F231,lst_PropTauxLookup,2,0),""))</f>
        <v/>
      </c>
      <c r="O231">
        <f>IF(F231="","",IF(ISNUMBER(IFERROR(VLOOKUP(F231,lst_PropTauxLookup,2,0),"")),"REF_PROPRIETAIRE","A_CONTROLER"))</f>
        <v/>
      </c>
      <c r="Q231">
        <f>IF(OR(L231="",N231=""),"",IFERROR((L231-IF(M231="",0,M231))*N231,0))</f>
        <v/>
      </c>
      <c r="V231">
        <f>IF(L231="","",L231-IF(M231="",0,M231)-IF(Q231="",0,Q231)-IF(T231="",0,T231))</f>
        <v/>
      </c>
      <c r="Y231">
        <f>IF(W231="IC","OUI",IF(W231="HC","OUI",IF(W231="HR","NON","A_CONTROLER")))</f>
        <v/>
      </c>
      <c r="Z231">
        <f>IF(W231="IC","OUI",IF(W231="HC","NON",IF(W231="HR","NON","A_CONTROLER")))</f>
        <v/>
      </c>
    </row>
    <row r="232">
      <c r="B232">
        <f>IF(A232="","",A232&amp;"|"&amp;D232&amp;"|"&amp;F232&amp;"|"&amp;G232&amp;"|"&amp;TEXT(I232,"YYYYMMDD")&amp;"|"&amp;TEXT(L232,"0.00"))</f>
        <v/>
      </c>
      <c r="C232">
        <f>IF(I232="","",TEXT(I232,"YYYY-MM"))</f>
        <v/>
      </c>
      <c r="K232">
        <f>IF(OR(I232="",J232=""),"",J232-I232)</f>
        <v/>
      </c>
      <c r="N232">
        <f>IF(F232="","",IFERROR(VLOOKUP(F232,lst_PropTauxLookup,2,0),""))</f>
        <v/>
      </c>
      <c r="O232">
        <f>IF(F232="","",IF(ISNUMBER(IFERROR(VLOOKUP(F232,lst_PropTauxLookup,2,0),"")),"REF_PROPRIETAIRE","A_CONTROLER"))</f>
        <v/>
      </c>
      <c r="Q232">
        <f>IF(OR(L232="",N232=""),"",IFERROR((L232-IF(M232="",0,M232))*N232,0))</f>
        <v/>
      </c>
      <c r="V232">
        <f>IF(L232="","",L232-IF(M232="",0,M232)-IF(Q232="",0,Q232)-IF(T232="",0,T232))</f>
        <v/>
      </c>
      <c r="Y232">
        <f>IF(W232="IC","OUI",IF(W232="HC","OUI",IF(W232="HR","NON","A_CONTROLER")))</f>
        <v/>
      </c>
      <c r="Z232">
        <f>IF(W232="IC","OUI",IF(W232="HC","NON",IF(W232="HR","NON","A_CONTROLER")))</f>
        <v/>
      </c>
    </row>
    <row r="233">
      <c r="B233">
        <f>IF(A233="","",A233&amp;"|"&amp;D233&amp;"|"&amp;F233&amp;"|"&amp;G233&amp;"|"&amp;TEXT(I233,"YYYYMMDD")&amp;"|"&amp;TEXT(L233,"0.00"))</f>
        <v/>
      </c>
      <c r="C233">
        <f>IF(I233="","",TEXT(I233,"YYYY-MM"))</f>
        <v/>
      </c>
      <c r="K233">
        <f>IF(OR(I233="",J233=""),"",J233-I233)</f>
        <v/>
      </c>
      <c r="N233">
        <f>IF(F233="","",IFERROR(VLOOKUP(F233,lst_PropTauxLookup,2,0),""))</f>
        <v/>
      </c>
      <c r="O233">
        <f>IF(F233="","",IF(ISNUMBER(IFERROR(VLOOKUP(F233,lst_PropTauxLookup,2,0),"")),"REF_PROPRIETAIRE","A_CONTROLER"))</f>
        <v/>
      </c>
      <c r="Q233">
        <f>IF(OR(L233="",N233=""),"",IFERROR((L233-IF(M233="",0,M233))*N233,0))</f>
        <v/>
      </c>
      <c r="V233">
        <f>IF(L233="","",L233-IF(M233="",0,M233)-IF(Q233="",0,Q233)-IF(T233="",0,T233))</f>
        <v/>
      </c>
      <c r="Y233">
        <f>IF(W233="IC","OUI",IF(W233="HC","OUI",IF(W233="HR","NON","A_CONTROLER")))</f>
        <v/>
      </c>
      <c r="Z233">
        <f>IF(W233="IC","OUI",IF(W233="HC","NON",IF(W233="HR","NON","A_CONTROLER")))</f>
        <v/>
      </c>
    </row>
    <row r="234">
      <c r="B234">
        <f>IF(A234="","",A234&amp;"|"&amp;D234&amp;"|"&amp;F234&amp;"|"&amp;G234&amp;"|"&amp;TEXT(I234,"YYYYMMDD")&amp;"|"&amp;TEXT(L234,"0.00"))</f>
        <v/>
      </c>
      <c r="C234">
        <f>IF(I234="","",TEXT(I234,"YYYY-MM"))</f>
        <v/>
      </c>
      <c r="K234">
        <f>IF(OR(I234="",J234=""),"",J234-I234)</f>
        <v/>
      </c>
      <c r="N234">
        <f>IF(F234="","",IFERROR(VLOOKUP(F234,lst_PropTauxLookup,2,0),""))</f>
        <v/>
      </c>
      <c r="O234">
        <f>IF(F234="","",IF(ISNUMBER(IFERROR(VLOOKUP(F234,lst_PropTauxLookup,2,0),"")),"REF_PROPRIETAIRE","A_CONTROLER"))</f>
        <v/>
      </c>
      <c r="Q234">
        <f>IF(OR(L234="",N234=""),"",IFERROR((L234-IF(M234="",0,M234))*N234,0))</f>
        <v/>
      </c>
      <c r="V234">
        <f>IF(L234="","",L234-IF(M234="",0,M234)-IF(Q234="",0,Q234)-IF(T234="",0,T234))</f>
        <v/>
      </c>
      <c r="Y234">
        <f>IF(W234="IC","OUI",IF(W234="HC","OUI",IF(W234="HR","NON","A_CONTROLER")))</f>
        <v/>
      </c>
      <c r="Z234">
        <f>IF(W234="IC","OUI",IF(W234="HC","NON",IF(W234="HR","NON","A_CONTROLER")))</f>
        <v/>
      </c>
    </row>
    <row r="235">
      <c r="B235">
        <f>IF(A235="","",A235&amp;"|"&amp;D235&amp;"|"&amp;F235&amp;"|"&amp;G235&amp;"|"&amp;TEXT(I235,"YYYYMMDD")&amp;"|"&amp;TEXT(L235,"0.00"))</f>
        <v/>
      </c>
      <c r="C235">
        <f>IF(I235="","",TEXT(I235,"YYYY-MM"))</f>
        <v/>
      </c>
      <c r="K235">
        <f>IF(OR(I235="",J235=""),"",J235-I235)</f>
        <v/>
      </c>
      <c r="N235">
        <f>IF(F235="","",IFERROR(VLOOKUP(F235,lst_PropTauxLookup,2,0),""))</f>
        <v/>
      </c>
      <c r="O235">
        <f>IF(F235="","",IF(ISNUMBER(IFERROR(VLOOKUP(F235,lst_PropTauxLookup,2,0),"")),"REF_PROPRIETAIRE","A_CONTROLER"))</f>
        <v/>
      </c>
      <c r="Q235">
        <f>IF(OR(L235="",N235=""),"",IFERROR((L235-IF(M235="",0,M235))*N235,0))</f>
        <v/>
      </c>
      <c r="V235">
        <f>IF(L235="","",L235-IF(M235="",0,M235)-IF(Q235="",0,Q235)-IF(T235="",0,T235))</f>
        <v/>
      </c>
      <c r="Y235">
        <f>IF(W235="IC","OUI",IF(W235="HC","OUI",IF(W235="HR","NON","A_CONTROLER")))</f>
        <v/>
      </c>
      <c r="Z235">
        <f>IF(W235="IC","OUI",IF(W235="HC","NON",IF(W235="HR","NON","A_CONTROLER")))</f>
        <v/>
      </c>
    </row>
    <row r="236">
      <c r="B236">
        <f>IF(A236="","",A236&amp;"|"&amp;D236&amp;"|"&amp;F236&amp;"|"&amp;G236&amp;"|"&amp;TEXT(I236,"YYYYMMDD")&amp;"|"&amp;TEXT(L236,"0.00"))</f>
        <v/>
      </c>
      <c r="C236">
        <f>IF(I236="","",TEXT(I236,"YYYY-MM"))</f>
        <v/>
      </c>
      <c r="K236">
        <f>IF(OR(I236="",J236=""),"",J236-I236)</f>
        <v/>
      </c>
      <c r="N236">
        <f>IF(F236="","",IFERROR(VLOOKUP(F236,lst_PropTauxLookup,2,0),""))</f>
        <v/>
      </c>
      <c r="O236">
        <f>IF(F236="","",IF(ISNUMBER(IFERROR(VLOOKUP(F236,lst_PropTauxLookup,2,0),"")),"REF_PROPRIETAIRE","A_CONTROLER"))</f>
        <v/>
      </c>
      <c r="Q236">
        <f>IF(OR(L236="",N236=""),"",IFERROR((L236-IF(M236="",0,M236))*N236,0))</f>
        <v/>
      </c>
      <c r="V236">
        <f>IF(L236="","",L236-IF(M236="",0,M236)-IF(Q236="",0,Q236)-IF(T236="",0,T236))</f>
        <v/>
      </c>
      <c r="Y236">
        <f>IF(W236="IC","OUI",IF(W236="HC","OUI",IF(W236="HR","NON","A_CONTROLER")))</f>
        <v/>
      </c>
      <c r="Z236">
        <f>IF(W236="IC","OUI",IF(W236="HC","NON",IF(W236="HR","NON","A_CONTROLER")))</f>
        <v/>
      </c>
    </row>
    <row r="237">
      <c r="B237">
        <f>IF(A237="","",A237&amp;"|"&amp;D237&amp;"|"&amp;F237&amp;"|"&amp;G237&amp;"|"&amp;TEXT(I237,"YYYYMMDD")&amp;"|"&amp;TEXT(L237,"0.00"))</f>
        <v/>
      </c>
      <c r="C237">
        <f>IF(I237="","",TEXT(I237,"YYYY-MM"))</f>
        <v/>
      </c>
      <c r="K237">
        <f>IF(OR(I237="",J237=""),"",J237-I237)</f>
        <v/>
      </c>
      <c r="N237">
        <f>IF(F237="","",IFERROR(VLOOKUP(F237,lst_PropTauxLookup,2,0),""))</f>
        <v/>
      </c>
      <c r="O237">
        <f>IF(F237="","",IF(ISNUMBER(IFERROR(VLOOKUP(F237,lst_PropTauxLookup,2,0),"")),"REF_PROPRIETAIRE","A_CONTROLER"))</f>
        <v/>
      </c>
      <c r="Q237">
        <f>IF(OR(L237="",N237=""),"",IFERROR((L237-IF(M237="",0,M237))*N237,0))</f>
        <v/>
      </c>
      <c r="V237">
        <f>IF(L237="","",L237-IF(M237="",0,M237)-IF(Q237="",0,Q237)-IF(T237="",0,T237))</f>
        <v/>
      </c>
      <c r="Y237">
        <f>IF(W237="IC","OUI",IF(W237="HC","OUI",IF(W237="HR","NON","A_CONTROLER")))</f>
        <v/>
      </c>
      <c r="Z237">
        <f>IF(W237="IC","OUI",IF(W237="HC","NON",IF(W237="HR","NON","A_CONTROLER")))</f>
        <v/>
      </c>
    </row>
    <row r="238">
      <c r="B238">
        <f>IF(A238="","",A238&amp;"|"&amp;D238&amp;"|"&amp;F238&amp;"|"&amp;G238&amp;"|"&amp;TEXT(I238,"YYYYMMDD")&amp;"|"&amp;TEXT(L238,"0.00"))</f>
        <v/>
      </c>
      <c r="C238">
        <f>IF(I238="","",TEXT(I238,"YYYY-MM"))</f>
        <v/>
      </c>
      <c r="K238">
        <f>IF(OR(I238="",J238=""),"",J238-I238)</f>
        <v/>
      </c>
      <c r="N238">
        <f>IF(F238="","",IFERROR(VLOOKUP(F238,lst_PropTauxLookup,2,0),""))</f>
        <v/>
      </c>
      <c r="O238">
        <f>IF(F238="","",IF(ISNUMBER(IFERROR(VLOOKUP(F238,lst_PropTauxLookup,2,0),"")),"REF_PROPRIETAIRE","A_CONTROLER"))</f>
        <v/>
      </c>
      <c r="Q238">
        <f>IF(OR(L238="",N238=""),"",IFERROR((L238-IF(M238="",0,M238))*N238,0))</f>
        <v/>
      </c>
      <c r="V238">
        <f>IF(L238="","",L238-IF(M238="",0,M238)-IF(Q238="",0,Q238)-IF(T238="",0,T238))</f>
        <v/>
      </c>
      <c r="Y238">
        <f>IF(W238="IC","OUI",IF(W238="HC","OUI",IF(W238="HR","NON","A_CONTROLER")))</f>
        <v/>
      </c>
      <c r="Z238">
        <f>IF(W238="IC","OUI",IF(W238="HC","NON",IF(W238="HR","NON","A_CONTROLER")))</f>
        <v/>
      </c>
    </row>
    <row r="239">
      <c r="B239">
        <f>IF(A239="","",A239&amp;"|"&amp;D239&amp;"|"&amp;F239&amp;"|"&amp;G239&amp;"|"&amp;TEXT(I239,"YYYYMMDD")&amp;"|"&amp;TEXT(L239,"0.00"))</f>
        <v/>
      </c>
      <c r="C239">
        <f>IF(I239="","",TEXT(I239,"YYYY-MM"))</f>
        <v/>
      </c>
      <c r="K239">
        <f>IF(OR(I239="",J239=""),"",J239-I239)</f>
        <v/>
      </c>
      <c r="N239">
        <f>IF(F239="","",IFERROR(VLOOKUP(F239,lst_PropTauxLookup,2,0),""))</f>
        <v/>
      </c>
      <c r="O239">
        <f>IF(F239="","",IF(ISNUMBER(IFERROR(VLOOKUP(F239,lst_PropTauxLookup,2,0),"")),"REF_PROPRIETAIRE","A_CONTROLER"))</f>
        <v/>
      </c>
      <c r="Q239">
        <f>IF(OR(L239="",N239=""),"",IFERROR((L239-IF(M239="",0,M239))*N239,0))</f>
        <v/>
      </c>
      <c r="V239">
        <f>IF(L239="","",L239-IF(M239="",0,M239)-IF(Q239="",0,Q239)-IF(T239="",0,T239))</f>
        <v/>
      </c>
      <c r="Y239">
        <f>IF(W239="IC","OUI",IF(W239="HC","OUI",IF(W239="HR","NON","A_CONTROLER")))</f>
        <v/>
      </c>
      <c r="Z239">
        <f>IF(W239="IC","OUI",IF(W239="HC","NON",IF(W239="HR","NON","A_CONTROLER")))</f>
        <v/>
      </c>
    </row>
    <row r="240">
      <c r="B240">
        <f>IF(A240="","",A240&amp;"|"&amp;D240&amp;"|"&amp;F240&amp;"|"&amp;G240&amp;"|"&amp;TEXT(I240,"YYYYMMDD")&amp;"|"&amp;TEXT(L240,"0.00"))</f>
        <v/>
      </c>
      <c r="C240">
        <f>IF(I240="","",TEXT(I240,"YYYY-MM"))</f>
        <v/>
      </c>
      <c r="K240">
        <f>IF(OR(I240="",J240=""),"",J240-I240)</f>
        <v/>
      </c>
      <c r="N240">
        <f>IF(F240="","",IFERROR(VLOOKUP(F240,lst_PropTauxLookup,2,0),""))</f>
        <v/>
      </c>
      <c r="O240">
        <f>IF(F240="","",IF(ISNUMBER(IFERROR(VLOOKUP(F240,lst_PropTauxLookup,2,0),"")),"REF_PROPRIETAIRE","A_CONTROLER"))</f>
        <v/>
      </c>
      <c r="Q240">
        <f>IF(OR(L240="",N240=""),"",IFERROR((L240-IF(M240="",0,M240))*N240,0))</f>
        <v/>
      </c>
      <c r="V240">
        <f>IF(L240="","",L240-IF(M240="",0,M240)-IF(Q240="",0,Q240)-IF(T240="",0,T240))</f>
        <v/>
      </c>
      <c r="Y240">
        <f>IF(W240="IC","OUI",IF(W240="HC","OUI",IF(W240="HR","NON","A_CONTROLER")))</f>
        <v/>
      </c>
      <c r="Z240">
        <f>IF(W240="IC","OUI",IF(W240="HC","NON",IF(W240="HR","NON","A_CONTROLER")))</f>
        <v/>
      </c>
    </row>
    <row r="241">
      <c r="B241">
        <f>IF(A241="","",A241&amp;"|"&amp;D241&amp;"|"&amp;F241&amp;"|"&amp;G241&amp;"|"&amp;TEXT(I241,"YYYYMMDD")&amp;"|"&amp;TEXT(L241,"0.00"))</f>
        <v/>
      </c>
      <c r="C241">
        <f>IF(I241="","",TEXT(I241,"YYYY-MM"))</f>
        <v/>
      </c>
      <c r="K241">
        <f>IF(OR(I241="",J241=""),"",J241-I241)</f>
        <v/>
      </c>
      <c r="N241">
        <f>IF(F241="","",IFERROR(VLOOKUP(F241,lst_PropTauxLookup,2,0),""))</f>
        <v/>
      </c>
      <c r="O241">
        <f>IF(F241="","",IF(ISNUMBER(IFERROR(VLOOKUP(F241,lst_PropTauxLookup,2,0),"")),"REF_PROPRIETAIRE","A_CONTROLER"))</f>
        <v/>
      </c>
      <c r="Q241">
        <f>IF(OR(L241="",N241=""),"",IFERROR((L241-IF(M241="",0,M241))*N241,0))</f>
        <v/>
      </c>
      <c r="V241">
        <f>IF(L241="","",L241-IF(M241="",0,M241)-IF(Q241="",0,Q241)-IF(T241="",0,T241))</f>
        <v/>
      </c>
      <c r="Y241">
        <f>IF(W241="IC","OUI",IF(W241="HC","OUI",IF(W241="HR","NON","A_CONTROLER")))</f>
        <v/>
      </c>
      <c r="Z241">
        <f>IF(W241="IC","OUI",IF(W241="HC","NON",IF(W241="HR","NON","A_CONTROLER")))</f>
        <v/>
      </c>
    </row>
    <row r="242">
      <c r="B242">
        <f>IF(A242="","",A242&amp;"|"&amp;D242&amp;"|"&amp;F242&amp;"|"&amp;G242&amp;"|"&amp;TEXT(I242,"YYYYMMDD")&amp;"|"&amp;TEXT(L242,"0.00"))</f>
        <v/>
      </c>
      <c r="C242">
        <f>IF(I242="","",TEXT(I242,"YYYY-MM"))</f>
        <v/>
      </c>
      <c r="K242">
        <f>IF(OR(I242="",J242=""),"",J242-I242)</f>
        <v/>
      </c>
      <c r="N242">
        <f>IF(F242="","",IFERROR(VLOOKUP(F242,lst_PropTauxLookup,2,0),""))</f>
        <v/>
      </c>
      <c r="O242">
        <f>IF(F242="","",IF(ISNUMBER(IFERROR(VLOOKUP(F242,lst_PropTauxLookup,2,0),"")),"REF_PROPRIETAIRE","A_CONTROLER"))</f>
        <v/>
      </c>
      <c r="Q242">
        <f>IF(OR(L242="",N242=""),"",IFERROR((L242-IF(M242="",0,M242))*N242,0))</f>
        <v/>
      </c>
      <c r="V242">
        <f>IF(L242="","",L242-IF(M242="",0,M242)-IF(Q242="",0,Q242)-IF(T242="",0,T242))</f>
        <v/>
      </c>
      <c r="Y242">
        <f>IF(W242="IC","OUI",IF(W242="HC","OUI",IF(W242="HR","NON","A_CONTROLER")))</f>
        <v/>
      </c>
      <c r="Z242">
        <f>IF(W242="IC","OUI",IF(W242="HC","NON",IF(W242="HR","NON","A_CONTROLER")))</f>
        <v/>
      </c>
    </row>
    <row r="243">
      <c r="B243">
        <f>IF(A243="","",A243&amp;"|"&amp;D243&amp;"|"&amp;F243&amp;"|"&amp;G243&amp;"|"&amp;TEXT(I243,"YYYYMMDD")&amp;"|"&amp;TEXT(L243,"0.00"))</f>
        <v/>
      </c>
      <c r="C243">
        <f>IF(I243="","",TEXT(I243,"YYYY-MM"))</f>
        <v/>
      </c>
      <c r="K243">
        <f>IF(OR(I243="",J243=""),"",J243-I243)</f>
        <v/>
      </c>
      <c r="N243">
        <f>IF(F243="","",IFERROR(VLOOKUP(F243,lst_PropTauxLookup,2,0),""))</f>
        <v/>
      </c>
      <c r="O243">
        <f>IF(F243="","",IF(ISNUMBER(IFERROR(VLOOKUP(F243,lst_PropTauxLookup,2,0),"")),"REF_PROPRIETAIRE","A_CONTROLER"))</f>
        <v/>
      </c>
      <c r="Q243">
        <f>IF(OR(L243="",N243=""),"",IFERROR((L243-IF(M243="",0,M243))*N243,0))</f>
        <v/>
      </c>
      <c r="V243">
        <f>IF(L243="","",L243-IF(M243="",0,M243)-IF(Q243="",0,Q243)-IF(T243="",0,T243))</f>
        <v/>
      </c>
      <c r="Y243">
        <f>IF(W243="IC","OUI",IF(W243="HC","OUI",IF(W243="HR","NON","A_CONTROLER")))</f>
        <v/>
      </c>
      <c r="Z243">
        <f>IF(W243="IC","OUI",IF(W243="HC","NON",IF(W243="HR","NON","A_CONTROLER")))</f>
        <v/>
      </c>
    </row>
    <row r="244">
      <c r="B244">
        <f>IF(A244="","",A244&amp;"|"&amp;D244&amp;"|"&amp;F244&amp;"|"&amp;G244&amp;"|"&amp;TEXT(I244,"YYYYMMDD")&amp;"|"&amp;TEXT(L244,"0.00"))</f>
        <v/>
      </c>
      <c r="C244">
        <f>IF(I244="","",TEXT(I244,"YYYY-MM"))</f>
        <v/>
      </c>
      <c r="K244">
        <f>IF(OR(I244="",J244=""),"",J244-I244)</f>
        <v/>
      </c>
      <c r="N244">
        <f>IF(F244="","",IFERROR(VLOOKUP(F244,lst_PropTauxLookup,2,0),""))</f>
        <v/>
      </c>
      <c r="O244">
        <f>IF(F244="","",IF(ISNUMBER(IFERROR(VLOOKUP(F244,lst_PropTauxLookup,2,0),"")),"REF_PROPRIETAIRE","A_CONTROLER"))</f>
        <v/>
      </c>
      <c r="Q244">
        <f>IF(OR(L244="",N244=""),"",IFERROR((L244-IF(M244="",0,M244))*N244,0))</f>
        <v/>
      </c>
      <c r="V244">
        <f>IF(L244="","",L244-IF(M244="",0,M244)-IF(Q244="",0,Q244)-IF(T244="",0,T244))</f>
        <v/>
      </c>
      <c r="Y244">
        <f>IF(W244="IC","OUI",IF(W244="HC","OUI",IF(W244="HR","NON","A_CONTROLER")))</f>
        <v/>
      </c>
      <c r="Z244">
        <f>IF(W244="IC","OUI",IF(W244="HC","NON",IF(W244="HR","NON","A_CONTROLER")))</f>
        <v/>
      </c>
    </row>
    <row r="245">
      <c r="B245">
        <f>IF(A245="","",A245&amp;"|"&amp;D245&amp;"|"&amp;F245&amp;"|"&amp;G245&amp;"|"&amp;TEXT(I245,"YYYYMMDD")&amp;"|"&amp;TEXT(L245,"0.00"))</f>
        <v/>
      </c>
      <c r="C245">
        <f>IF(I245="","",TEXT(I245,"YYYY-MM"))</f>
        <v/>
      </c>
      <c r="K245">
        <f>IF(OR(I245="",J245=""),"",J245-I245)</f>
        <v/>
      </c>
      <c r="N245">
        <f>IF(F245="","",IFERROR(VLOOKUP(F245,lst_PropTauxLookup,2,0),""))</f>
        <v/>
      </c>
      <c r="O245">
        <f>IF(F245="","",IF(ISNUMBER(IFERROR(VLOOKUP(F245,lst_PropTauxLookup,2,0),"")),"REF_PROPRIETAIRE","A_CONTROLER"))</f>
        <v/>
      </c>
      <c r="Q245">
        <f>IF(OR(L245="",N245=""),"",IFERROR((L245-IF(M245="",0,M245))*N245,0))</f>
        <v/>
      </c>
      <c r="V245">
        <f>IF(L245="","",L245-IF(M245="",0,M245)-IF(Q245="",0,Q245)-IF(T245="",0,T245))</f>
        <v/>
      </c>
      <c r="Y245">
        <f>IF(W245="IC","OUI",IF(W245="HC","OUI",IF(W245="HR","NON","A_CONTROLER")))</f>
        <v/>
      </c>
      <c r="Z245">
        <f>IF(W245="IC","OUI",IF(W245="HC","NON",IF(W245="HR","NON","A_CONTROLER")))</f>
        <v/>
      </c>
    </row>
    <row r="246">
      <c r="B246">
        <f>IF(A246="","",A246&amp;"|"&amp;D246&amp;"|"&amp;F246&amp;"|"&amp;G246&amp;"|"&amp;TEXT(I246,"YYYYMMDD")&amp;"|"&amp;TEXT(L246,"0.00"))</f>
        <v/>
      </c>
      <c r="C246">
        <f>IF(I246="","",TEXT(I246,"YYYY-MM"))</f>
        <v/>
      </c>
      <c r="K246">
        <f>IF(OR(I246="",J246=""),"",J246-I246)</f>
        <v/>
      </c>
      <c r="N246">
        <f>IF(F246="","",IFERROR(VLOOKUP(F246,lst_PropTauxLookup,2,0),""))</f>
        <v/>
      </c>
      <c r="O246">
        <f>IF(F246="","",IF(ISNUMBER(IFERROR(VLOOKUP(F246,lst_PropTauxLookup,2,0),"")),"REF_PROPRIETAIRE","A_CONTROLER"))</f>
        <v/>
      </c>
      <c r="Q246">
        <f>IF(OR(L246="",N246=""),"",IFERROR((L246-IF(M246="",0,M246))*N246,0))</f>
        <v/>
      </c>
      <c r="V246">
        <f>IF(L246="","",L246-IF(M246="",0,M246)-IF(Q246="",0,Q246)-IF(T246="",0,T246))</f>
        <v/>
      </c>
      <c r="Y246">
        <f>IF(W246="IC","OUI",IF(W246="HC","OUI",IF(W246="HR","NON","A_CONTROLER")))</f>
        <v/>
      </c>
      <c r="Z246">
        <f>IF(W246="IC","OUI",IF(W246="HC","NON",IF(W246="HR","NON","A_CONTROLER")))</f>
        <v/>
      </c>
    </row>
    <row r="247">
      <c r="B247">
        <f>IF(A247="","",A247&amp;"|"&amp;D247&amp;"|"&amp;F247&amp;"|"&amp;G247&amp;"|"&amp;TEXT(I247,"YYYYMMDD")&amp;"|"&amp;TEXT(L247,"0.00"))</f>
        <v/>
      </c>
      <c r="C247">
        <f>IF(I247="","",TEXT(I247,"YYYY-MM"))</f>
        <v/>
      </c>
      <c r="K247">
        <f>IF(OR(I247="",J247=""),"",J247-I247)</f>
        <v/>
      </c>
      <c r="N247">
        <f>IF(F247="","",IFERROR(VLOOKUP(F247,lst_PropTauxLookup,2,0),""))</f>
        <v/>
      </c>
      <c r="O247">
        <f>IF(F247="","",IF(ISNUMBER(IFERROR(VLOOKUP(F247,lst_PropTauxLookup,2,0),"")),"REF_PROPRIETAIRE","A_CONTROLER"))</f>
        <v/>
      </c>
      <c r="Q247">
        <f>IF(OR(L247="",N247=""),"",IFERROR((L247-IF(M247="",0,M247))*N247,0))</f>
        <v/>
      </c>
      <c r="V247">
        <f>IF(L247="","",L247-IF(M247="",0,M247)-IF(Q247="",0,Q247)-IF(T247="",0,T247))</f>
        <v/>
      </c>
      <c r="Y247">
        <f>IF(W247="IC","OUI",IF(W247="HC","OUI",IF(W247="HR","NON","A_CONTROLER")))</f>
        <v/>
      </c>
      <c r="Z247">
        <f>IF(W247="IC","OUI",IF(W247="HC","NON",IF(W247="HR","NON","A_CONTROLER")))</f>
        <v/>
      </c>
    </row>
    <row r="248">
      <c r="B248">
        <f>IF(A248="","",A248&amp;"|"&amp;D248&amp;"|"&amp;F248&amp;"|"&amp;G248&amp;"|"&amp;TEXT(I248,"YYYYMMDD")&amp;"|"&amp;TEXT(L248,"0.00"))</f>
        <v/>
      </c>
      <c r="C248">
        <f>IF(I248="","",TEXT(I248,"YYYY-MM"))</f>
        <v/>
      </c>
      <c r="K248">
        <f>IF(OR(I248="",J248=""),"",J248-I248)</f>
        <v/>
      </c>
      <c r="N248">
        <f>IF(F248="","",IFERROR(VLOOKUP(F248,lst_PropTauxLookup,2,0),""))</f>
        <v/>
      </c>
      <c r="O248">
        <f>IF(F248="","",IF(ISNUMBER(IFERROR(VLOOKUP(F248,lst_PropTauxLookup,2,0),"")),"REF_PROPRIETAIRE","A_CONTROLER"))</f>
        <v/>
      </c>
      <c r="Q248">
        <f>IF(OR(L248="",N248=""),"",IFERROR((L248-IF(M248="",0,M248))*N248,0))</f>
        <v/>
      </c>
      <c r="V248">
        <f>IF(L248="","",L248-IF(M248="",0,M248)-IF(Q248="",0,Q248)-IF(T248="",0,T248))</f>
        <v/>
      </c>
      <c r="Y248">
        <f>IF(W248="IC","OUI",IF(W248="HC","OUI",IF(W248="HR","NON","A_CONTROLER")))</f>
        <v/>
      </c>
      <c r="Z248">
        <f>IF(W248="IC","OUI",IF(W248="HC","NON",IF(W248="HR","NON","A_CONTROLER")))</f>
        <v/>
      </c>
    </row>
    <row r="249">
      <c r="B249">
        <f>IF(A249="","",A249&amp;"|"&amp;D249&amp;"|"&amp;F249&amp;"|"&amp;G249&amp;"|"&amp;TEXT(I249,"YYYYMMDD")&amp;"|"&amp;TEXT(L249,"0.00"))</f>
        <v/>
      </c>
      <c r="C249">
        <f>IF(I249="","",TEXT(I249,"YYYY-MM"))</f>
        <v/>
      </c>
      <c r="K249">
        <f>IF(OR(I249="",J249=""),"",J249-I249)</f>
        <v/>
      </c>
      <c r="N249">
        <f>IF(F249="","",IFERROR(VLOOKUP(F249,lst_PropTauxLookup,2,0),""))</f>
        <v/>
      </c>
      <c r="O249">
        <f>IF(F249="","",IF(ISNUMBER(IFERROR(VLOOKUP(F249,lst_PropTauxLookup,2,0),"")),"REF_PROPRIETAIRE","A_CONTROLER"))</f>
        <v/>
      </c>
      <c r="Q249">
        <f>IF(OR(L249="",N249=""),"",IFERROR((L249-IF(M249="",0,M249))*N249,0))</f>
        <v/>
      </c>
      <c r="V249">
        <f>IF(L249="","",L249-IF(M249="",0,M249)-IF(Q249="",0,Q249)-IF(T249="",0,T249))</f>
        <v/>
      </c>
      <c r="Y249">
        <f>IF(W249="IC","OUI",IF(W249="HC","OUI",IF(W249="HR","NON","A_CONTROLER")))</f>
        <v/>
      </c>
      <c r="Z249">
        <f>IF(W249="IC","OUI",IF(W249="HC","NON",IF(W249="HR","NON","A_CONTROLER")))</f>
        <v/>
      </c>
    </row>
    <row r="250">
      <c r="B250">
        <f>IF(A250="","",A250&amp;"|"&amp;D250&amp;"|"&amp;F250&amp;"|"&amp;G250&amp;"|"&amp;TEXT(I250,"YYYYMMDD")&amp;"|"&amp;TEXT(L250,"0.00"))</f>
        <v/>
      </c>
      <c r="C250">
        <f>IF(I250="","",TEXT(I250,"YYYY-MM"))</f>
        <v/>
      </c>
      <c r="K250">
        <f>IF(OR(I250="",J250=""),"",J250-I250)</f>
        <v/>
      </c>
      <c r="N250">
        <f>IF(F250="","",IFERROR(VLOOKUP(F250,lst_PropTauxLookup,2,0),""))</f>
        <v/>
      </c>
      <c r="O250">
        <f>IF(F250="","",IF(ISNUMBER(IFERROR(VLOOKUP(F250,lst_PropTauxLookup,2,0),"")),"REF_PROPRIETAIRE","A_CONTROLER"))</f>
        <v/>
      </c>
      <c r="Q250">
        <f>IF(OR(L250="",N250=""),"",IFERROR((L250-IF(M250="",0,M250))*N250,0))</f>
        <v/>
      </c>
      <c r="V250">
        <f>IF(L250="","",L250-IF(M250="",0,M250)-IF(Q250="",0,Q250)-IF(T250="",0,T250))</f>
        <v/>
      </c>
      <c r="Y250">
        <f>IF(W250="IC","OUI",IF(W250="HC","OUI",IF(W250="HR","NON","A_CONTROLER")))</f>
        <v/>
      </c>
      <c r="Z250">
        <f>IF(W250="IC","OUI",IF(W250="HC","NON",IF(W250="HR","NON","A_CONTROLER")))</f>
        <v/>
      </c>
    </row>
    <row r="251">
      <c r="B251">
        <f>IF(A251="","",A251&amp;"|"&amp;D251&amp;"|"&amp;F251&amp;"|"&amp;G251&amp;"|"&amp;TEXT(I251,"YYYYMMDD")&amp;"|"&amp;TEXT(L251,"0.00"))</f>
        <v/>
      </c>
      <c r="C251">
        <f>IF(I251="","",TEXT(I251,"YYYY-MM"))</f>
        <v/>
      </c>
      <c r="K251">
        <f>IF(OR(I251="",J251=""),"",J251-I251)</f>
        <v/>
      </c>
      <c r="N251">
        <f>IF(F251="","",IFERROR(VLOOKUP(F251,lst_PropTauxLookup,2,0),""))</f>
        <v/>
      </c>
      <c r="O251">
        <f>IF(F251="","",IF(ISNUMBER(IFERROR(VLOOKUP(F251,lst_PropTauxLookup,2,0),"")),"REF_PROPRIETAIRE","A_CONTROLER"))</f>
        <v/>
      </c>
      <c r="Q251">
        <f>IF(OR(L251="",N251=""),"",IFERROR((L251-IF(M251="",0,M251))*N251,0))</f>
        <v/>
      </c>
      <c r="V251">
        <f>IF(L251="","",L251-IF(M251="",0,M251)-IF(Q251="",0,Q251)-IF(T251="",0,T251))</f>
        <v/>
      </c>
      <c r="Y251">
        <f>IF(W251="IC","OUI",IF(W251="HC","OUI",IF(W251="HR","NON","A_CONTROLER")))</f>
        <v/>
      </c>
      <c r="Z251">
        <f>IF(W251="IC","OUI",IF(W251="HC","NON",IF(W251="HR","NON","A_CONTROLER")))</f>
        <v/>
      </c>
    </row>
    <row r="252">
      <c r="B252">
        <f>IF(A252="","",A252&amp;"|"&amp;D252&amp;"|"&amp;F252&amp;"|"&amp;G252&amp;"|"&amp;TEXT(I252,"YYYYMMDD")&amp;"|"&amp;TEXT(L252,"0.00"))</f>
        <v/>
      </c>
      <c r="C252">
        <f>IF(I252="","",TEXT(I252,"YYYY-MM"))</f>
        <v/>
      </c>
      <c r="K252">
        <f>IF(OR(I252="",J252=""),"",J252-I252)</f>
        <v/>
      </c>
      <c r="N252">
        <f>IF(F252="","",IFERROR(VLOOKUP(F252,lst_PropTauxLookup,2,0),""))</f>
        <v/>
      </c>
      <c r="O252">
        <f>IF(F252="","",IF(ISNUMBER(IFERROR(VLOOKUP(F252,lst_PropTauxLookup,2,0),"")),"REF_PROPRIETAIRE","A_CONTROLER"))</f>
        <v/>
      </c>
      <c r="Q252">
        <f>IF(OR(L252="",N252=""),"",IFERROR((L252-IF(M252="",0,M252))*N252,0))</f>
        <v/>
      </c>
      <c r="V252">
        <f>IF(L252="","",L252-IF(M252="",0,M252)-IF(Q252="",0,Q252)-IF(T252="",0,T252))</f>
        <v/>
      </c>
      <c r="Y252">
        <f>IF(W252="IC","OUI",IF(W252="HC","OUI",IF(W252="HR","NON","A_CONTROLER")))</f>
        <v/>
      </c>
      <c r="Z252">
        <f>IF(W252="IC","OUI",IF(W252="HC","NON",IF(W252="HR","NON","A_CONTROLER")))</f>
        <v/>
      </c>
    </row>
    <row r="253">
      <c r="B253">
        <f>IF(A253="","",A253&amp;"|"&amp;D253&amp;"|"&amp;F253&amp;"|"&amp;G253&amp;"|"&amp;TEXT(I253,"YYYYMMDD")&amp;"|"&amp;TEXT(L253,"0.00"))</f>
        <v/>
      </c>
      <c r="C253">
        <f>IF(I253="","",TEXT(I253,"YYYY-MM"))</f>
        <v/>
      </c>
      <c r="K253">
        <f>IF(OR(I253="",J253=""),"",J253-I253)</f>
        <v/>
      </c>
      <c r="N253">
        <f>IF(F253="","",IFERROR(VLOOKUP(F253,lst_PropTauxLookup,2,0),""))</f>
        <v/>
      </c>
      <c r="O253">
        <f>IF(F253="","",IF(ISNUMBER(IFERROR(VLOOKUP(F253,lst_PropTauxLookup,2,0),"")),"REF_PROPRIETAIRE","A_CONTROLER"))</f>
        <v/>
      </c>
      <c r="Q253">
        <f>IF(OR(L253="",N253=""),"",IFERROR((L253-IF(M253="",0,M253))*N253,0))</f>
        <v/>
      </c>
      <c r="V253">
        <f>IF(L253="","",L253-IF(M253="",0,M253)-IF(Q253="",0,Q253)-IF(T253="",0,T253))</f>
        <v/>
      </c>
      <c r="Y253">
        <f>IF(W253="IC","OUI",IF(W253="HC","OUI",IF(W253="HR","NON","A_CONTROLER")))</f>
        <v/>
      </c>
      <c r="Z253">
        <f>IF(W253="IC","OUI",IF(W253="HC","NON",IF(W253="HR","NON","A_CONTROLER")))</f>
        <v/>
      </c>
    </row>
    <row r="254">
      <c r="B254">
        <f>IF(A254="","",A254&amp;"|"&amp;D254&amp;"|"&amp;F254&amp;"|"&amp;G254&amp;"|"&amp;TEXT(I254,"YYYYMMDD")&amp;"|"&amp;TEXT(L254,"0.00"))</f>
        <v/>
      </c>
      <c r="C254">
        <f>IF(I254="","",TEXT(I254,"YYYY-MM"))</f>
        <v/>
      </c>
      <c r="K254">
        <f>IF(OR(I254="",J254=""),"",J254-I254)</f>
        <v/>
      </c>
      <c r="N254">
        <f>IF(F254="","",IFERROR(VLOOKUP(F254,lst_PropTauxLookup,2,0),""))</f>
        <v/>
      </c>
      <c r="O254">
        <f>IF(F254="","",IF(ISNUMBER(IFERROR(VLOOKUP(F254,lst_PropTauxLookup,2,0),"")),"REF_PROPRIETAIRE","A_CONTROLER"))</f>
        <v/>
      </c>
      <c r="Q254">
        <f>IF(OR(L254="",N254=""),"",IFERROR((L254-IF(M254="",0,M254))*N254,0))</f>
        <v/>
      </c>
      <c r="V254">
        <f>IF(L254="","",L254-IF(M254="",0,M254)-IF(Q254="",0,Q254)-IF(T254="",0,T254))</f>
        <v/>
      </c>
      <c r="Y254">
        <f>IF(W254="IC","OUI",IF(W254="HC","OUI",IF(W254="HR","NON","A_CONTROLER")))</f>
        <v/>
      </c>
      <c r="Z254">
        <f>IF(W254="IC","OUI",IF(W254="HC","NON",IF(W254="HR","NON","A_CONTROLER")))</f>
        <v/>
      </c>
    </row>
    <row r="255">
      <c r="B255">
        <f>IF(A255="","",A255&amp;"|"&amp;D255&amp;"|"&amp;F255&amp;"|"&amp;G255&amp;"|"&amp;TEXT(I255,"YYYYMMDD")&amp;"|"&amp;TEXT(L255,"0.00"))</f>
        <v/>
      </c>
      <c r="C255">
        <f>IF(I255="","",TEXT(I255,"YYYY-MM"))</f>
        <v/>
      </c>
      <c r="K255">
        <f>IF(OR(I255="",J255=""),"",J255-I255)</f>
        <v/>
      </c>
      <c r="N255">
        <f>IF(F255="","",IFERROR(VLOOKUP(F255,lst_PropTauxLookup,2,0),""))</f>
        <v/>
      </c>
      <c r="O255">
        <f>IF(F255="","",IF(ISNUMBER(IFERROR(VLOOKUP(F255,lst_PropTauxLookup,2,0),"")),"REF_PROPRIETAIRE","A_CONTROLER"))</f>
        <v/>
      </c>
      <c r="Q255">
        <f>IF(OR(L255="",N255=""),"",IFERROR((L255-IF(M255="",0,M255))*N255,0))</f>
        <v/>
      </c>
      <c r="V255">
        <f>IF(L255="","",L255-IF(M255="",0,M255)-IF(Q255="",0,Q255)-IF(T255="",0,T255))</f>
        <v/>
      </c>
      <c r="Y255">
        <f>IF(W255="IC","OUI",IF(W255="HC","OUI",IF(W255="HR","NON","A_CONTROLER")))</f>
        <v/>
      </c>
      <c r="Z255">
        <f>IF(W255="IC","OUI",IF(W255="HC","NON",IF(W255="HR","NON","A_CONTROLER")))</f>
        <v/>
      </c>
    </row>
    <row r="256">
      <c r="B256">
        <f>IF(A256="","",A256&amp;"|"&amp;D256&amp;"|"&amp;F256&amp;"|"&amp;G256&amp;"|"&amp;TEXT(I256,"YYYYMMDD")&amp;"|"&amp;TEXT(L256,"0.00"))</f>
        <v/>
      </c>
      <c r="C256">
        <f>IF(I256="","",TEXT(I256,"YYYY-MM"))</f>
        <v/>
      </c>
      <c r="K256">
        <f>IF(OR(I256="",J256=""),"",J256-I256)</f>
        <v/>
      </c>
      <c r="N256">
        <f>IF(F256="","",IFERROR(VLOOKUP(F256,lst_PropTauxLookup,2,0),""))</f>
        <v/>
      </c>
      <c r="O256">
        <f>IF(F256="","",IF(ISNUMBER(IFERROR(VLOOKUP(F256,lst_PropTauxLookup,2,0),"")),"REF_PROPRIETAIRE","A_CONTROLER"))</f>
        <v/>
      </c>
      <c r="Q256">
        <f>IF(OR(L256="",N256=""),"",IFERROR((L256-IF(M256="",0,M256))*N256,0))</f>
        <v/>
      </c>
      <c r="V256">
        <f>IF(L256="","",L256-IF(M256="",0,M256)-IF(Q256="",0,Q256)-IF(T256="",0,T256))</f>
        <v/>
      </c>
      <c r="Y256">
        <f>IF(W256="IC","OUI",IF(W256="HC","OUI",IF(W256="HR","NON","A_CONTROLER")))</f>
        <v/>
      </c>
      <c r="Z256">
        <f>IF(W256="IC","OUI",IF(W256="HC","NON",IF(W256="HR","NON","A_CONTROLER")))</f>
        <v/>
      </c>
    </row>
    <row r="257">
      <c r="B257">
        <f>IF(A257="","",A257&amp;"|"&amp;D257&amp;"|"&amp;F257&amp;"|"&amp;G257&amp;"|"&amp;TEXT(I257,"YYYYMMDD")&amp;"|"&amp;TEXT(L257,"0.00"))</f>
        <v/>
      </c>
      <c r="C257">
        <f>IF(I257="","",TEXT(I257,"YYYY-MM"))</f>
        <v/>
      </c>
      <c r="K257">
        <f>IF(OR(I257="",J257=""),"",J257-I257)</f>
        <v/>
      </c>
      <c r="N257">
        <f>IF(F257="","",IFERROR(VLOOKUP(F257,lst_PropTauxLookup,2,0),""))</f>
        <v/>
      </c>
      <c r="O257">
        <f>IF(F257="","",IF(ISNUMBER(IFERROR(VLOOKUP(F257,lst_PropTauxLookup,2,0),"")),"REF_PROPRIETAIRE","A_CONTROLER"))</f>
        <v/>
      </c>
      <c r="Q257">
        <f>IF(OR(L257="",N257=""),"",IFERROR((L257-IF(M257="",0,M257))*N257,0))</f>
        <v/>
      </c>
      <c r="V257">
        <f>IF(L257="","",L257-IF(M257="",0,M257)-IF(Q257="",0,Q257)-IF(T257="",0,T257))</f>
        <v/>
      </c>
      <c r="Y257">
        <f>IF(W257="IC","OUI",IF(W257="HC","OUI",IF(W257="HR","NON","A_CONTROLER")))</f>
        <v/>
      </c>
      <c r="Z257">
        <f>IF(W257="IC","OUI",IF(W257="HC","NON",IF(W257="HR","NON","A_CONTROLER")))</f>
        <v/>
      </c>
    </row>
    <row r="258">
      <c r="B258">
        <f>IF(A258="","",A258&amp;"|"&amp;D258&amp;"|"&amp;F258&amp;"|"&amp;G258&amp;"|"&amp;TEXT(I258,"YYYYMMDD")&amp;"|"&amp;TEXT(L258,"0.00"))</f>
        <v/>
      </c>
      <c r="C258">
        <f>IF(I258="","",TEXT(I258,"YYYY-MM"))</f>
        <v/>
      </c>
      <c r="K258">
        <f>IF(OR(I258="",J258=""),"",J258-I258)</f>
        <v/>
      </c>
      <c r="N258">
        <f>IF(F258="","",IFERROR(VLOOKUP(F258,lst_PropTauxLookup,2,0),""))</f>
        <v/>
      </c>
      <c r="O258">
        <f>IF(F258="","",IF(ISNUMBER(IFERROR(VLOOKUP(F258,lst_PropTauxLookup,2,0),"")),"REF_PROPRIETAIRE","A_CONTROLER"))</f>
        <v/>
      </c>
      <c r="Q258">
        <f>IF(OR(L258="",N258=""),"",IFERROR((L258-IF(M258="",0,M258))*N258,0))</f>
        <v/>
      </c>
      <c r="V258">
        <f>IF(L258="","",L258-IF(M258="",0,M258)-IF(Q258="",0,Q258)-IF(T258="",0,T258))</f>
        <v/>
      </c>
      <c r="Y258">
        <f>IF(W258="IC","OUI",IF(W258="HC","OUI",IF(W258="HR","NON","A_CONTROLER")))</f>
        <v/>
      </c>
      <c r="Z258">
        <f>IF(W258="IC","OUI",IF(W258="HC","NON",IF(W258="HR","NON","A_CONTROLER")))</f>
        <v/>
      </c>
    </row>
    <row r="259">
      <c r="B259">
        <f>IF(A259="","",A259&amp;"|"&amp;D259&amp;"|"&amp;F259&amp;"|"&amp;G259&amp;"|"&amp;TEXT(I259,"YYYYMMDD")&amp;"|"&amp;TEXT(L259,"0.00"))</f>
        <v/>
      </c>
      <c r="C259">
        <f>IF(I259="","",TEXT(I259,"YYYY-MM"))</f>
        <v/>
      </c>
      <c r="K259">
        <f>IF(OR(I259="",J259=""),"",J259-I259)</f>
        <v/>
      </c>
      <c r="N259">
        <f>IF(F259="","",IFERROR(VLOOKUP(F259,lst_PropTauxLookup,2,0),""))</f>
        <v/>
      </c>
      <c r="O259">
        <f>IF(F259="","",IF(ISNUMBER(IFERROR(VLOOKUP(F259,lst_PropTauxLookup,2,0),"")),"REF_PROPRIETAIRE","A_CONTROLER"))</f>
        <v/>
      </c>
      <c r="Q259">
        <f>IF(OR(L259="",N259=""),"",IFERROR((L259-IF(M259="",0,M259))*N259,0))</f>
        <v/>
      </c>
      <c r="V259">
        <f>IF(L259="","",L259-IF(M259="",0,M259)-IF(Q259="",0,Q259)-IF(T259="",0,T259))</f>
        <v/>
      </c>
      <c r="Y259">
        <f>IF(W259="IC","OUI",IF(W259="HC","OUI",IF(W259="HR","NON","A_CONTROLER")))</f>
        <v/>
      </c>
      <c r="Z259">
        <f>IF(W259="IC","OUI",IF(W259="HC","NON",IF(W259="HR","NON","A_CONTROLER")))</f>
        <v/>
      </c>
    </row>
    <row r="260">
      <c r="B260">
        <f>IF(A260="","",A260&amp;"|"&amp;D260&amp;"|"&amp;F260&amp;"|"&amp;G260&amp;"|"&amp;TEXT(I260,"YYYYMMDD")&amp;"|"&amp;TEXT(L260,"0.00"))</f>
        <v/>
      </c>
      <c r="C260">
        <f>IF(I260="","",TEXT(I260,"YYYY-MM"))</f>
        <v/>
      </c>
      <c r="K260">
        <f>IF(OR(I260="",J260=""),"",J260-I260)</f>
        <v/>
      </c>
      <c r="N260">
        <f>IF(F260="","",IFERROR(VLOOKUP(F260,lst_PropTauxLookup,2,0),""))</f>
        <v/>
      </c>
      <c r="O260">
        <f>IF(F260="","",IF(ISNUMBER(IFERROR(VLOOKUP(F260,lst_PropTauxLookup,2,0),"")),"REF_PROPRIETAIRE","A_CONTROLER"))</f>
        <v/>
      </c>
      <c r="Q260">
        <f>IF(OR(L260="",N260=""),"",IFERROR((L260-IF(M260="",0,M260))*N260,0))</f>
        <v/>
      </c>
      <c r="V260">
        <f>IF(L260="","",L260-IF(M260="",0,M260)-IF(Q260="",0,Q260)-IF(T260="",0,T260))</f>
        <v/>
      </c>
      <c r="Y260">
        <f>IF(W260="IC","OUI",IF(W260="HC","OUI",IF(W260="HR","NON","A_CONTROLER")))</f>
        <v/>
      </c>
      <c r="Z260">
        <f>IF(W260="IC","OUI",IF(W260="HC","NON",IF(W260="HR","NON","A_CONTROLER")))</f>
        <v/>
      </c>
    </row>
    <row r="261">
      <c r="B261">
        <f>IF(A261="","",A261&amp;"|"&amp;D261&amp;"|"&amp;F261&amp;"|"&amp;G261&amp;"|"&amp;TEXT(I261,"YYYYMMDD")&amp;"|"&amp;TEXT(L261,"0.00"))</f>
        <v/>
      </c>
      <c r="C261">
        <f>IF(I261="","",TEXT(I261,"YYYY-MM"))</f>
        <v/>
      </c>
      <c r="K261">
        <f>IF(OR(I261="",J261=""),"",J261-I261)</f>
        <v/>
      </c>
      <c r="N261">
        <f>IF(F261="","",IFERROR(VLOOKUP(F261,lst_PropTauxLookup,2,0),""))</f>
        <v/>
      </c>
      <c r="O261">
        <f>IF(F261="","",IF(ISNUMBER(IFERROR(VLOOKUP(F261,lst_PropTauxLookup,2,0),"")),"REF_PROPRIETAIRE","A_CONTROLER"))</f>
        <v/>
      </c>
      <c r="Q261">
        <f>IF(OR(L261="",N261=""),"",IFERROR((L261-IF(M261="",0,M261))*N261,0))</f>
        <v/>
      </c>
      <c r="V261">
        <f>IF(L261="","",L261-IF(M261="",0,M261)-IF(Q261="",0,Q261)-IF(T261="",0,T261))</f>
        <v/>
      </c>
      <c r="Y261">
        <f>IF(W261="IC","OUI",IF(W261="HC","OUI",IF(W261="HR","NON","A_CONTROLER")))</f>
        <v/>
      </c>
      <c r="Z261">
        <f>IF(W261="IC","OUI",IF(W261="HC","NON",IF(W261="HR","NON","A_CONTROLER")))</f>
        <v/>
      </c>
    </row>
    <row r="262">
      <c r="B262">
        <f>IF(A262="","",A262&amp;"|"&amp;D262&amp;"|"&amp;F262&amp;"|"&amp;G262&amp;"|"&amp;TEXT(I262,"YYYYMMDD")&amp;"|"&amp;TEXT(L262,"0.00"))</f>
        <v/>
      </c>
      <c r="C262">
        <f>IF(I262="","",TEXT(I262,"YYYY-MM"))</f>
        <v/>
      </c>
      <c r="K262">
        <f>IF(OR(I262="",J262=""),"",J262-I262)</f>
        <v/>
      </c>
      <c r="N262">
        <f>IF(F262="","",IFERROR(VLOOKUP(F262,lst_PropTauxLookup,2,0),""))</f>
        <v/>
      </c>
      <c r="O262">
        <f>IF(F262="","",IF(ISNUMBER(IFERROR(VLOOKUP(F262,lst_PropTauxLookup,2,0),"")),"REF_PROPRIETAIRE","A_CONTROLER"))</f>
        <v/>
      </c>
      <c r="Q262">
        <f>IF(OR(L262="",N262=""),"",IFERROR((L262-IF(M262="",0,M262))*N262,0))</f>
        <v/>
      </c>
      <c r="V262">
        <f>IF(L262="","",L262-IF(M262="",0,M262)-IF(Q262="",0,Q262)-IF(T262="",0,T262))</f>
        <v/>
      </c>
      <c r="Y262">
        <f>IF(W262="IC","OUI",IF(W262="HC","OUI",IF(W262="HR","NON","A_CONTROLER")))</f>
        <v/>
      </c>
      <c r="Z262">
        <f>IF(W262="IC","OUI",IF(W262="HC","NON",IF(W262="HR","NON","A_CONTROLER")))</f>
        <v/>
      </c>
    </row>
    <row r="263">
      <c r="B263">
        <f>IF(A263="","",A263&amp;"|"&amp;D263&amp;"|"&amp;F263&amp;"|"&amp;G263&amp;"|"&amp;TEXT(I263,"YYYYMMDD")&amp;"|"&amp;TEXT(L263,"0.00"))</f>
        <v/>
      </c>
      <c r="C263">
        <f>IF(I263="","",TEXT(I263,"YYYY-MM"))</f>
        <v/>
      </c>
      <c r="K263">
        <f>IF(OR(I263="",J263=""),"",J263-I263)</f>
        <v/>
      </c>
      <c r="N263">
        <f>IF(F263="","",IFERROR(VLOOKUP(F263,lst_PropTauxLookup,2,0),""))</f>
        <v/>
      </c>
      <c r="O263">
        <f>IF(F263="","",IF(ISNUMBER(IFERROR(VLOOKUP(F263,lst_PropTauxLookup,2,0),"")),"REF_PROPRIETAIRE","A_CONTROLER"))</f>
        <v/>
      </c>
      <c r="Q263">
        <f>IF(OR(L263="",N263=""),"",IFERROR((L263-IF(M263="",0,M263))*N263,0))</f>
        <v/>
      </c>
      <c r="V263">
        <f>IF(L263="","",L263-IF(M263="",0,M263)-IF(Q263="",0,Q263)-IF(T263="",0,T263))</f>
        <v/>
      </c>
      <c r="Y263">
        <f>IF(W263="IC","OUI",IF(W263="HC","OUI",IF(W263="HR","NON","A_CONTROLER")))</f>
        <v/>
      </c>
      <c r="Z263">
        <f>IF(W263="IC","OUI",IF(W263="HC","NON",IF(W263="HR","NON","A_CONTROLER")))</f>
        <v/>
      </c>
    </row>
    <row r="264">
      <c r="B264">
        <f>IF(A264="","",A264&amp;"|"&amp;D264&amp;"|"&amp;F264&amp;"|"&amp;G264&amp;"|"&amp;TEXT(I264,"YYYYMMDD")&amp;"|"&amp;TEXT(L264,"0.00"))</f>
        <v/>
      </c>
      <c r="C264">
        <f>IF(I264="","",TEXT(I264,"YYYY-MM"))</f>
        <v/>
      </c>
      <c r="K264">
        <f>IF(OR(I264="",J264=""),"",J264-I264)</f>
        <v/>
      </c>
      <c r="N264">
        <f>IF(F264="","",IFERROR(VLOOKUP(F264,lst_PropTauxLookup,2,0),""))</f>
        <v/>
      </c>
      <c r="O264">
        <f>IF(F264="","",IF(ISNUMBER(IFERROR(VLOOKUP(F264,lst_PropTauxLookup,2,0),"")),"REF_PROPRIETAIRE","A_CONTROLER"))</f>
        <v/>
      </c>
      <c r="Q264">
        <f>IF(OR(L264="",N264=""),"",IFERROR((L264-IF(M264="",0,M264))*N264,0))</f>
        <v/>
      </c>
      <c r="V264">
        <f>IF(L264="","",L264-IF(M264="",0,M264)-IF(Q264="",0,Q264)-IF(T264="",0,T264))</f>
        <v/>
      </c>
      <c r="Y264">
        <f>IF(W264="IC","OUI",IF(W264="HC","OUI",IF(W264="HR","NON","A_CONTROLER")))</f>
        <v/>
      </c>
      <c r="Z264">
        <f>IF(W264="IC","OUI",IF(W264="HC","NON",IF(W264="HR","NON","A_CONTROLER")))</f>
        <v/>
      </c>
    </row>
    <row r="265">
      <c r="B265">
        <f>IF(A265="","",A265&amp;"|"&amp;D265&amp;"|"&amp;F265&amp;"|"&amp;G265&amp;"|"&amp;TEXT(I265,"YYYYMMDD")&amp;"|"&amp;TEXT(L265,"0.00"))</f>
        <v/>
      </c>
      <c r="C265">
        <f>IF(I265="","",TEXT(I265,"YYYY-MM"))</f>
        <v/>
      </c>
      <c r="K265">
        <f>IF(OR(I265="",J265=""),"",J265-I265)</f>
        <v/>
      </c>
      <c r="N265">
        <f>IF(F265="","",IFERROR(VLOOKUP(F265,lst_PropTauxLookup,2,0),""))</f>
        <v/>
      </c>
      <c r="O265">
        <f>IF(F265="","",IF(ISNUMBER(IFERROR(VLOOKUP(F265,lst_PropTauxLookup,2,0),"")),"REF_PROPRIETAIRE","A_CONTROLER"))</f>
        <v/>
      </c>
      <c r="Q265">
        <f>IF(OR(L265="",N265=""),"",IFERROR((L265-IF(M265="",0,M265))*N265,0))</f>
        <v/>
      </c>
      <c r="V265">
        <f>IF(L265="","",L265-IF(M265="",0,M265)-IF(Q265="",0,Q265)-IF(T265="",0,T265))</f>
        <v/>
      </c>
      <c r="Y265">
        <f>IF(W265="IC","OUI",IF(W265="HC","OUI",IF(W265="HR","NON","A_CONTROLER")))</f>
        <v/>
      </c>
      <c r="Z265">
        <f>IF(W265="IC","OUI",IF(W265="HC","NON",IF(W265="HR","NON","A_CONTROLER")))</f>
        <v/>
      </c>
    </row>
    <row r="266">
      <c r="B266">
        <f>IF(A266="","",A266&amp;"|"&amp;D266&amp;"|"&amp;F266&amp;"|"&amp;G266&amp;"|"&amp;TEXT(I266,"YYYYMMDD")&amp;"|"&amp;TEXT(L266,"0.00"))</f>
        <v/>
      </c>
      <c r="C266">
        <f>IF(I266="","",TEXT(I266,"YYYY-MM"))</f>
        <v/>
      </c>
      <c r="K266">
        <f>IF(OR(I266="",J266=""),"",J266-I266)</f>
        <v/>
      </c>
      <c r="N266">
        <f>IF(F266="","",IFERROR(VLOOKUP(F266,lst_PropTauxLookup,2,0),""))</f>
        <v/>
      </c>
      <c r="O266">
        <f>IF(F266="","",IF(ISNUMBER(IFERROR(VLOOKUP(F266,lst_PropTauxLookup,2,0),"")),"REF_PROPRIETAIRE","A_CONTROLER"))</f>
        <v/>
      </c>
      <c r="Q266">
        <f>IF(OR(L266="",N266=""),"",IFERROR((L266-IF(M266="",0,M266))*N266,0))</f>
        <v/>
      </c>
      <c r="V266">
        <f>IF(L266="","",L266-IF(M266="",0,M266)-IF(Q266="",0,Q266)-IF(T266="",0,T266))</f>
        <v/>
      </c>
      <c r="Y266">
        <f>IF(W266="IC","OUI",IF(W266="HC","OUI",IF(W266="HR","NON","A_CONTROLER")))</f>
        <v/>
      </c>
      <c r="Z266">
        <f>IF(W266="IC","OUI",IF(W266="HC","NON",IF(W266="HR","NON","A_CONTROLER")))</f>
        <v/>
      </c>
    </row>
    <row r="267">
      <c r="B267">
        <f>IF(A267="","",A267&amp;"|"&amp;D267&amp;"|"&amp;F267&amp;"|"&amp;G267&amp;"|"&amp;TEXT(I267,"YYYYMMDD")&amp;"|"&amp;TEXT(L267,"0.00"))</f>
        <v/>
      </c>
      <c r="C267">
        <f>IF(I267="","",TEXT(I267,"YYYY-MM"))</f>
        <v/>
      </c>
      <c r="K267">
        <f>IF(OR(I267="",J267=""),"",J267-I267)</f>
        <v/>
      </c>
      <c r="N267">
        <f>IF(F267="","",IFERROR(VLOOKUP(F267,lst_PropTauxLookup,2,0),""))</f>
        <v/>
      </c>
      <c r="O267">
        <f>IF(F267="","",IF(ISNUMBER(IFERROR(VLOOKUP(F267,lst_PropTauxLookup,2,0),"")),"REF_PROPRIETAIRE","A_CONTROLER"))</f>
        <v/>
      </c>
      <c r="Q267">
        <f>IF(OR(L267="",N267=""),"",IFERROR((L267-IF(M267="",0,M267))*N267,0))</f>
        <v/>
      </c>
      <c r="V267">
        <f>IF(L267="","",L267-IF(M267="",0,M267)-IF(Q267="",0,Q267)-IF(T267="",0,T267))</f>
        <v/>
      </c>
      <c r="Y267">
        <f>IF(W267="IC","OUI",IF(W267="HC","OUI",IF(W267="HR","NON","A_CONTROLER")))</f>
        <v/>
      </c>
      <c r="Z267">
        <f>IF(W267="IC","OUI",IF(W267="HC","NON",IF(W267="HR","NON","A_CONTROLER")))</f>
        <v/>
      </c>
    </row>
    <row r="268">
      <c r="B268">
        <f>IF(A268="","",A268&amp;"|"&amp;D268&amp;"|"&amp;F268&amp;"|"&amp;G268&amp;"|"&amp;TEXT(I268,"YYYYMMDD")&amp;"|"&amp;TEXT(L268,"0.00"))</f>
        <v/>
      </c>
      <c r="C268">
        <f>IF(I268="","",TEXT(I268,"YYYY-MM"))</f>
        <v/>
      </c>
      <c r="K268">
        <f>IF(OR(I268="",J268=""),"",J268-I268)</f>
        <v/>
      </c>
      <c r="N268">
        <f>IF(F268="","",IFERROR(VLOOKUP(F268,lst_PropTauxLookup,2,0),""))</f>
        <v/>
      </c>
      <c r="O268">
        <f>IF(F268="","",IF(ISNUMBER(IFERROR(VLOOKUP(F268,lst_PropTauxLookup,2,0),"")),"REF_PROPRIETAIRE","A_CONTROLER"))</f>
        <v/>
      </c>
      <c r="Q268">
        <f>IF(OR(L268="",N268=""),"",IFERROR((L268-IF(M268="",0,M268))*N268,0))</f>
        <v/>
      </c>
      <c r="V268">
        <f>IF(L268="","",L268-IF(M268="",0,M268)-IF(Q268="",0,Q268)-IF(T268="",0,T268))</f>
        <v/>
      </c>
      <c r="Y268">
        <f>IF(W268="IC","OUI",IF(W268="HC","OUI",IF(W268="HR","NON","A_CONTROLER")))</f>
        <v/>
      </c>
      <c r="Z268">
        <f>IF(W268="IC","OUI",IF(W268="HC","NON",IF(W268="HR","NON","A_CONTROLER")))</f>
        <v/>
      </c>
    </row>
    <row r="269">
      <c r="B269">
        <f>IF(A269="","",A269&amp;"|"&amp;D269&amp;"|"&amp;F269&amp;"|"&amp;G269&amp;"|"&amp;TEXT(I269,"YYYYMMDD")&amp;"|"&amp;TEXT(L269,"0.00"))</f>
        <v/>
      </c>
      <c r="C269">
        <f>IF(I269="","",TEXT(I269,"YYYY-MM"))</f>
        <v/>
      </c>
      <c r="K269">
        <f>IF(OR(I269="",J269=""),"",J269-I269)</f>
        <v/>
      </c>
      <c r="N269">
        <f>IF(F269="","",IFERROR(VLOOKUP(F269,lst_PropTauxLookup,2,0),""))</f>
        <v/>
      </c>
      <c r="O269">
        <f>IF(F269="","",IF(ISNUMBER(IFERROR(VLOOKUP(F269,lst_PropTauxLookup,2,0),"")),"REF_PROPRIETAIRE","A_CONTROLER"))</f>
        <v/>
      </c>
      <c r="Q269">
        <f>IF(OR(L269="",N269=""),"",IFERROR((L269-IF(M269="",0,M269))*N269,0))</f>
        <v/>
      </c>
      <c r="V269">
        <f>IF(L269="","",L269-IF(M269="",0,M269)-IF(Q269="",0,Q269)-IF(T269="",0,T269))</f>
        <v/>
      </c>
      <c r="Y269">
        <f>IF(W269="IC","OUI",IF(W269="HC","OUI",IF(W269="HR","NON","A_CONTROLER")))</f>
        <v/>
      </c>
      <c r="Z269">
        <f>IF(W269="IC","OUI",IF(W269="HC","NON",IF(W269="HR","NON","A_CONTROLER")))</f>
        <v/>
      </c>
    </row>
    <row r="270">
      <c r="B270">
        <f>IF(A270="","",A270&amp;"|"&amp;D270&amp;"|"&amp;F270&amp;"|"&amp;G270&amp;"|"&amp;TEXT(I270,"YYYYMMDD")&amp;"|"&amp;TEXT(L270,"0.00"))</f>
        <v/>
      </c>
      <c r="C270">
        <f>IF(I270="","",TEXT(I270,"YYYY-MM"))</f>
        <v/>
      </c>
      <c r="K270">
        <f>IF(OR(I270="",J270=""),"",J270-I270)</f>
        <v/>
      </c>
      <c r="N270">
        <f>IF(F270="","",IFERROR(VLOOKUP(F270,lst_PropTauxLookup,2,0),""))</f>
        <v/>
      </c>
      <c r="O270">
        <f>IF(F270="","",IF(ISNUMBER(IFERROR(VLOOKUP(F270,lst_PropTauxLookup,2,0),"")),"REF_PROPRIETAIRE","A_CONTROLER"))</f>
        <v/>
      </c>
      <c r="Q270">
        <f>IF(OR(L270="",N270=""),"",IFERROR((L270-IF(M270="",0,M270))*N270,0))</f>
        <v/>
      </c>
      <c r="V270">
        <f>IF(L270="","",L270-IF(M270="",0,M270)-IF(Q270="",0,Q270)-IF(T270="",0,T270))</f>
        <v/>
      </c>
      <c r="Y270">
        <f>IF(W270="IC","OUI",IF(W270="HC","OUI",IF(W270="HR","NON","A_CONTROLER")))</f>
        <v/>
      </c>
      <c r="Z270">
        <f>IF(W270="IC","OUI",IF(W270="HC","NON",IF(W270="HR","NON","A_CONTROLER")))</f>
        <v/>
      </c>
    </row>
    <row r="271">
      <c r="B271">
        <f>IF(A271="","",A271&amp;"|"&amp;D271&amp;"|"&amp;F271&amp;"|"&amp;G271&amp;"|"&amp;TEXT(I271,"YYYYMMDD")&amp;"|"&amp;TEXT(L271,"0.00"))</f>
        <v/>
      </c>
      <c r="C271">
        <f>IF(I271="","",TEXT(I271,"YYYY-MM"))</f>
        <v/>
      </c>
      <c r="K271">
        <f>IF(OR(I271="",J271=""),"",J271-I271)</f>
        <v/>
      </c>
      <c r="N271">
        <f>IF(F271="","",IFERROR(VLOOKUP(F271,lst_PropTauxLookup,2,0),""))</f>
        <v/>
      </c>
      <c r="O271">
        <f>IF(F271="","",IF(ISNUMBER(IFERROR(VLOOKUP(F271,lst_PropTauxLookup,2,0),"")),"REF_PROPRIETAIRE","A_CONTROLER"))</f>
        <v/>
      </c>
      <c r="Q271">
        <f>IF(OR(L271="",N271=""),"",IFERROR((L271-IF(M271="",0,M271))*N271,0))</f>
        <v/>
      </c>
      <c r="V271">
        <f>IF(L271="","",L271-IF(M271="",0,M271)-IF(Q271="",0,Q271)-IF(T271="",0,T271))</f>
        <v/>
      </c>
      <c r="Y271">
        <f>IF(W271="IC","OUI",IF(W271="HC","OUI",IF(W271="HR","NON","A_CONTROLER")))</f>
        <v/>
      </c>
      <c r="Z271">
        <f>IF(W271="IC","OUI",IF(W271="HC","NON",IF(W271="HR","NON","A_CONTROLER")))</f>
        <v/>
      </c>
    </row>
    <row r="272">
      <c r="B272">
        <f>IF(A272="","",A272&amp;"|"&amp;D272&amp;"|"&amp;F272&amp;"|"&amp;G272&amp;"|"&amp;TEXT(I272,"YYYYMMDD")&amp;"|"&amp;TEXT(L272,"0.00"))</f>
        <v/>
      </c>
      <c r="C272">
        <f>IF(I272="","",TEXT(I272,"YYYY-MM"))</f>
        <v/>
      </c>
      <c r="K272">
        <f>IF(OR(I272="",J272=""),"",J272-I272)</f>
        <v/>
      </c>
      <c r="N272">
        <f>IF(F272="","",IFERROR(VLOOKUP(F272,lst_PropTauxLookup,2,0),""))</f>
        <v/>
      </c>
      <c r="O272">
        <f>IF(F272="","",IF(ISNUMBER(IFERROR(VLOOKUP(F272,lst_PropTauxLookup,2,0),"")),"REF_PROPRIETAIRE","A_CONTROLER"))</f>
        <v/>
      </c>
      <c r="Q272">
        <f>IF(OR(L272="",N272=""),"",IFERROR((L272-IF(M272="",0,M272))*N272,0))</f>
        <v/>
      </c>
      <c r="V272">
        <f>IF(L272="","",L272-IF(M272="",0,M272)-IF(Q272="",0,Q272)-IF(T272="",0,T272))</f>
        <v/>
      </c>
      <c r="Y272">
        <f>IF(W272="IC","OUI",IF(W272="HC","OUI",IF(W272="HR","NON","A_CONTROLER")))</f>
        <v/>
      </c>
      <c r="Z272">
        <f>IF(W272="IC","OUI",IF(W272="HC","NON",IF(W272="HR","NON","A_CONTROLER")))</f>
        <v/>
      </c>
    </row>
    <row r="273">
      <c r="B273">
        <f>IF(A273="","",A273&amp;"|"&amp;D273&amp;"|"&amp;F273&amp;"|"&amp;G273&amp;"|"&amp;TEXT(I273,"YYYYMMDD")&amp;"|"&amp;TEXT(L273,"0.00"))</f>
        <v/>
      </c>
      <c r="C273">
        <f>IF(I273="","",TEXT(I273,"YYYY-MM"))</f>
        <v/>
      </c>
      <c r="K273">
        <f>IF(OR(I273="",J273=""),"",J273-I273)</f>
        <v/>
      </c>
      <c r="N273">
        <f>IF(F273="","",IFERROR(VLOOKUP(F273,lst_PropTauxLookup,2,0),""))</f>
        <v/>
      </c>
      <c r="O273">
        <f>IF(F273="","",IF(ISNUMBER(IFERROR(VLOOKUP(F273,lst_PropTauxLookup,2,0),"")),"REF_PROPRIETAIRE","A_CONTROLER"))</f>
        <v/>
      </c>
      <c r="Q273">
        <f>IF(OR(L273="",N273=""),"",IFERROR((L273-IF(M273="",0,M273))*N273,0))</f>
        <v/>
      </c>
      <c r="V273">
        <f>IF(L273="","",L273-IF(M273="",0,M273)-IF(Q273="",0,Q273)-IF(T273="",0,T273))</f>
        <v/>
      </c>
      <c r="Y273">
        <f>IF(W273="IC","OUI",IF(W273="HC","OUI",IF(W273="HR","NON","A_CONTROLER")))</f>
        <v/>
      </c>
      <c r="Z273">
        <f>IF(W273="IC","OUI",IF(W273="HC","NON",IF(W273="HR","NON","A_CONTROLER")))</f>
        <v/>
      </c>
    </row>
    <row r="274">
      <c r="B274">
        <f>IF(A274="","",A274&amp;"|"&amp;D274&amp;"|"&amp;F274&amp;"|"&amp;G274&amp;"|"&amp;TEXT(I274,"YYYYMMDD")&amp;"|"&amp;TEXT(L274,"0.00"))</f>
        <v/>
      </c>
      <c r="C274">
        <f>IF(I274="","",TEXT(I274,"YYYY-MM"))</f>
        <v/>
      </c>
      <c r="K274">
        <f>IF(OR(I274="",J274=""),"",J274-I274)</f>
        <v/>
      </c>
      <c r="N274">
        <f>IF(F274="","",IFERROR(VLOOKUP(F274,lst_PropTauxLookup,2,0),""))</f>
        <v/>
      </c>
      <c r="O274">
        <f>IF(F274="","",IF(ISNUMBER(IFERROR(VLOOKUP(F274,lst_PropTauxLookup,2,0),"")),"REF_PROPRIETAIRE","A_CONTROLER"))</f>
        <v/>
      </c>
      <c r="Q274">
        <f>IF(OR(L274="",N274=""),"",IFERROR((L274-IF(M274="",0,M274))*N274,0))</f>
        <v/>
      </c>
      <c r="V274">
        <f>IF(L274="","",L274-IF(M274="",0,M274)-IF(Q274="",0,Q274)-IF(T274="",0,T274))</f>
        <v/>
      </c>
      <c r="Y274">
        <f>IF(W274="IC","OUI",IF(W274="HC","OUI",IF(W274="HR","NON","A_CONTROLER")))</f>
        <v/>
      </c>
      <c r="Z274">
        <f>IF(W274="IC","OUI",IF(W274="HC","NON",IF(W274="HR","NON","A_CONTROLER")))</f>
        <v/>
      </c>
    </row>
    <row r="275">
      <c r="B275">
        <f>IF(A275="","",A275&amp;"|"&amp;D275&amp;"|"&amp;F275&amp;"|"&amp;G275&amp;"|"&amp;TEXT(I275,"YYYYMMDD")&amp;"|"&amp;TEXT(L275,"0.00"))</f>
        <v/>
      </c>
      <c r="C275">
        <f>IF(I275="","",TEXT(I275,"YYYY-MM"))</f>
        <v/>
      </c>
      <c r="K275">
        <f>IF(OR(I275="",J275=""),"",J275-I275)</f>
        <v/>
      </c>
      <c r="N275">
        <f>IF(F275="","",IFERROR(VLOOKUP(F275,lst_PropTauxLookup,2,0),""))</f>
        <v/>
      </c>
      <c r="O275">
        <f>IF(F275="","",IF(ISNUMBER(IFERROR(VLOOKUP(F275,lst_PropTauxLookup,2,0),"")),"REF_PROPRIETAIRE","A_CONTROLER"))</f>
        <v/>
      </c>
      <c r="Q275">
        <f>IF(OR(L275="",N275=""),"",IFERROR((L275-IF(M275="",0,M275))*N275,0))</f>
        <v/>
      </c>
      <c r="V275">
        <f>IF(L275="","",L275-IF(M275="",0,M275)-IF(Q275="",0,Q275)-IF(T275="",0,T275))</f>
        <v/>
      </c>
      <c r="Y275">
        <f>IF(W275="IC","OUI",IF(W275="HC","OUI",IF(W275="HR","NON","A_CONTROLER")))</f>
        <v/>
      </c>
      <c r="Z275">
        <f>IF(W275="IC","OUI",IF(W275="HC","NON",IF(W275="HR","NON","A_CONTROLER")))</f>
        <v/>
      </c>
    </row>
    <row r="276">
      <c r="B276">
        <f>IF(A276="","",A276&amp;"|"&amp;D276&amp;"|"&amp;F276&amp;"|"&amp;G276&amp;"|"&amp;TEXT(I276,"YYYYMMDD")&amp;"|"&amp;TEXT(L276,"0.00"))</f>
        <v/>
      </c>
      <c r="C276">
        <f>IF(I276="","",TEXT(I276,"YYYY-MM"))</f>
        <v/>
      </c>
      <c r="K276">
        <f>IF(OR(I276="",J276=""),"",J276-I276)</f>
        <v/>
      </c>
      <c r="N276">
        <f>IF(F276="","",IFERROR(VLOOKUP(F276,lst_PropTauxLookup,2,0),""))</f>
        <v/>
      </c>
      <c r="O276">
        <f>IF(F276="","",IF(ISNUMBER(IFERROR(VLOOKUP(F276,lst_PropTauxLookup,2,0),"")),"REF_PROPRIETAIRE","A_CONTROLER"))</f>
        <v/>
      </c>
      <c r="Q276">
        <f>IF(OR(L276="",N276=""),"",IFERROR((L276-IF(M276="",0,M276))*N276,0))</f>
        <v/>
      </c>
      <c r="V276">
        <f>IF(L276="","",L276-IF(M276="",0,M276)-IF(Q276="",0,Q276)-IF(T276="",0,T276))</f>
        <v/>
      </c>
      <c r="Y276">
        <f>IF(W276="IC","OUI",IF(W276="HC","OUI",IF(W276="HR","NON","A_CONTROLER")))</f>
        <v/>
      </c>
      <c r="Z276">
        <f>IF(W276="IC","OUI",IF(W276="HC","NON",IF(W276="HR","NON","A_CONTROLER")))</f>
        <v/>
      </c>
    </row>
    <row r="277">
      <c r="B277">
        <f>IF(A277="","",A277&amp;"|"&amp;D277&amp;"|"&amp;F277&amp;"|"&amp;G277&amp;"|"&amp;TEXT(I277,"YYYYMMDD")&amp;"|"&amp;TEXT(L277,"0.00"))</f>
        <v/>
      </c>
      <c r="C277">
        <f>IF(I277="","",TEXT(I277,"YYYY-MM"))</f>
        <v/>
      </c>
      <c r="K277">
        <f>IF(OR(I277="",J277=""),"",J277-I277)</f>
        <v/>
      </c>
      <c r="N277">
        <f>IF(F277="","",IFERROR(VLOOKUP(F277,lst_PropTauxLookup,2,0),""))</f>
        <v/>
      </c>
      <c r="O277">
        <f>IF(F277="","",IF(ISNUMBER(IFERROR(VLOOKUP(F277,lst_PropTauxLookup,2,0),"")),"REF_PROPRIETAIRE","A_CONTROLER"))</f>
        <v/>
      </c>
      <c r="Q277">
        <f>IF(OR(L277="",N277=""),"",IFERROR((L277-IF(M277="",0,M277))*N277,0))</f>
        <v/>
      </c>
      <c r="V277">
        <f>IF(L277="","",L277-IF(M277="",0,M277)-IF(Q277="",0,Q277)-IF(T277="",0,T277))</f>
        <v/>
      </c>
      <c r="Y277">
        <f>IF(W277="IC","OUI",IF(W277="HC","OUI",IF(W277="HR","NON","A_CONTROLER")))</f>
        <v/>
      </c>
      <c r="Z277">
        <f>IF(W277="IC","OUI",IF(W277="HC","NON",IF(W277="HR","NON","A_CONTROLER")))</f>
        <v/>
      </c>
    </row>
    <row r="278">
      <c r="B278">
        <f>IF(A278="","",A278&amp;"|"&amp;D278&amp;"|"&amp;F278&amp;"|"&amp;G278&amp;"|"&amp;TEXT(I278,"YYYYMMDD")&amp;"|"&amp;TEXT(L278,"0.00"))</f>
        <v/>
      </c>
      <c r="C278">
        <f>IF(I278="","",TEXT(I278,"YYYY-MM"))</f>
        <v/>
      </c>
      <c r="K278">
        <f>IF(OR(I278="",J278=""),"",J278-I278)</f>
        <v/>
      </c>
      <c r="N278">
        <f>IF(F278="","",IFERROR(VLOOKUP(F278,lst_PropTauxLookup,2,0),""))</f>
        <v/>
      </c>
      <c r="O278">
        <f>IF(F278="","",IF(ISNUMBER(IFERROR(VLOOKUP(F278,lst_PropTauxLookup,2,0),"")),"REF_PROPRIETAIRE","A_CONTROLER"))</f>
        <v/>
      </c>
      <c r="Q278">
        <f>IF(OR(L278="",N278=""),"",IFERROR((L278-IF(M278="",0,M278))*N278,0))</f>
        <v/>
      </c>
      <c r="V278">
        <f>IF(L278="","",L278-IF(M278="",0,M278)-IF(Q278="",0,Q278)-IF(T278="",0,T278))</f>
        <v/>
      </c>
      <c r="Y278">
        <f>IF(W278="IC","OUI",IF(W278="HC","OUI",IF(W278="HR","NON","A_CONTROLER")))</f>
        <v/>
      </c>
      <c r="Z278">
        <f>IF(W278="IC","OUI",IF(W278="HC","NON",IF(W278="HR","NON","A_CONTROLER")))</f>
        <v/>
      </c>
    </row>
    <row r="279">
      <c r="B279">
        <f>IF(A279="","",A279&amp;"|"&amp;D279&amp;"|"&amp;F279&amp;"|"&amp;G279&amp;"|"&amp;TEXT(I279,"YYYYMMDD")&amp;"|"&amp;TEXT(L279,"0.00"))</f>
        <v/>
      </c>
      <c r="C279">
        <f>IF(I279="","",TEXT(I279,"YYYY-MM"))</f>
        <v/>
      </c>
      <c r="K279">
        <f>IF(OR(I279="",J279=""),"",J279-I279)</f>
        <v/>
      </c>
      <c r="N279">
        <f>IF(F279="","",IFERROR(VLOOKUP(F279,lst_PropTauxLookup,2,0),""))</f>
        <v/>
      </c>
      <c r="O279">
        <f>IF(F279="","",IF(ISNUMBER(IFERROR(VLOOKUP(F279,lst_PropTauxLookup,2,0),"")),"REF_PROPRIETAIRE","A_CONTROLER"))</f>
        <v/>
      </c>
      <c r="Q279">
        <f>IF(OR(L279="",N279=""),"",IFERROR((L279-IF(M279="",0,M279))*N279,0))</f>
        <v/>
      </c>
      <c r="V279">
        <f>IF(L279="","",L279-IF(M279="",0,M279)-IF(Q279="",0,Q279)-IF(T279="",0,T279))</f>
        <v/>
      </c>
      <c r="Y279">
        <f>IF(W279="IC","OUI",IF(W279="HC","OUI",IF(W279="HR","NON","A_CONTROLER")))</f>
        <v/>
      </c>
      <c r="Z279">
        <f>IF(W279="IC","OUI",IF(W279="HC","NON",IF(W279="HR","NON","A_CONTROLER")))</f>
        <v/>
      </c>
    </row>
    <row r="280">
      <c r="B280">
        <f>IF(A280="","",A280&amp;"|"&amp;D280&amp;"|"&amp;F280&amp;"|"&amp;G280&amp;"|"&amp;TEXT(I280,"YYYYMMDD")&amp;"|"&amp;TEXT(L280,"0.00"))</f>
        <v/>
      </c>
      <c r="C280">
        <f>IF(I280="","",TEXT(I280,"YYYY-MM"))</f>
        <v/>
      </c>
      <c r="K280">
        <f>IF(OR(I280="",J280=""),"",J280-I280)</f>
        <v/>
      </c>
      <c r="N280">
        <f>IF(F280="","",IFERROR(VLOOKUP(F280,lst_PropTauxLookup,2,0),""))</f>
        <v/>
      </c>
      <c r="O280">
        <f>IF(F280="","",IF(ISNUMBER(IFERROR(VLOOKUP(F280,lst_PropTauxLookup,2,0),"")),"REF_PROPRIETAIRE","A_CONTROLER"))</f>
        <v/>
      </c>
      <c r="Q280">
        <f>IF(OR(L280="",N280=""),"",IFERROR((L280-IF(M280="",0,M280))*N280,0))</f>
        <v/>
      </c>
      <c r="V280">
        <f>IF(L280="","",L280-IF(M280="",0,M280)-IF(Q280="",0,Q280)-IF(T280="",0,T280))</f>
        <v/>
      </c>
      <c r="Y280">
        <f>IF(W280="IC","OUI",IF(W280="HC","OUI",IF(W280="HR","NON","A_CONTROLER")))</f>
        <v/>
      </c>
      <c r="Z280">
        <f>IF(W280="IC","OUI",IF(W280="HC","NON",IF(W280="HR","NON","A_CONTROLER")))</f>
        <v/>
      </c>
    </row>
    <row r="281">
      <c r="B281">
        <f>IF(A281="","",A281&amp;"|"&amp;D281&amp;"|"&amp;F281&amp;"|"&amp;G281&amp;"|"&amp;TEXT(I281,"YYYYMMDD")&amp;"|"&amp;TEXT(L281,"0.00"))</f>
        <v/>
      </c>
      <c r="C281">
        <f>IF(I281="","",TEXT(I281,"YYYY-MM"))</f>
        <v/>
      </c>
      <c r="K281">
        <f>IF(OR(I281="",J281=""),"",J281-I281)</f>
        <v/>
      </c>
      <c r="N281">
        <f>IF(F281="","",IFERROR(VLOOKUP(F281,lst_PropTauxLookup,2,0),""))</f>
        <v/>
      </c>
      <c r="O281">
        <f>IF(F281="","",IF(ISNUMBER(IFERROR(VLOOKUP(F281,lst_PropTauxLookup,2,0),"")),"REF_PROPRIETAIRE","A_CONTROLER"))</f>
        <v/>
      </c>
      <c r="Q281">
        <f>IF(OR(L281="",N281=""),"",IFERROR((L281-IF(M281="",0,M281))*N281,0))</f>
        <v/>
      </c>
      <c r="V281">
        <f>IF(L281="","",L281-IF(M281="",0,M281)-IF(Q281="",0,Q281)-IF(T281="",0,T281))</f>
        <v/>
      </c>
      <c r="Y281">
        <f>IF(W281="IC","OUI",IF(W281="HC","OUI",IF(W281="HR","NON","A_CONTROLER")))</f>
        <v/>
      </c>
      <c r="Z281">
        <f>IF(W281="IC","OUI",IF(W281="HC","NON",IF(W281="HR","NON","A_CONTROLER")))</f>
        <v/>
      </c>
    </row>
    <row r="282">
      <c r="B282">
        <f>IF(A282="","",A282&amp;"|"&amp;D282&amp;"|"&amp;F282&amp;"|"&amp;G282&amp;"|"&amp;TEXT(I282,"YYYYMMDD")&amp;"|"&amp;TEXT(L282,"0.00"))</f>
        <v/>
      </c>
      <c r="C282">
        <f>IF(I282="","",TEXT(I282,"YYYY-MM"))</f>
        <v/>
      </c>
      <c r="K282">
        <f>IF(OR(I282="",J282=""),"",J282-I282)</f>
        <v/>
      </c>
      <c r="N282">
        <f>IF(F282="","",IFERROR(VLOOKUP(F282,lst_PropTauxLookup,2,0),""))</f>
        <v/>
      </c>
      <c r="O282">
        <f>IF(F282="","",IF(ISNUMBER(IFERROR(VLOOKUP(F282,lst_PropTauxLookup,2,0),"")),"REF_PROPRIETAIRE","A_CONTROLER"))</f>
        <v/>
      </c>
      <c r="Q282">
        <f>IF(OR(L282="",N282=""),"",IFERROR((L282-IF(M282="",0,M282))*N282,0))</f>
        <v/>
      </c>
      <c r="V282">
        <f>IF(L282="","",L282-IF(M282="",0,M282)-IF(Q282="",0,Q282)-IF(T282="",0,T282))</f>
        <v/>
      </c>
      <c r="Y282">
        <f>IF(W282="IC","OUI",IF(W282="HC","OUI",IF(W282="HR","NON","A_CONTROLER")))</f>
        <v/>
      </c>
      <c r="Z282">
        <f>IF(W282="IC","OUI",IF(W282="HC","NON",IF(W282="HR","NON","A_CONTROLER")))</f>
        <v/>
      </c>
    </row>
    <row r="283">
      <c r="B283">
        <f>IF(A283="","",A283&amp;"|"&amp;D283&amp;"|"&amp;F283&amp;"|"&amp;G283&amp;"|"&amp;TEXT(I283,"YYYYMMDD")&amp;"|"&amp;TEXT(L283,"0.00"))</f>
        <v/>
      </c>
      <c r="C283">
        <f>IF(I283="","",TEXT(I283,"YYYY-MM"))</f>
        <v/>
      </c>
      <c r="K283">
        <f>IF(OR(I283="",J283=""),"",J283-I283)</f>
        <v/>
      </c>
      <c r="N283">
        <f>IF(F283="","",IFERROR(VLOOKUP(F283,lst_PropTauxLookup,2,0),""))</f>
        <v/>
      </c>
      <c r="O283">
        <f>IF(F283="","",IF(ISNUMBER(IFERROR(VLOOKUP(F283,lst_PropTauxLookup,2,0),"")),"REF_PROPRIETAIRE","A_CONTROLER"))</f>
        <v/>
      </c>
      <c r="Q283">
        <f>IF(OR(L283="",N283=""),"",IFERROR((L283-IF(M283="",0,M283))*N283,0))</f>
        <v/>
      </c>
      <c r="V283">
        <f>IF(L283="","",L283-IF(M283="",0,M283)-IF(Q283="",0,Q283)-IF(T283="",0,T283))</f>
        <v/>
      </c>
      <c r="Y283">
        <f>IF(W283="IC","OUI",IF(W283="HC","OUI",IF(W283="HR","NON","A_CONTROLER")))</f>
        <v/>
      </c>
      <c r="Z283">
        <f>IF(W283="IC","OUI",IF(W283="HC","NON",IF(W283="HR","NON","A_CONTROLER")))</f>
        <v/>
      </c>
    </row>
    <row r="284">
      <c r="B284">
        <f>IF(A284="","",A284&amp;"|"&amp;D284&amp;"|"&amp;F284&amp;"|"&amp;G284&amp;"|"&amp;TEXT(I284,"YYYYMMDD")&amp;"|"&amp;TEXT(L284,"0.00"))</f>
        <v/>
      </c>
      <c r="C284">
        <f>IF(I284="","",TEXT(I284,"YYYY-MM"))</f>
        <v/>
      </c>
      <c r="K284">
        <f>IF(OR(I284="",J284=""),"",J284-I284)</f>
        <v/>
      </c>
      <c r="N284">
        <f>IF(F284="","",IFERROR(VLOOKUP(F284,lst_PropTauxLookup,2,0),""))</f>
        <v/>
      </c>
      <c r="O284">
        <f>IF(F284="","",IF(ISNUMBER(IFERROR(VLOOKUP(F284,lst_PropTauxLookup,2,0),"")),"REF_PROPRIETAIRE","A_CONTROLER"))</f>
        <v/>
      </c>
      <c r="Q284">
        <f>IF(OR(L284="",N284=""),"",IFERROR((L284-IF(M284="",0,M284))*N284,0))</f>
        <v/>
      </c>
      <c r="V284">
        <f>IF(L284="","",L284-IF(M284="",0,M284)-IF(Q284="",0,Q284)-IF(T284="",0,T284))</f>
        <v/>
      </c>
      <c r="Y284">
        <f>IF(W284="IC","OUI",IF(W284="HC","OUI",IF(W284="HR","NON","A_CONTROLER")))</f>
        <v/>
      </c>
      <c r="Z284">
        <f>IF(W284="IC","OUI",IF(W284="HC","NON",IF(W284="HR","NON","A_CONTROLER")))</f>
        <v/>
      </c>
    </row>
    <row r="285">
      <c r="B285">
        <f>IF(A285="","",A285&amp;"|"&amp;D285&amp;"|"&amp;F285&amp;"|"&amp;G285&amp;"|"&amp;TEXT(I285,"YYYYMMDD")&amp;"|"&amp;TEXT(L285,"0.00"))</f>
        <v/>
      </c>
      <c r="C285">
        <f>IF(I285="","",TEXT(I285,"YYYY-MM"))</f>
        <v/>
      </c>
      <c r="K285">
        <f>IF(OR(I285="",J285=""),"",J285-I285)</f>
        <v/>
      </c>
      <c r="N285">
        <f>IF(F285="","",IFERROR(VLOOKUP(F285,lst_PropTauxLookup,2,0),""))</f>
        <v/>
      </c>
      <c r="O285">
        <f>IF(F285="","",IF(ISNUMBER(IFERROR(VLOOKUP(F285,lst_PropTauxLookup,2,0),"")),"REF_PROPRIETAIRE","A_CONTROLER"))</f>
        <v/>
      </c>
      <c r="Q285">
        <f>IF(OR(L285="",N285=""),"",IFERROR((L285-IF(M285="",0,M285))*N285,0))</f>
        <v/>
      </c>
      <c r="V285">
        <f>IF(L285="","",L285-IF(M285="",0,M285)-IF(Q285="",0,Q285)-IF(T285="",0,T285))</f>
        <v/>
      </c>
      <c r="Y285">
        <f>IF(W285="IC","OUI",IF(W285="HC","OUI",IF(W285="HR","NON","A_CONTROLER")))</f>
        <v/>
      </c>
      <c r="Z285">
        <f>IF(W285="IC","OUI",IF(W285="HC","NON",IF(W285="HR","NON","A_CONTROLER")))</f>
        <v/>
      </c>
    </row>
    <row r="286">
      <c r="B286">
        <f>IF(A286="","",A286&amp;"|"&amp;D286&amp;"|"&amp;F286&amp;"|"&amp;G286&amp;"|"&amp;TEXT(I286,"YYYYMMDD")&amp;"|"&amp;TEXT(L286,"0.00"))</f>
        <v/>
      </c>
      <c r="C286">
        <f>IF(I286="","",TEXT(I286,"YYYY-MM"))</f>
        <v/>
      </c>
      <c r="K286">
        <f>IF(OR(I286="",J286=""),"",J286-I286)</f>
        <v/>
      </c>
      <c r="N286">
        <f>IF(F286="","",IFERROR(VLOOKUP(F286,lst_PropTauxLookup,2,0),""))</f>
        <v/>
      </c>
      <c r="O286">
        <f>IF(F286="","",IF(ISNUMBER(IFERROR(VLOOKUP(F286,lst_PropTauxLookup,2,0),"")),"REF_PROPRIETAIRE","A_CONTROLER"))</f>
        <v/>
      </c>
      <c r="Q286">
        <f>IF(OR(L286="",N286=""),"",IFERROR((L286-IF(M286="",0,M286))*N286,0))</f>
        <v/>
      </c>
      <c r="V286">
        <f>IF(L286="","",L286-IF(M286="",0,M286)-IF(Q286="",0,Q286)-IF(T286="",0,T286))</f>
        <v/>
      </c>
      <c r="Y286">
        <f>IF(W286="IC","OUI",IF(W286="HC","OUI",IF(W286="HR","NON","A_CONTROLER")))</f>
        <v/>
      </c>
      <c r="Z286">
        <f>IF(W286="IC","OUI",IF(W286="HC","NON",IF(W286="HR","NON","A_CONTROLER")))</f>
        <v/>
      </c>
    </row>
    <row r="287">
      <c r="B287">
        <f>IF(A287="","",A287&amp;"|"&amp;D287&amp;"|"&amp;F287&amp;"|"&amp;G287&amp;"|"&amp;TEXT(I287,"YYYYMMDD")&amp;"|"&amp;TEXT(L287,"0.00"))</f>
        <v/>
      </c>
      <c r="C287">
        <f>IF(I287="","",TEXT(I287,"YYYY-MM"))</f>
        <v/>
      </c>
      <c r="K287">
        <f>IF(OR(I287="",J287=""),"",J287-I287)</f>
        <v/>
      </c>
      <c r="N287">
        <f>IF(F287="","",IFERROR(VLOOKUP(F287,lst_PropTauxLookup,2,0),""))</f>
        <v/>
      </c>
      <c r="O287">
        <f>IF(F287="","",IF(ISNUMBER(IFERROR(VLOOKUP(F287,lst_PropTauxLookup,2,0),"")),"REF_PROPRIETAIRE","A_CONTROLER"))</f>
        <v/>
      </c>
      <c r="Q287">
        <f>IF(OR(L287="",N287=""),"",IFERROR((L287-IF(M287="",0,M287))*N287,0))</f>
        <v/>
      </c>
      <c r="V287">
        <f>IF(L287="","",L287-IF(M287="",0,M287)-IF(Q287="",0,Q287)-IF(T287="",0,T287))</f>
        <v/>
      </c>
      <c r="Y287">
        <f>IF(W287="IC","OUI",IF(W287="HC","OUI",IF(W287="HR","NON","A_CONTROLER")))</f>
        <v/>
      </c>
      <c r="Z287">
        <f>IF(W287="IC","OUI",IF(W287="HC","NON",IF(W287="HR","NON","A_CONTROLER")))</f>
        <v/>
      </c>
    </row>
    <row r="288">
      <c r="B288">
        <f>IF(A288="","",A288&amp;"|"&amp;D288&amp;"|"&amp;F288&amp;"|"&amp;G288&amp;"|"&amp;TEXT(I288,"YYYYMMDD")&amp;"|"&amp;TEXT(L288,"0.00"))</f>
        <v/>
      </c>
      <c r="C288">
        <f>IF(I288="","",TEXT(I288,"YYYY-MM"))</f>
        <v/>
      </c>
      <c r="K288">
        <f>IF(OR(I288="",J288=""),"",J288-I288)</f>
        <v/>
      </c>
      <c r="N288">
        <f>IF(F288="","",IFERROR(VLOOKUP(F288,lst_PropTauxLookup,2,0),""))</f>
        <v/>
      </c>
      <c r="O288">
        <f>IF(F288="","",IF(ISNUMBER(IFERROR(VLOOKUP(F288,lst_PropTauxLookup,2,0),"")),"REF_PROPRIETAIRE","A_CONTROLER"))</f>
        <v/>
      </c>
      <c r="Q288">
        <f>IF(OR(L288="",N288=""),"",IFERROR((L288-IF(M288="",0,M288))*N288,0))</f>
        <v/>
      </c>
      <c r="V288">
        <f>IF(L288="","",L288-IF(M288="",0,M288)-IF(Q288="",0,Q288)-IF(T288="",0,T288))</f>
        <v/>
      </c>
      <c r="Y288">
        <f>IF(W288="IC","OUI",IF(W288="HC","OUI",IF(W288="HR","NON","A_CONTROLER")))</f>
        <v/>
      </c>
      <c r="Z288">
        <f>IF(W288="IC","OUI",IF(W288="HC","NON",IF(W288="HR","NON","A_CONTROLER")))</f>
        <v/>
      </c>
    </row>
    <row r="289">
      <c r="B289">
        <f>IF(A289="","",A289&amp;"|"&amp;D289&amp;"|"&amp;F289&amp;"|"&amp;G289&amp;"|"&amp;TEXT(I289,"YYYYMMDD")&amp;"|"&amp;TEXT(L289,"0.00"))</f>
        <v/>
      </c>
      <c r="C289">
        <f>IF(I289="","",TEXT(I289,"YYYY-MM"))</f>
        <v/>
      </c>
      <c r="K289">
        <f>IF(OR(I289="",J289=""),"",J289-I289)</f>
        <v/>
      </c>
      <c r="N289">
        <f>IF(F289="","",IFERROR(VLOOKUP(F289,lst_PropTauxLookup,2,0),""))</f>
        <v/>
      </c>
      <c r="O289">
        <f>IF(F289="","",IF(ISNUMBER(IFERROR(VLOOKUP(F289,lst_PropTauxLookup,2,0),"")),"REF_PROPRIETAIRE","A_CONTROLER"))</f>
        <v/>
      </c>
      <c r="Q289">
        <f>IF(OR(L289="",N289=""),"",IFERROR((L289-IF(M289="",0,M289))*N289,0))</f>
        <v/>
      </c>
      <c r="V289">
        <f>IF(L289="","",L289-IF(M289="",0,M289)-IF(Q289="",0,Q289)-IF(T289="",0,T289))</f>
        <v/>
      </c>
      <c r="Y289">
        <f>IF(W289="IC","OUI",IF(W289="HC","OUI",IF(W289="HR","NON","A_CONTROLER")))</f>
        <v/>
      </c>
      <c r="Z289">
        <f>IF(W289="IC","OUI",IF(W289="HC","NON",IF(W289="HR","NON","A_CONTROLER")))</f>
        <v/>
      </c>
    </row>
    <row r="290">
      <c r="B290">
        <f>IF(A290="","",A290&amp;"|"&amp;D290&amp;"|"&amp;F290&amp;"|"&amp;G290&amp;"|"&amp;TEXT(I290,"YYYYMMDD")&amp;"|"&amp;TEXT(L290,"0.00"))</f>
        <v/>
      </c>
      <c r="C290">
        <f>IF(I290="","",TEXT(I290,"YYYY-MM"))</f>
        <v/>
      </c>
      <c r="K290">
        <f>IF(OR(I290="",J290=""),"",J290-I290)</f>
        <v/>
      </c>
      <c r="N290">
        <f>IF(F290="","",IFERROR(VLOOKUP(F290,lst_PropTauxLookup,2,0),""))</f>
        <v/>
      </c>
      <c r="O290">
        <f>IF(F290="","",IF(ISNUMBER(IFERROR(VLOOKUP(F290,lst_PropTauxLookup,2,0),"")),"REF_PROPRIETAIRE","A_CONTROLER"))</f>
        <v/>
      </c>
      <c r="Q290">
        <f>IF(OR(L290="",N290=""),"",IFERROR((L290-IF(M290="",0,M290))*N290,0))</f>
        <v/>
      </c>
      <c r="V290">
        <f>IF(L290="","",L290-IF(M290="",0,M290)-IF(Q290="",0,Q290)-IF(T290="",0,T290))</f>
        <v/>
      </c>
      <c r="Y290">
        <f>IF(W290="IC","OUI",IF(W290="HC","OUI",IF(W290="HR","NON","A_CONTROLER")))</f>
        <v/>
      </c>
      <c r="Z290">
        <f>IF(W290="IC","OUI",IF(W290="HC","NON",IF(W290="HR","NON","A_CONTROLER")))</f>
        <v/>
      </c>
    </row>
    <row r="291">
      <c r="B291">
        <f>IF(A291="","",A291&amp;"|"&amp;D291&amp;"|"&amp;F291&amp;"|"&amp;G291&amp;"|"&amp;TEXT(I291,"YYYYMMDD")&amp;"|"&amp;TEXT(L291,"0.00"))</f>
        <v/>
      </c>
      <c r="C291">
        <f>IF(I291="","",TEXT(I291,"YYYY-MM"))</f>
        <v/>
      </c>
      <c r="K291">
        <f>IF(OR(I291="",J291=""),"",J291-I291)</f>
        <v/>
      </c>
      <c r="N291">
        <f>IF(F291="","",IFERROR(VLOOKUP(F291,lst_PropTauxLookup,2,0),""))</f>
        <v/>
      </c>
      <c r="O291">
        <f>IF(F291="","",IF(ISNUMBER(IFERROR(VLOOKUP(F291,lst_PropTauxLookup,2,0),"")),"REF_PROPRIETAIRE","A_CONTROLER"))</f>
        <v/>
      </c>
      <c r="Q291">
        <f>IF(OR(L291="",N291=""),"",IFERROR((L291-IF(M291="",0,M291))*N291,0))</f>
        <v/>
      </c>
      <c r="V291">
        <f>IF(L291="","",L291-IF(M291="",0,M291)-IF(Q291="",0,Q291)-IF(T291="",0,T291))</f>
        <v/>
      </c>
      <c r="Y291">
        <f>IF(W291="IC","OUI",IF(W291="HC","OUI",IF(W291="HR","NON","A_CONTROLER")))</f>
        <v/>
      </c>
      <c r="Z291">
        <f>IF(W291="IC","OUI",IF(W291="HC","NON",IF(W291="HR","NON","A_CONTROLER")))</f>
        <v/>
      </c>
    </row>
    <row r="292">
      <c r="B292">
        <f>IF(A292="","",A292&amp;"|"&amp;D292&amp;"|"&amp;F292&amp;"|"&amp;G292&amp;"|"&amp;TEXT(I292,"YYYYMMDD")&amp;"|"&amp;TEXT(L292,"0.00"))</f>
        <v/>
      </c>
      <c r="C292">
        <f>IF(I292="","",TEXT(I292,"YYYY-MM"))</f>
        <v/>
      </c>
      <c r="K292">
        <f>IF(OR(I292="",J292=""),"",J292-I292)</f>
        <v/>
      </c>
      <c r="N292">
        <f>IF(F292="","",IFERROR(VLOOKUP(F292,lst_PropTauxLookup,2,0),""))</f>
        <v/>
      </c>
      <c r="O292">
        <f>IF(F292="","",IF(ISNUMBER(IFERROR(VLOOKUP(F292,lst_PropTauxLookup,2,0),"")),"REF_PROPRIETAIRE","A_CONTROLER"))</f>
        <v/>
      </c>
      <c r="Q292">
        <f>IF(OR(L292="",N292=""),"",IFERROR((L292-IF(M292="",0,M292))*N292,0))</f>
        <v/>
      </c>
      <c r="V292">
        <f>IF(L292="","",L292-IF(M292="",0,M292)-IF(Q292="",0,Q292)-IF(T292="",0,T292))</f>
        <v/>
      </c>
      <c r="Y292">
        <f>IF(W292="IC","OUI",IF(W292="HC","OUI",IF(W292="HR","NON","A_CONTROLER")))</f>
        <v/>
      </c>
      <c r="Z292">
        <f>IF(W292="IC","OUI",IF(W292="HC","NON",IF(W292="HR","NON","A_CONTROLER")))</f>
        <v/>
      </c>
    </row>
    <row r="293">
      <c r="B293">
        <f>IF(A293="","",A293&amp;"|"&amp;D293&amp;"|"&amp;F293&amp;"|"&amp;G293&amp;"|"&amp;TEXT(I293,"YYYYMMDD")&amp;"|"&amp;TEXT(L293,"0.00"))</f>
        <v/>
      </c>
      <c r="C293">
        <f>IF(I293="","",TEXT(I293,"YYYY-MM"))</f>
        <v/>
      </c>
      <c r="K293">
        <f>IF(OR(I293="",J293=""),"",J293-I293)</f>
        <v/>
      </c>
      <c r="N293">
        <f>IF(F293="","",IFERROR(VLOOKUP(F293,lst_PropTauxLookup,2,0),""))</f>
        <v/>
      </c>
      <c r="O293">
        <f>IF(F293="","",IF(ISNUMBER(IFERROR(VLOOKUP(F293,lst_PropTauxLookup,2,0),"")),"REF_PROPRIETAIRE","A_CONTROLER"))</f>
        <v/>
      </c>
      <c r="Q293">
        <f>IF(OR(L293="",N293=""),"",IFERROR((L293-IF(M293="",0,M293))*N293,0))</f>
        <v/>
      </c>
      <c r="V293">
        <f>IF(L293="","",L293-IF(M293="",0,M293)-IF(Q293="",0,Q293)-IF(T293="",0,T293))</f>
        <v/>
      </c>
      <c r="Y293">
        <f>IF(W293="IC","OUI",IF(W293="HC","OUI",IF(W293="HR","NON","A_CONTROLER")))</f>
        <v/>
      </c>
      <c r="Z293">
        <f>IF(W293="IC","OUI",IF(W293="HC","NON",IF(W293="HR","NON","A_CONTROLER")))</f>
        <v/>
      </c>
    </row>
    <row r="294">
      <c r="B294">
        <f>IF(A294="","",A294&amp;"|"&amp;D294&amp;"|"&amp;F294&amp;"|"&amp;G294&amp;"|"&amp;TEXT(I294,"YYYYMMDD")&amp;"|"&amp;TEXT(L294,"0.00"))</f>
        <v/>
      </c>
      <c r="C294">
        <f>IF(I294="","",TEXT(I294,"YYYY-MM"))</f>
        <v/>
      </c>
      <c r="K294">
        <f>IF(OR(I294="",J294=""),"",J294-I294)</f>
        <v/>
      </c>
      <c r="N294">
        <f>IF(F294="","",IFERROR(VLOOKUP(F294,lst_PropTauxLookup,2,0),""))</f>
        <v/>
      </c>
      <c r="O294">
        <f>IF(F294="","",IF(ISNUMBER(IFERROR(VLOOKUP(F294,lst_PropTauxLookup,2,0),"")),"REF_PROPRIETAIRE","A_CONTROLER"))</f>
        <v/>
      </c>
      <c r="Q294">
        <f>IF(OR(L294="",N294=""),"",IFERROR((L294-IF(M294="",0,M294))*N294,0))</f>
        <v/>
      </c>
      <c r="V294">
        <f>IF(L294="","",L294-IF(M294="",0,M294)-IF(Q294="",0,Q294)-IF(T294="",0,T294))</f>
        <v/>
      </c>
      <c r="Y294">
        <f>IF(W294="IC","OUI",IF(W294="HC","OUI",IF(W294="HR","NON","A_CONTROLER")))</f>
        <v/>
      </c>
      <c r="Z294">
        <f>IF(W294="IC","OUI",IF(W294="HC","NON",IF(W294="HR","NON","A_CONTROLER")))</f>
        <v/>
      </c>
    </row>
    <row r="295">
      <c r="B295">
        <f>IF(A295="","",A295&amp;"|"&amp;D295&amp;"|"&amp;F295&amp;"|"&amp;G295&amp;"|"&amp;TEXT(I295,"YYYYMMDD")&amp;"|"&amp;TEXT(L295,"0.00"))</f>
        <v/>
      </c>
      <c r="C295">
        <f>IF(I295="","",TEXT(I295,"YYYY-MM"))</f>
        <v/>
      </c>
      <c r="K295">
        <f>IF(OR(I295="",J295=""),"",J295-I295)</f>
        <v/>
      </c>
      <c r="N295">
        <f>IF(F295="","",IFERROR(VLOOKUP(F295,lst_PropTauxLookup,2,0),""))</f>
        <v/>
      </c>
      <c r="O295">
        <f>IF(F295="","",IF(ISNUMBER(IFERROR(VLOOKUP(F295,lst_PropTauxLookup,2,0),"")),"REF_PROPRIETAIRE","A_CONTROLER"))</f>
        <v/>
      </c>
      <c r="Q295">
        <f>IF(OR(L295="",N295=""),"",IFERROR((L295-IF(M295="",0,M295))*N295,0))</f>
        <v/>
      </c>
      <c r="V295">
        <f>IF(L295="","",L295-IF(M295="",0,M295)-IF(Q295="",0,Q295)-IF(T295="",0,T295))</f>
        <v/>
      </c>
      <c r="Y295">
        <f>IF(W295="IC","OUI",IF(W295="HC","OUI",IF(W295="HR","NON","A_CONTROLER")))</f>
        <v/>
      </c>
      <c r="Z295">
        <f>IF(W295="IC","OUI",IF(W295="HC","NON",IF(W295="HR","NON","A_CONTROLER")))</f>
        <v/>
      </c>
    </row>
    <row r="296">
      <c r="B296">
        <f>IF(A296="","",A296&amp;"|"&amp;D296&amp;"|"&amp;F296&amp;"|"&amp;G296&amp;"|"&amp;TEXT(I296,"YYYYMMDD")&amp;"|"&amp;TEXT(L296,"0.00"))</f>
        <v/>
      </c>
      <c r="C296">
        <f>IF(I296="","",TEXT(I296,"YYYY-MM"))</f>
        <v/>
      </c>
      <c r="K296">
        <f>IF(OR(I296="",J296=""),"",J296-I296)</f>
        <v/>
      </c>
      <c r="N296">
        <f>IF(F296="","",IFERROR(VLOOKUP(F296,lst_PropTauxLookup,2,0),""))</f>
        <v/>
      </c>
      <c r="O296">
        <f>IF(F296="","",IF(ISNUMBER(IFERROR(VLOOKUP(F296,lst_PropTauxLookup,2,0),"")),"REF_PROPRIETAIRE","A_CONTROLER"))</f>
        <v/>
      </c>
      <c r="Q296">
        <f>IF(OR(L296="",N296=""),"",IFERROR((L296-IF(M296="",0,M296))*N296,0))</f>
        <v/>
      </c>
      <c r="V296">
        <f>IF(L296="","",L296-IF(M296="",0,M296)-IF(Q296="",0,Q296)-IF(T296="",0,T296))</f>
        <v/>
      </c>
      <c r="Y296">
        <f>IF(W296="IC","OUI",IF(W296="HC","OUI",IF(W296="HR","NON","A_CONTROLER")))</f>
        <v/>
      </c>
      <c r="Z296">
        <f>IF(W296="IC","OUI",IF(W296="HC","NON",IF(W296="HR","NON","A_CONTROLER")))</f>
        <v/>
      </c>
    </row>
    <row r="297">
      <c r="B297">
        <f>IF(A297="","",A297&amp;"|"&amp;D297&amp;"|"&amp;F297&amp;"|"&amp;G297&amp;"|"&amp;TEXT(I297,"YYYYMMDD")&amp;"|"&amp;TEXT(L297,"0.00"))</f>
        <v/>
      </c>
      <c r="C297">
        <f>IF(I297="","",TEXT(I297,"YYYY-MM"))</f>
        <v/>
      </c>
      <c r="K297">
        <f>IF(OR(I297="",J297=""),"",J297-I297)</f>
        <v/>
      </c>
      <c r="N297">
        <f>IF(F297="","",IFERROR(VLOOKUP(F297,lst_PropTauxLookup,2,0),""))</f>
        <v/>
      </c>
      <c r="O297">
        <f>IF(F297="","",IF(ISNUMBER(IFERROR(VLOOKUP(F297,lst_PropTauxLookup,2,0),"")),"REF_PROPRIETAIRE","A_CONTROLER"))</f>
        <v/>
      </c>
      <c r="Q297">
        <f>IF(OR(L297="",N297=""),"",IFERROR((L297-IF(M297="",0,M297))*N297,0))</f>
        <v/>
      </c>
      <c r="V297">
        <f>IF(L297="","",L297-IF(M297="",0,M297)-IF(Q297="",0,Q297)-IF(T297="",0,T297))</f>
        <v/>
      </c>
      <c r="Y297">
        <f>IF(W297="IC","OUI",IF(W297="HC","OUI",IF(W297="HR","NON","A_CONTROLER")))</f>
        <v/>
      </c>
      <c r="Z297">
        <f>IF(W297="IC","OUI",IF(W297="HC","NON",IF(W297="HR","NON","A_CONTROLER")))</f>
        <v/>
      </c>
    </row>
    <row r="298">
      <c r="B298">
        <f>IF(A298="","",A298&amp;"|"&amp;D298&amp;"|"&amp;F298&amp;"|"&amp;G298&amp;"|"&amp;TEXT(I298,"YYYYMMDD")&amp;"|"&amp;TEXT(L298,"0.00"))</f>
        <v/>
      </c>
      <c r="C298">
        <f>IF(I298="","",TEXT(I298,"YYYY-MM"))</f>
        <v/>
      </c>
      <c r="K298">
        <f>IF(OR(I298="",J298=""),"",J298-I298)</f>
        <v/>
      </c>
      <c r="N298">
        <f>IF(F298="","",IFERROR(VLOOKUP(F298,lst_PropTauxLookup,2,0),""))</f>
        <v/>
      </c>
      <c r="O298">
        <f>IF(F298="","",IF(ISNUMBER(IFERROR(VLOOKUP(F298,lst_PropTauxLookup,2,0),"")),"REF_PROPRIETAIRE","A_CONTROLER"))</f>
        <v/>
      </c>
      <c r="Q298">
        <f>IF(OR(L298="",N298=""),"",IFERROR((L298-IF(M298="",0,M298))*N298,0))</f>
        <v/>
      </c>
      <c r="V298">
        <f>IF(L298="","",L298-IF(M298="",0,M298)-IF(Q298="",0,Q298)-IF(T298="",0,T298))</f>
        <v/>
      </c>
      <c r="Y298">
        <f>IF(W298="IC","OUI",IF(W298="HC","OUI",IF(W298="HR","NON","A_CONTROLER")))</f>
        <v/>
      </c>
      <c r="Z298">
        <f>IF(W298="IC","OUI",IF(W298="HC","NON",IF(W298="HR","NON","A_CONTROLER")))</f>
        <v/>
      </c>
    </row>
    <row r="299">
      <c r="B299">
        <f>IF(A299="","",A299&amp;"|"&amp;D299&amp;"|"&amp;F299&amp;"|"&amp;G299&amp;"|"&amp;TEXT(I299,"YYYYMMDD")&amp;"|"&amp;TEXT(L299,"0.00"))</f>
        <v/>
      </c>
      <c r="C299">
        <f>IF(I299="","",TEXT(I299,"YYYY-MM"))</f>
        <v/>
      </c>
      <c r="K299">
        <f>IF(OR(I299="",J299=""),"",J299-I299)</f>
        <v/>
      </c>
      <c r="N299">
        <f>IF(F299="","",IFERROR(VLOOKUP(F299,lst_PropTauxLookup,2,0),""))</f>
        <v/>
      </c>
      <c r="O299">
        <f>IF(F299="","",IF(ISNUMBER(IFERROR(VLOOKUP(F299,lst_PropTauxLookup,2,0),"")),"REF_PROPRIETAIRE","A_CONTROLER"))</f>
        <v/>
      </c>
      <c r="Q299">
        <f>IF(OR(L299="",N299=""),"",IFERROR((L299-IF(M299="",0,M299))*N299,0))</f>
        <v/>
      </c>
      <c r="V299">
        <f>IF(L299="","",L299-IF(M299="",0,M299)-IF(Q299="",0,Q299)-IF(T299="",0,T299))</f>
        <v/>
      </c>
      <c r="Y299">
        <f>IF(W299="IC","OUI",IF(W299="HC","OUI",IF(W299="HR","NON","A_CONTROLER")))</f>
        <v/>
      </c>
      <c r="Z299">
        <f>IF(W299="IC","OUI",IF(W299="HC","NON",IF(W299="HR","NON","A_CONTROLER")))</f>
        <v/>
      </c>
    </row>
    <row r="300">
      <c r="B300">
        <f>IF(A300="","",A300&amp;"|"&amp;D300&amp;"|"&amp;F300&amp;"|"&amp;G300&amp;"|"&amp;TEXT(I300,"YYYYMMDD")&amp;"|"&amp;TEXT(L300,"0.00"))</f>
        <v/>
      </c>
      <c r="C300">
        <f>IF(I300="","",TEXT(I300,"YYYY-MM"))</f>
        <v/>
      </c>
      <c r="K300">
        <f>IF(OR(I300="",J300=""),"",J300-I300)</f>
        <v/>
      </c>
      <c r="N300">
        <f>IF(F300="","",IFERROR(VLOOKUP(F300,lst_PropTauxLookup,2,0),""))</f>
        <v/>
      </c>
      <c r="O300">
        <f>IF(F300="","",IF(ISNUMBER(IFERROR(VLOOKUP(F300,lst_PropTauxLookup,2,0),"")),"REF_PROPRIETAIRE","A_CONTROLER"))</f>
        <v/>
      </c>
      <c r="Q300">
        <f>IF(OR(L300="",N300=""),"",IFERROR((L300-IF(M300="",0,M300))*N300,0))</f>
        <v/>
      </c>
      <c r="V300">
        <f>IF(L300="","",L300-IF(M300="",0,M300)-IF(Q300="",0,Q300)-IF(T300="",0,T300))</f>
        <v/>
      </c>
      <c r="Y300">
        <f>IF(W300="IC","OUI",IF(W300="HC","OUI",IF(W300="HR","NON","A_CONTROLER")))</f>
        <v/>
      </c>
      <c r="Z300">
        <f>IF(W300="IC","OUI",IF(W300="HC","NON",IF(W300="HR","NON","A_CONTROLER")))</f>
        <v/>
      </c>
    </row>
    <row r="301">
      <c r="B301">
        <f>IF(A301="","",A301&amp;"|"&amp;D301&amp;"|"&amp;F301&amp;"|"&amp;G301&amp;"|"&amp;TEXT(I301,"YYYYMMDD")&amp;"|"&amp;TEXT(L301,"0.00"))</f>
        <v/>
      </c>
      <c r="C301">
        <f>IF(I301="","",TEXT(I301,"YYYY-MM"))</f>
        <v/>
      </c>
      <c r="K301">
        <f>IF(OR(I301="",J301=""),"",J301-I301)</f>
        <v/>
      </c>
      <c r="N301">
        <f>IF(F301="","",IFERROR(VLOOKUP(F301,lst_PropTauxLookup,2,0),""))</f>
        <v/>
      </c>
      <c r="O301">
        <f>IF(F301="","",IF(ISNUMBER(IFERROR(VLOOKUP(F301,lst_PropTauxLookup,2,0),"")),"REF_PROPRIETAIRE","A_CONTROLER"))</f>
        <v/>
      </c>
      <c r="Q301">
        <f>IF(OR(L301="",N301=""),"",IFERROR((L301-IF(M301="",0,M301))*N301,0))</f>
        <v/>
      </c>
      <c r="V301">
        <f>IF(L301="","",L301-IF(M301="",0,M301)-IF(Q301="",0,Q301)-IF(T301="",0,T301))</f>
        <v/>
      </c>
      <c r="Y301">
        <f>IF(W301="IC","OUI",IF(W301="HC","OUI",IF(W301="HR","NON","A_CONTROLER")))</f>
        <v/>
      </c>
      <c r="Z301">
        <f>IF(W301="IC","OUI",IF(W301="HC","NON",IF(W301="HR","NON","A_CONTROLER")))</f>
        <v/>
      </c>
    </row>
    <row r="302">
      <c r="B302">
        <f>IF(A302="","",A302&amp;"|"&amp;D302&amp;"|"&amp;F302&amp;"|"&amp;G302&amp;"|"&amp;TEXT(I302,"YYYYMMDD")&amp;"|"&amp;TEXT(L302,"0.00"))</f>
        <v/>
      </c>
      <c r="C302">
        <f>IF(I302="","",TEXT(I302,"YYYY-MM"))</f>
        <v/>
      </c>
      <c r="K302">
        <f>IF(OR(I302="",J302=""),"",J302-I302)</f>
        <v/>
      </c>
      <c r="N302">
        <f>IF(F302="","",IFERROR(VLOOKUP(F302,lst_PropTauxLookup,2,0),""))</f>
        <v/>
      </c>
      <c r="O302">
        <f>IF(F302="","",IF(ISNUMBER(IFERROR(VLOOKUP(F302,lst_PropTauxLookup,2,0),"")),"REF_PROPRIETAIRE","A_CONTROLER"))</f>
        <v/>
      </c>
      <c r="Q302">
        <f>IF(OR(L302="",N302=""),"",IFERROR((L302-IF(M302="",0,M302))*N302,0))</f>
        <v/>
      </c>
      <c r="V302">
        <f>IF(L302="","",L302-IF(M302="",0,M302)-IF(Q302="",0,Q302)-IF(T302="",0,T302))</f>
        <v/>
      </c>
      <c r="Y302">
        <f>IF(W302="IC","OUI",IF(W302="HC","OUI",IF(W302="HR","NON","A_CONTROLER")))</f>
        <v/>
      </c>
      <c r="Z302">
        <f>IF(W302="IC","OUI",IF(W302="HC","NON",IF(W302="HR","NON","A_CONTROLER")))</f>
        <v/>
      </c>
    </row>
    <row r="303">
      <c r="B303">
        <f>IF(A303="","",A303&amp;"|"&amp;D303&amp;"|"&amp;F303&amp;"|"&amp;G303&amp;"|"&amp;TEXT(I303,"YYYYMMDD")&amp;"|"&amp;TEXT(L303,"0.00"))</f>
        <v/>
      </c>
      <c r="C303">
        <f>IF(I303="","",TEXT(I303,"YYYY-MM"))</f>
        <v/>
      </c>
      <c r="K303">
        <f>IF(OR(I303="",J303=""),"",J303-I303)</f>
        <v/>
      </c>
      <c r="N303">
        <f>IF(F303="","",IFERROR(VLOOKUP(F303,lst_PropTauxLookup,2,0),""))</f>
        <v/>
      </c>
      <c r="O303">
        <f>IF(F303="","",IF(ISNUMBER(IFERROR(VLOOKUP(F303,lst_PropTauxLookup,2,0),"")),"REF_PROPRIETAIRE","A_CONTROLER"))</f>
        <v/>
      </c>
      <c r="Q303">
        <f>IF(OR(L303="",N303=""),"",IFERROR((L303-IF(M303="",0,M303))*N303,0))</f>
        <v/>
      </c>
      <c r="V303">
        <f>IF(L303="","",L303-IF(M303="",0,M303)-IF(Q303="",0,Q303)-IF(T303="",0,T303))</f>
        <v/>
      </c>
      <c r="Y303">
        <f>IF(W303="IC","OUI",IF(W303="HC","OUI",IF(W303="HR","NON","A_CONTROLER")))</f>
        <v/>
      </c>
      <c r="Z303">
        <f>IF(W303="IC","OUI",IF(W303="HC","NON",IF(W303="HR","NON","A_CONTROLER")))</f>
        <v/>
      </c>
    </row>
    <row r="304">
      <c r="B304">
        <f>IF(A304="","",A304&amp;"|"&amp;D304&amp;"|"&amp;F304&amp;"|"&amp;G304&amp;"|"&amp;TEXT(I304,"YYYYMMDD")&amp;"|"&amp;TEXT(L304,"0.00"))</f>
        <v/>
      </c>
      <c r="C304">
        <f>IF(I304="","",TEXT(I304,"YYYY-MM"))</f>
        <v/>
      </c>
      <c r="K304">
        <f>IF(OR(I304="",J304=""),"",J304-I304)</f>
        <v/>
      </c>
      <c r="N304">
        <f>IF(F304="","",IFERROR(VLOOKUP(F304,lst_PropTauxLookup,2,0),""))</f>
        <v/>
      </c>
      <c r="O304">
        <f>IF(F304="","",IF(ISNUMBER(IFERROR(VLOOKUP(F304,lst_PropTauxLookup,2,0),"")),"REF_PROPRIETAIRE","A_CONTROLER"))</f>
        <v/>
      </c>
      <c r="Q304">
        <f>IF(OR(L304="",N304=""),"",IFERROR((L304-IF(M304="",0,M304))*N304,0))</f>
        <v/>
      </c>
      <c r="V304">
        <f>IF(L304="","",L304-IF(M304="",0,M304)-IF(Q304="",0,Q304)-IF(T304="",0,T304))</f>
        <v/>
      </c>
      <c r="Y304">
        <f>IF(W304="IC","OUI",IF(W304="HC","OUI",IF(W304="HR","NON","A_CONTROLER")))</f>
        <v/>
      </c>
      <c r="Z304">
        <f>IF(W304="IC","OUI",IF(W304="HC","NON",IF(W304="HR","NON","A_CONTROLER")))</f>
        <v/>
      </c>
    </row>
    <row r="305">
      <c r="B305">
        <f>IF(A305="","",A305&amp;"|"&amp;D305&amp;"|"&amp;F305&amp;"|"&amp;G305&amp;"|"&amp;TEXT(I305,"YYYYMMDD")&amp;"|"&amp;TEXT(L305,"0.00"))</f>
        <v/>
      </c>
      <c r="C305">
        <f>IF(I305="","",TEXT(I305,"YYYY-MM"))</f>
        <v/>
      </c>
      <c r="K305">
        <f>IF(OR(I305="",J305=""),"",J305-I305)</f>
        <v/>
      </c>
      <c r="N305">
        <f>IF(F305="","",IFERROR(VLOOKUP(F305,lst_PropTauxLookup,2,0),""))</f>
        <v/>
      </c>
      <c r="O305">
        <f>IF(F305="","",IF(ISNUMBER(IFERROR(VLOOKUP(F305,lst_PropTauxLookup,2,0),"")),"REF_PROPRIETAIRE","A_CONTROLER"))</f>
        <v/>
      </c>
      <c r="Q305">
        <f>IF(OR(L305="",N305=""),"",IFERROR((L305-IF(M305="",0,M305))*N305,0))</f>
        <v/>
      </c>
      <c r="V305">
        <f>IF(L305="","",L305-IF(M305="",0,M305)-IF(Q305="",0,Q305)-IF(T305="",0,T305))</f>
        <v/>
      </c>
      <c r="Y305">
        <f>IF(W305="IC","OUI",IF(W305="HC","OUI",IF(W305="HR","NON","A_CONTROLER")))</f>
        <v/>
      </c>
      <c r="Z305">
        <f>IF(W305="IC","OUI",IF(W305="HC","NON",IF(W305="HR","NON","A_CONTROLER")))</f>
        <v/>
      </c>
    </row>
    <row r="306">
      <c r="B306">
        <f>IF(A306="","",A306&amp;"|"&amp;D306&amp;"|"&amp;F306&amp;"|"&amp;G306&amp;"|"&amp;TEXT(I306,"YYYYMMDD")&amp;"|"&amp;TEXT(L306,"0.00"))</f>
        <v/>
      </c>
      <c r="C306">
        <f>IF(I306="","",TEXT(I306,"YYYY-MM"))</f>
        <v/>
      </c>
      <c r="K306">
        <f>IF(OR(I306="",J306=""),"",J306-I306)</f>
        <v/>
      </c>
      <c r="N306">
        <f>IF(F306="","",IFERROR(VLOOKUP(F306,lst_PropTauxLookup,2,0),""))</f>
        <v/>
      </c>
      <c r="O306">
        <f>IF(F306="","",IF(ISNUMBER(IFERROR(VLOOKUP(F306,lst_PropTauxLookup,2,0),"")),"REF_PROPRIETAIRE","A_CONTROLER"))</f>
        <v/>
      </c>
      <c r="Q306">
        <f>IF(OR(L306="",N306=""),"",IFERROR((L306-IF(M306="",0,M306))*N306,0))</f>
        <v/>
      </c>
      <c r="V306">
        <f>IF(L306="","",L306-IF(M306="",0,M306)-IF(Q306="",0,Q306)-IF(T306="",0,T306))</f>
        <v/>
      </c>
      <c r="Y306">
        <f>IF(W306="IC","OUI",IF(W306="HC","OUI",IF(W306="HR","NON","A_CONTROLER")))</f>
        <v/>
      </c>
      <c r="Z306">
        <f>IF(W306="IC","OUI",IF(W306="HC","NON",IF(W306="HR","NON","A_CONTROLER")))</f>
        <v/>
      </c>
    </row>
    <row r="307">
      <c r="B307">
        <f>IF(A307="","",A307&amp;"|"&amp;D307&amp;"|"&amp;F307&amp;"|"&amp;G307&amp;"|"&amp;TEXT(I307,"YYYYMMDD")&amp;"|"&amp;TEXT(L307,"0.00"))</f>
        <v/>
      </c>
      <c r="C307">
        <f>IF(I307="","",TEXT(I307,"YYYY-MM"))</f>
        <v/>
      </c>
      <c r="K307">
        <f>IF(OR(I307="",J307=""),"",J307-I307)</f>
        <v/>
      </c>
      <c r="N307">
        <f>IF(F307="","",IFERROR(VLOOKUP(F307,lst_PropTauxLookup,2,0),""))</f>
        <v/>
      </c>
      <c r="O307">
        <f>IF(F307="","",IF(ISNUMBER(IFERROR(VLOOKUP(F307,lst_PropTauxLookup,2,0),"")),"REF_PROPRIETAIRE","A_CONTROLER"))</f>
        <v/>
      </c>
      <c r="Q307">
        <f>IF(OR(L307="",N307=""),"",IFERROR((L307-IF(M307="",0,M307))*N307,0))</f>
        <v/>
      </c>
      <c r="V307">
        <f>IF(L307="","",L307-IF(M307="",0,M307)-IF(Q307="",0,Q307)-IF(T307="",0,T307))</f>
        <v/>
      </c>
      <c r="Y307">
        <f>IF(W307="IC","OUI",IF(W307="HC","OUI",IF(W307="HR","NON","A_CONTROLER")))</f>
        <v/>
      </c>
      <c r="Z307">
        <f>IF(W307="IC","OUI",IF(W307="HC","NON",IF(W307="HR","NON","A_CONTROLER")))</f>
        <v/>
      </c>
    </row>
    <row r="308">
      <c r="B308">
        <f>IF(A308="","",A308&amp;"|"&amp;D308&amp;"|"&amp;F308&amp;"|"&amp;G308&amp;"|"&amp;TEXT(I308,"YYYYMMDD")&amp;"|"&amp;TEXT(L308,"0.00"))</f>
        <v/>
      </c>
      <c r="C308">
        <f>IF(I308="","",TEXT(I308,"YYYY-MM"))</f>
        <v/>
      </c>
      <c r="K308">
        <f>IF(OR(I308="",J308=""),"",J308-I308)</f>
        <v/>
      </c>
      <c r="N308">
        <f>IF(F308="","",IFERROR(VLOOKUP(F308,lst_PropTauxLookup,2,0),""))</f>
        <v/>
      </c>
      <c r="O308">
        <f>IF(F308="","",IF(ISNUMBER(IFERROR(VLOOKUP(F308,lst_PropTauxLookup,2,0),"")),"REF_PROPRIETAIRE","A_CONTROLER"))</f>
        <v/>
      </c>
      <c r="Q308">
        <f>IF(OR(L308="",N308=""),"",IFERROR((L308-IF(M308="",0,M308))*N308,0))</f>
        <v/>
      </c>
      <c r="V308">
        <f>IF(L308="","",L308-IF(M308="",0,M308)-IF(Q308="",0,Q308)-IF(T308="",0,T308))</f>
        <v/>
      </c>
      <c r="Y308">
        <f>IF(W308="IC","OUI",IF(W308="HC","OUI",IF(W308="HR","NON","A_CONTROLER")))</f>
        <v/>
      </c>
      <c r="Z308">
        <f>IF(W308="IC","OUI",IF(W308="HC","NON",IF(W308="HR","NON","A_CONTROLER")))</f>
        <v/>
      </c>
    </row>
    <row r="309">
      <c r="B309">
        <f>IF(A309="","",A309&amp;"|"&amp;D309&amp;"|"&amp;F309&amp;"|"&amp;G309&amp;"|"&amp;TEXT(I309,"YYYYMMDD")&amp;"|"&amp;TEXT(L309,"0.00"))</f>
        <v/>
      </c>
      <c r="C309">
        <f>IF(I309="","",TEXT(I309,"YYYY-MM"))</f>
        <v/>
      </c>
      <c r="K309">
        <f>IF(OR(I309="",J309=""),"",J309-I309)</f>
        <v/>
      </c>
      <c r="N309">
        <f>IF(F309="","",IFERROR(VLOOKUP(F309,lst_PropTauxLookup,2,0),""))</f>
        <v/>
      </c>
      <c r="O309">
        <f>IF(F309="","",IF(ISNUMBER(IFERROR(VLOOKUP(F309,lst_PropTauxLookup,2,0),"")),"REF_PROPRIETAIRE","A_CONTROLER"))</f>
        <v/>
      </c>
      <c r="Q309">
        <f>IF(OR(L309="",N309=""),"",IFERROR((L309-IF(M309="",0,M309))*N309,0))</f>
        <v/>
      </c>
      <c r="V309">
        <f>IF(L309="","",L309-IF(M309="",0,M309)-IF(Q309="",0,Q309)-IF(T309="",0,T309))</f>
        <v/>
      </c>
      <c r="Y309">
        <f>IF(W309="IC","OUI",IF(W309="HC","OUI",IF(W309="HR","NON","A_CONTROLER")))</f>
        <v/>
      </c>
      <c r="Z309">
        <f>IF(W309="IC","OUI",IF(W309="HC","NON",IF(W309="HR","NON","A_CONTROLER")))</f>
        <v/>
      </c>
    </row>
    <row r="310">
      <c r="B310">
        <f>IF(A310="","",A310&amp;"|"&amp;D310&amp;"|"&amp;F310&amp;"|"&amp;G310&amp;"|"&amp;TEXT(I310,"YYYYMMDD")&amp;"|"&amp;TEXT(L310,"0.00"))</f>
        <v/>
      </c>
      <c r="C310">
        <f>IF(I310="","",TEXT(I310,"YYYY-MM"))</f>
        <v/>
      </c>
      <c r="K310">
        <f>IF(OR(I310="",J310=""),"",J310-I310)</f>
        <v/>
      </c>
      <c r="N310">
        <f>IF(F310="","",IFERROR(VLOOKUP(F310,lst_PropTauxLookup,2,0),""))</f>
        <v/>
      </c>
      <c r="O310">
        <f>IF(F310="","",IF(ISNUMBER(IFERROR(VLOOKUP(F310,lst_PropTauxLookup,2,0),"")),"REF_PROPRIETAIRE","A_CONTROLER"))</f>
        <v/>
      </c>
      <c r="Q310">
        <f>IF(OR(L310="",N310=""),"",IFERROR((L310-IF(M310="",0,M310))*N310,0))</f>
        <v/>
      </c>
      <c r="V310">
        <f>IF(L310="","",L310-IF(M310="",0,M310)-IF(Q310="",0,Q310)-IF(T310="",0,T310))</f>
        <v/>
      </c>
      <c r="Y310">
        <f>IF(W310="IC","OUI",IF(W310="HC","OUI",IF(W310="HR","NON","A_CONTROLER")))</f>
        <v/>
      </c>
      <c r="Z310">
        <f>IF(W310="IC","OUI",IF(W310="HC","NON",IF(W310="HR","NON","A_CONTROLER")))</f>
        <v/>
      </c>
    </row>
    <row r="311">
      <c r="B311">
        <f>IF(A311="","",A311&amp;"|"&amp;D311&amp;"|"&amp;F311&amp;"|"&amp;G311&amp;"|"&amp;TEXT(I311,"YYYYMMDD")&amp;"|"&amp;TEXT(L311,"0.00"))</f>
        <v/>
      </c>
      <c r="C311">
        <f>IF(I311="","",TEXT(I311,"YYYY-MM"))</f>
        <v/>
      </c>
      <c r="K311">
        <f>IF(OR(I311="",J311=""),"",J311-I311)</f>
        <v/>
      </c>
      <c r="N311">
        <f>IF(F311="","",IFERROR(VLOOKUP(F311,lst_PropTauxLookup,2,0),""))</f>
        <v/>
      </c>
      <c r="O311">
        <f>IF(F311="","",IF(ISNUMBER(IFERROR(VLOOKUP(F311,lst_PropTauxLookup,2,0),"")),"REF_PROPRIETAIRE","A_CONTROLER"))</f>
        <v/>
      </c>
      <c r="Q311">
        <f>IF(OR(L311="",N311=""),"",IFERROR((L311-IF(M311="",0,M311))*N311,0))</f>
        <v/>
      </c>
      <c r="V311">
        <f>IF(L311="","",L311-IF(M311="",0,M311)-IF(Q311="",0,Q311)-IF(T311="",0,T311))</f>
        <v/>
      </c>
      <c r="Y311">
        <f>IF(W311="IC","OUI",IF(W311="HC","OUI",IF(W311="HR","NON","A_CONTROLER")))</f>
        <v/>
      </c>
      <c r="Z311">
        <f>IF(W311="IC","OUI",IF(W311="HC","NON",IF(W311="HR","NON","A_CONTROLER")))</f>
        <v/>
      </c>
    </row>
    <row r="312">
      <c r="B312">
        <f>IF(A312="","",A312&amp;"|"&amp;D312&amp;"|"&amp;F312&amp;"|"&amp;G312&amp;"|"&amp;TEXT(I312,"YYYYMMDD")&amp;"|"&amp;TEXT(L312,"0.00"))</f>
        <v/>
      </c>
      <c r="C312">
        <f>IF(I312="","",TEXT(I312,"YYYY-MM"))</f>
        <v/>
      </c>
      <c r="K312">
        <f>IF(OR(I312="",J312=""),"",J312-I312)</f>
        <v/>
      </c>
      <c r="N312">
        <f>IF(F312="","",IFERROR(VLOOKUP(F312,lst_PropTauxLookup,2,0),""))</f>
        <v/>
      </c>
      <c r="O312">
        <f>IF(F312="","",IF(ISNUMBER(IFERROR(VLOOKUP(F312,lst_PropTauxLookup,2,0),"")),"REF_PROPRIETAIRE","A_CONTROLER"))</f>
        <v/>
      </c>
      <c r="Q312">
        <f>IF(OR(L312="",N312=""),"",IFERROR((L312-IF(M312="",0,M312))*N312,0))</f>
        <v/>
      </c>
      <c r="V312">
        <f>IF(L312="","",L312-IF(M312="",0,M312)-IF(Q312="",0,Q312)-IF(T312="",0,T312))</f>
        <v/>
      </c>
      <c r="Y312">
        <f>IF(W312="IC","OUI",IF(W312="HC","OUI",IF(W312="HR","NON","A_CONTROLER")))</f>
        <v/>
      </c>
      <c r="Z312">
        <f>IF(W312="IC","OUI",IF(W312="HC","NON",IF(W312="HR","NON","A_CONTROLER")))</f>
        <v/>
      </c>
    </row>
    <row r="313">
      <c r="B313">
        <f>IF(A313="","",A313&amp;"|"&amp;D313&amp;"|"&amp;F313&amp;"|"&amp;G313&amp;"|"&amp;TEXT(I313,"YYYYMMDD")&amp;"|"&amp;TEXT(L313,"0.00"))</f>
        <v/>
      </c>
      <c r="C313">
        <f>IF(I313="","",TEXT(I313,"YYYY-MM"))</f>
        <v/>
      </c>
      <c r="K313">
        <f>IF(OR(I313="",J313=""),"",J313-I313)</f>
        <v/>
      </c>
      <c r="N313">
        <f>IF(F313="","",IFERROR(VLOOKUP(F313,lst_PropTauxLookup,2,0),""))</f>
        <v/>
      </c>
      <c r="O313">
        <f>IF(F313="","",IF(ISNUMBER(IFERROR(VLOOKUP(F313,lst_PropTauxLookup,2,0),"")),"REF_PROPRIETAIRE","A_CONTROLER"))</f>
        <v/>
      </c>
      <c r="Q313">
        <f>IF(OR(L313="",N313=""),"",IFERROR((L313-IF(M313="",0,M313))*N313,0))</f>
        <v/>
      </c>
      <c r="V313">
        <f>IF(L313="","",L313-IF(M313="",0,M313)-IF(Q313="",0,Q313)-IF(T313="",0,T313))</f>
        <v/>
      </c>
      <c r="Y313">
        <f>IF(W313="IC","OUI",IF(W313="HC","OUI",IF(W313="HR","NON","A_CONTROLER")))</f>
        <v/>
      </c>
      <c r="Z313">
        <f>IF(W313="IC","OUI",IF(W313="HC","NON",IF(W313="HR","NON","A_CONTROLER")))</f>
        <v/>
      </c>
    </row>
    <row r="314">
      <c r="B314">
        <f>IF(A314="","",A314&amp;"|"&amp;D314&amp;"|"&amp;F314&amp;"|"&amp;G314&amp;"|"&amp;TEXT(I314,"YYYYMMDD")&amp;"|"&amp;TEXT(L314,"0.00"))</f>
        <v/>
      </c>
      <c r="C314">
        <f>IF(I314="","",TEXT(I314,"YYYY-MM"))</f>
        <v/>
      </c>
      <c r="K314">
        <f>IF(OR(I314="",J314=""),"",J314-I314)</f>
        <v/>
      </c>
      <c r="N314">
        <f>IF(F314="","",IFERROR(VLOOKUP(F314,lst_PropTauxLookup,2,0),""))</f>
        <v/>
      </c>
      <c r="O314">
        <f>IF(F314="","",IF(ISNUMBER(IFERROR(VLOOKUP(F314,lst_PropTauxLookup,2,0),"")),"REF_PROPRIETAIRE","A_CONTROLER"))</f>
        <v/>
      </c>
      <c r="Q314">
        <f>IF(OR(L314="",N314=""),"",IFERROR((L314-IF(M314="",0,M314))*N314,0))</f>
        <v/>
      </c>
      <c r="V314">
        <f>IF(L314="","",L314-IF(M314="",0,M314)-IF(Q314="",0,Q314)-IF(T314="",0,T314))</f>
        <v/>
      </c>
      <c r="Y314">
        <f>IF(W314="IC","OUI",IF(W314="HC","OUI",IF(W314="HR","NON","A_CONTROLER")))</f>
        <v/>
      </c>
      <c r="Z314">
        <f>IF(W314="IC","OUI",IF(W314="HC","NON",IF(W314="HR","NON","A_CONTROLER")))</f>
        <v/>
      </c>
    </row>
    <row r="315">
      <c r="B315">
        <f>IF(A315="","",A315&amp;"|"&amp;D315&amp;"|"&amp;F315&amp;"|"&amp;G315&amp;"|"&amp;TEXT(I315,"YYYYMMDD")&amp;"|"&amp;TEXT(L315,"0.00"))</f>
        <v/>
      </c>
      <c r="C315">
        <f>IF(I315="","",TEXT(I315,"YYYY-MM"))</f>
        <v/>
      </c>
      <c r="K315">
        <f>IF(OR(I315="",J315=""),"",J315-I315)</f>
        <v/>
      </c>
      <c r="N315">
        <f>IF(F315="","",IFERROR(VLOOKUP(F315,lst_PropTauxLookup,2,0),""))</f>
        <v/>
      </c>
      <c r="O315">
        <f>IF(F315="","",IF(ISNUMBER(IFERROR(VLOOKUP(F315,lst_PropTauxLookup,2,0),"")),"REF_PROPRIETAIRE","A_CONTROLER"))</f>
        <v/>
      </c>
      <c r="Q315">
        <f>IF(OR(L315="",N315=""),"",IFERROR((L315-IF(M315="",0,M315))*N315,0))</f>
        <v/>
      </c>
      <c r="V315">
        <f>IF(L315="","",L315-IF(M315="",0,M315)-IF(Q315="",0,Q315)-IF(T315="",0,T315))</f>
        <v/>
      </c>
      <c r="Y315">
        <f>IF(W315="IC","OUI",IF(W315="HC","OUI",IF(W315="HR","NON","A_CONTROLER")))</f>
        <v/>
      </c>
      <c r="Z315">
        <f>IF(W315="IC","OUI",IF(W315="HC","NON",IF(W315="HR","NON","A_CONTROLER")))</f>
        <v/>
      </c>
    </row>
    <row r="316">
      <c r="B316">
        <f>IF(A316="","",A316&amp;"|"&amp;D316&amp;"|"&amp;F316&amp;"|"&amp;G316&amp;"|"&amp;TEXT(I316,"YYYYMMDD")&amp;"|"&amp;TEXT(L316,"0.00"))</f>
        <v/>
      </c>
      <c r="C316">
        <f>IF(I316="","",TEXT(I316,"YYYY-MM"))</f>
        <v/>
      </c>
      <c r="K316">
        <f>IF(OR(I316="",J316=""),"",J316-I316)</f>
        <v/>
      </c>
      <c r="N316">
        <f>IF(F316="","",IFERROR(VLOOKUP(F316,lst_PropTauxLookup,2,0),""))</f>
        <v/>
      </c>
      <c r="O316">
        <f>IF(F316="","",IF(ISNUMBER(IFERROR(VLOOKUP(F316,lst_PropTauxLookup,2,0),"")),"REF_PROPRIETAIRE","A_CONTROLER"))</f>
        <v/>
      </c>
      <c r="Q316">
        <f>IF(OR(L316="",N316=""),"",IFERROR((L316-IF(M316="",0,M316))*N316,0))</f>
        <v/>
      </c>
      <c r="V316">
        <f>IF(L316="","",L316-IF(M316="",0,M316)-IF(Q316="",0,Q316)-IF(T316="",0,T316))</f>
        <v/>
      </c>
      <c r="Y316">
        <f>IF(W316="IC","OUI",IF(W316="HC","OUI",IF(W316="HR","NON","A_CONTROLER")))</f>
        <v/>
      </c>
      <c r="Z316">
        <f>IF(W316="IC","OUI",IF(W316="HC","NON",IF(W316="HR","NON","A_CONTROLER")))</f>
        <v/>
      </c>
    </row>
    <row r="317">
      <c r="B317">
        <f>IF(A317="","",A317&amp;"|"&amp;D317&amp;"|"&amp;F317&amp;"|"&amp;G317&amp;"|"&amp;TEXT(I317,"YYYYMMDD")&amp;"|"&amp;TEXT(L317,"0.00"))</f>
        <v/>
      </c>
      <c r="C317">
        <f>IF(I317="","",TEXT(I317,"YYYY-MM"))</f>
        <v/>
      </c>
      <c r="K317">
        <f>IF(OR(I317="",J317=""),"",J317-I317)</f>
        <v/>
      </c>
      <c r="N317">
        <f>IF(F317="","",IFERROR(VLOOKUP(F317,lst_PropTauxLookup,2,0),""))</f>
        <v/>
      </c>
      <c r="O317">
        <f>IF(F317="","",IF(ISNUMBER(IFERROR(VLOOKUP(F317,lst_PropTauxLookup,2,0),"")),"REF_PROPRIETAIRE","A_CONTROLER"))</f>
        <v/>
      </c>
      <c r="Q317">
        <f>IF(OR(L317="",N317=""),"",IFERROR((L317-IF(M317="",0,M317))*N317,0))</f>
        <v/>
      </c>
      <c r="V317">
        <f>IF(L317="","",L317-IF(M317="",0,M317)-IF(Q317="",0,Q317)-IF(T317="",0,T317))</f>
        <v/>
      </c>
      <c r="Y317">
        <f>IF(W317="IC","OUI",IF(W317="HC","OUI",IF(W317="HR","NON","A_CONTROLER")))</f>
        <v/>
      </c>
      <c r="Z317">
        <f>IF(W317="IC","OUI",IF(W317="HC","NON",IF(W317="HR","NON","A_CONTROLER")))</f>
        <v/>
      </c>
    </row>
    <row r="318">
      <c r="B318">
        <f>IF(A318="","",A318&amp;"|"&amp;D318&amp;"|"&amp;F318&amp;"|"&amp;G318&amp;"|"&amp;TEXT(I318,"YYYYMMDD")&amp;"|"&amp;TEXT(L318,"0.00"))</f>
        <v/>
      </c>
      <c r="C318">
        <f>IF(I318="","",TEXT(I318,"YYYY-MM"))</f>
        <v/>
      </c>
      <c r="K318">
        <f>IF(OR(I318="",J318=""),"",J318-I318)</f>
        <v/>
      </c>
      <c r="N318">
        <f>IF(F318="","",IFERROR(VLOOKUP(F318,lst_PropTauxLookup,2,0),""))</f>
        <v/>
      </c>
      <c r="O318">
        <f>IF(F318="","",IF(ISNUMBER(IFERROR(VLOOKUP(F318,lst_PropTauxLookup,2,0),"")),"REF_PROPRIETAIRE","A_CONTROLER"))</f>
        <v/>
      </c>
      <c r="Q318">
        <f>IF(OR(L318="",N318=""),"",IFERROR((L318-IF(M318="",0,M318))*N318,0))</f>
        <v/>
      </c>
      <c r="V318">
        <f>IF(L318="","",L318-IF(M318="",0,M318)-IF(Q318="",0,Q318)-IF(T318="",0,T318))</f>
        <v/>
      </c>
      <c r="Y318">
        <f>IF(W318="IC","OUI",IF(W318="HC","OUI",IF(W318="HR","NON","A_CONTROLER")))</f>
        <v/>
      </c>
      <c r="Z318">
        <f>IF(W318="IC","OUI",IF(W318="HC","NON",IF(W318="HR","NON","A_CONTROLER")))</f>
        <v/>
      </c>
    </row>
    <row r="319">
      <c r="B319">
        <f>IF(A319="","",A319&amp;"|"&amp;D319&amp;"|"&amp;F319&amp;"|"&amp;G319&amp;"|"&amp;TEXT(I319,"YYYYMMDD")&amp;"|"&amp;TEXT(L319,"0.00"))</f>
        <v/>
      </c>
      <c r="C319">
        <f>IF(I319="","",TEXT(I319,"YYYY-MM"))</f>
        <v/>
      </c>
      <c r="K319">
        <f>IF(OR(I319="",J319=""),"",J319-I319)</f>
        <v/>
      </c>
      <c r="N319">
        <f>IF(F319="","",IFERROR(VLOOKUP(F319,lst_PropTauxLookup,2,0),""))</f>
        <v/>
      </c>
      <c r="O319">
        <f>IF(F319="","",IF(ISNUMBER(IFERROR(VLOOKUP(F319,lst_PropTauxLookup,2,0),"")),"REF_PROPRIETAIRE","A_CONTROLER"))</f>
        <v/>
      </c>
      <c r="Q319">
        <f>IF(OR(L319="",N319=""),"",IFERROR((L319-IF(M319="",0,M319))*N319,0))</f>
        <v/>
      </c>
      <c r="V319">
        <f>IF(L319="","",L319-IF(M319="",0,M319)-IF(Q319="",0,Q319)-IF(T319="",0,T319))</f>
        <v/>
      </c>
      <c r="Y319">
        <f>IF(W319="IC","OUI",IF(W319="HC","OUI",IF(W319="HR","NON","A_CONTROLER")))</f>
        <v/>
      </c>
      <c r="Z319">
        <f>IF(W319="IC","OUI",IF(W319="HC","NON",IF(W319="HR","NON","A_CONTROLER")))</f>
        <v/>
      </c>
    </row>
    <row r="320">
      <c r="B320">
        <f>IF(A320="","",A320&amp;"|"&amp;D320&amp;"|"&amp;F320&amp;"|"&amp;G320&amp;"|"&amp;TEXT(I320,"YYYYMMDD")&amp;"|"&amp;TEXT(L320,"0.00"))</f>
        <v/>
      </c>
      <c r="C320">
        <f>IF(I320="","",TEXT(I320,"YYYY-MM"))</f>
        <v/>
      </c>
      <c r="K320">
        <f>IF(OR(I320="",J320=""),"",J320-I320)</f>
        <v/>
      </c>
      <c r="N320">
        <f>IF(F320="","",IFERROR(VLOOKUP(F320,lst_PropTauxLookup,2,0),""))</f>
        <v/>
      </c>
      <c r="O320">
        <f>IF(F320="","",IF(ISNUMBER(IFERROR(VLOOKUP(F320,lst_PropTauxLookup,2,0),"")),"REF_PROPRIETAIRE","A_CONTROLER"))</f>
        <v/>
      </c>
      <c r="Q320">
        <f>IF(OR(L320="",N320=""),"",IFERROR((L320-IF(M320="",0,M320))*N320,0))</f>
        <v/>
      </c>
      <c r="V320">
        <f>IF(L320="","",L320-IF(M320="",0,M320)-IF(Q320="",0,Q320)-IF(T320="",0,T320))</f>
        <v/>
      </c>
      <c r="Y320">
        <f>IF(W320="IC","OUI",IF(W320="HC","OUI",IF(W320="HR","NON","A_CONTROLER")))</f>
        <v/>
      </c>
      <c r="Z320">
        <f>IF(W320="IC","OUI",IF(W320="HC","NON",IF(W320="HR","NON","A_CONTROLER")))</f>
        <v/>
      </c>
    </row>
    <row r="321">
      <c r="B321">
        <f>IF(A321="","",A321&amp;"|"&amp;D321&amp;"|"&amp;F321&amp;"|"&amp;G321&amp;"|"&amp;TEXT(I321,"YYYYMMDD")&amp;"|"&amp;TEXT(L321,"0.00"))</f>
        <v/>
      </c>
      <c r="C321">
        <f>IF(I321="","",TEXT(I321,"YYYY-MM"))</f>
        <v/>
      </c>
      <c r="K321">
        <f>IF(OR(I321="",J321=""),"",J321-I321)</f>
        <v/>
      </c>
      <c r="N321">
        <f>IF(F321="","",IFERROR(VLOOKUP(F321,lst_PropTauxLookup,2,0),""))</f>
        <v/>
      </c>
      <c r="O321">
        <f>IF(F321="","",IF(ISNUMBER(IFERROR(VLOOKUP(F321,lst_PropTauxLookup,2,0),"")),"REF_PROPRIETAIRE","A_CONTROLER"))</f>
        <v/>
      </c>
      <c r="Q321">
        <f>IF(OR(L321="",N321=""),"",IFERROR((L321-IF(M321="",0,M321))*N321,0))</f>
        <v/>
      </c>
      <c r="V321">
        <f>IF(L321="","",L321-IF(M321="",0,M321)-IF(Q321="",0,Q321)-IF(T321="",0,T321))</f>
        <v/>
      </c>
      <c r="Y321">
        <f>IF(W321="IC","OUI",IF(W321="HC","OUI",IF(W321="HR","NON","A_CONTROLER")))</f>
        <v/>
      </c>
      <c r="Z321">
        <f>IF(W321="IC","OUI",IF(W321="HC","NON",IF(W321="HR","NON","A_CONTROLER")))</f>
        <v/>
      </c>
    </row>
    <row r="322">
      <c r="B322">
        <f>IF(A322="","",A322&amp;"|"&amp;D322&amp;"|"&amp;F322&amp;"|"&amp;G322&amp;"|"&amp;TEXT(I322,"YYYYMMDD")&amp;"|"&amp;TEXT(L322,"0.00"))</f>
        <v/>
      </c>
      <c r="C322">
        <f>IF(I322="","",TEXT(I322,"YYYY-MM"))</f>
        <v/>
      </c>
      <c r="K322">
        <f>IF(OR(I322="",J322=""),"",J322-I322)</f>
        <v/>
      </c>
      <c r="N322">
        <f>IF(F322="","",IFERROR(VLOOKUP(F322,lst_PropTauxLookup,2,0),""))</f>
        <v/>
      </c>
      <c r="O322">
        <f>IF(F322="","",IF(ISNUMBER(IFERROR(VLOOKUP(F322,lst_PropTauxLookup,2,0),"")),"REF_PROPRIETAIRE","A_CONTROLER"))</f>
        <v/>
      </c>
      <c r="Q322">
        <f>IF(OR(L322="",N322=""),"",IFERROR((L322-IF(M322="",0,M322))*N322,0))</f>
        <v/>
      </c>
      <c r="V322">
        <f>IF(L322="","",L322-IF(M322="",0,M322)-IF(Q322="",0,Q322)-IF(T322="",0,T322))</f>
        <v/>
      </c>
      <c r="Y322">
        <f>IF(W322="IC","OUI",IF(W322="HC","OUI",IF(W322="HR","NON","A_CONTROLER")))</f>
        <v/>
      </c>
      <c r="Z322">
        <f>IF(W322="IC","OUI",IF(W322="HC","NON",IF(W322="HR","NON","A_CONTROLER")))</f>
        <v/>
      </c>
    </row>
    <row r="323">
      <c r="B323">
        <f>IF(A323="","",A323&amp;"|"&amp;D323&amp;"|"&amp;F323&amp;"|"&amp;G323&amp;"|"&amp;TEXT(I323,"YYYYMMDD")&amp;"|"&amp;TEXT(L323,"0.00"))</f>
        <v/>
      </c>
      <c r="C323">
        <f>IF(I323="","",TEXT(I323,"YYYY-MM"))</f>
        <v/>
      </c>
      <c r="K323">
        <f>IF(OR(I323="",J323=""),"",J323-I323)</f>
        <v/>
      </c>
      <c r="N323">
        <f>IF(F323="","",IFERROR(VLOOKUP(F323,lst_PropTauxLookup,2,0),""))</f>
        <v/>
      </c>
      <c r="O323">
        <f>IF(F323="","",IF(ISNUMBER(IFERROR(VLOOKUP(F323,lst_PropTauxLookup,2,0),"")),"REF_PROPRIETAIRE","A_CONTROLER"))</f>
        <v/>
      </c>
      <c r="Q323">
        <f>IF(OR(L323="",N323=""),"",IFERROR((L323-IF(M323="",0,M323))*N323,0))</f>
        <v/>
      </c>
      <c r="V323">
        <f>IF(L323="","",L323-IF(M323="",0,M323)-IF(Q323="",0,Q323)-IF(T323="",0,T323))</f>
        <v/>
      </c>
      <c r="Y323">
        <f>IF(W323="IC","OUI",IF(W323="HC","OUI",IF(W323="HR","NON","A_CONTROLER")))</f>
        <v/>
      </c>
      <c r="Z323">
        <f>IF(W323="IC","OUI",IF(W323="HC","NON",IF(W323="HR","NON","A_CONTROLER")))</f>
        <v/>
      </c>
    </row>
    <row r="324">
      <c r="B324">
        <f>IF(A324="","",A324&amp;"|"&amp;D324&amp;"|"&amp;F324&amp;"|"&amp;G324&amp;"|"&amp;TEXT(I324,"YYYYMMDD")&amp;"|"&amp;TEXT(L324,"0.00"))</f>
        <v/>
      </c>
      <c r="C324">
        <f>IF(I324="","",TEXT(I324,"YYYY-MM"))</f>
        <v/>
      </c>
      <c r="K324">
        <f>IF(OR(I324="",J324=""),"",J324-I324)</f>
        <v/>
      </c>
      <c r="N324">
        <f>IF(F324="","",IFERROR(VLOOKUP(F324,lst_PropTauxLookup,2,0),""))</f>
        <v/>
      </c>
      <c r="O324">
        <f>IF(F324="","",IF(ISNUMBER(IFERROR(VLOOKUP(F324,lst_PropTauxLookup,2,0),"")),"REF_PROPRIETAIRE","A_CONTROLER"))</f>
        <v/>
      </c>
      <c r="Q324">
        <f>IF(OR(L324="",N324=""),"",IFERROR((L324-IF(M324="",0,M324))*N324,0))</f>
        <v/>
      </c>
      <c r="V324">
        <f>IF(L324="","",L324-IF(M324="",0,M324)-IF(Q324="",0,Q324)-IF(T324="",0,T324))</f>
        <v/>
      </c>
      <c r="Y324">
        <f>IF(W324="IC","OUI",IF(W324="HC","OUI",IF(W324="HR","NON","A_CONTROLER")))</f>
        <v/>
      </c>
      <c r="Z324">
        <f>IF(W324="IC","OUI",IF(W324="HC","NON",IF(W324="HR","NON","A_CONTROLER")))</f>
        <v/>
      </c>
    </row>
    <row r="325">
      <c r="B325">
        <f>IF(A325="","",A325&amp;"|"&amp;D325&amp;"|"&amp;F325&amp;"|"&amp;G325&amp;"|"&amp;TEXT(I325,"YYYYMMDD")&amp;"|"&amp;TEXT(L325,"0.00"))</f>
        <v/>
      </c>
      <c r="C325">
        <f>IF(I325="","",TEXT(I325,"YYYY-MM"))</f>
        <v/>
      </c>
      <c r="K325">
        <f>IF(OR(I325="",J325=""),"",J325-I325)</f>
        <v/>
      </c>
      <c r="N325">
        <f>IF(F325="","",IFERROR(VLOOKUP(F325,lst_PropTauxLookup,2,0),""))</f>
        <v/>
      </c>
      <c r="O325">
        <f>IF(F325="","",IF(ISNUMBER(IFERROR(VLOOKUP(F325,lst_PropTauxLookup,2,0),"")),"REF_PROPRIETAIRE","A_CONTROLER"))</f>
        <v/>
      </c>
      <c r="Q325">
        <f>IF(OR(L325="",N325=""),"",IFERROR((L325-IF(M325="",0,M325))*N325,0))</f>
        <v/>
      </c>
      <c r="V325">
        <f>IF(L325="","",L325-IF(M325="",0,M325)-IF(Q325="",0,Q325)-IF(T325="",0,T325))</f>
        <v/>
      </c>
      <c r="Y325">
        <f>IF(W325="IC","OUI",IF(W325="HC","OUI",IF(W325="HR","NON","A_CONTROLER")))</f>
        <v/>
      </c>
      <c r="Z325">
        <f>IF(W325="IC","OUI",IF(W325="HC","NON",IF(W325="HR","NON","A_CONTROLER")))</f>
        <v/>
      </c>
    </row>
    <row r="326">
      <c r="B326">
        <f>IF(A326="","",A326&amp;"|"&amp;D326&amp;"|"&amp;F326&amp;"|"&amp;G326&amp;"|"&amp;TEXT(I326,"YYYYMMDD")&amp;"|"&amp;TEXT(L326,"0.00"))</f>
        <v/>
      </c>
      <c r="C326">
        <f>IF(I326="","",TEXT(I326,"YYYY-MM"))</f>
        <v/>
      </c>
      <c r="K326">
        <f>IF(OR(I326="",J326=""),"",J326-I326)</f>
        <v/>
      </c>
      <c r="N326">
        <f>IF(F326="","",IFERROR(VLOOKUP(F326,lst_PropTauxLookup,2,0),""))</f>
        <v/>
      </c>
      <c r="O326">
        <f>IF(F326="","",IF(ISNUMBER(IFERROR(VLOOKUP(F326,lst_PropTauxLookup,2,0),"")),"REF_PROPRIETAIRE","A_CONTROLER"))</f>
        <v/>
      </c>
      <c r="Q326">
        <f>IF(OR(L326="",N326=""),"",IFERROR((L326-IF(M326="",0,M326))*N326,0))</f>
        <v/>
      </c>
      <c r="V326">
        <f>IF(L326="","",L326-IF(M326="",0,M326)-IF(Q326="",0,Q326)-IF(T326="",0,T326))</f>
        <v/>
      </c>
      <c r="Y326">
        <f>IF(W326="IC","OUI",IF(W326="HC","OUI",IF(W326="HR","NON","A_CONTROLER")))</f>
        <v/>
      </c>
      <c r="Z326">
        <f>IF(W326="IC","OUI",IF(W326="HC","NON",IF(W326="HR","NON","A_CONTROLER")))</f>
        <v/>
      </c>
    </row>
    <row r="327">
      <c r="B327">
        <f>IF(A327="","",A327&amp;"|"&amp;D327&amp;"|"&amp;F327&amp;"|"&amp;G327&amp;"|"&amp;TEXT(I327,"YYYYMMDD")&amp;"|"&amp;TEXT(L327,"0.00"))</f>
        <v/>
      </c>
      <c r="C327">
        <f>IF(I327="","",TEXT(I327,"YYYY-MM"))</f>
        <v/>
      </c>
      <c r="K327">
        <f>IF(OR(I327="",J327=""),"",J327-I327)</f>
        <v/>
      </c>
      <c r="N327">
        <f>IF(F327="","",IFERROR(VLOOKUP(F327,lst_PropTauxLookup,2,0),""))</f>
        <v/>
      </c>
      <c r="O327">
        <f>IF(F327="","",IF(ISNUMBER(IFERROR(VLOOKUP(F327,lst_PropTauxLookup,2,0),"")),"REF_PROPRIETAIRE","A_CONTROLER"))</f>
        <v/>
      </c>
      <c r="Q327">
        <f>IF(OR(L327="",N327=""),"",IFERROR((L327-IF(M327="",0,M327))*N327,0))</f>
        <v/>
      </c>
      <c r="V327">
        <f>IF(L327="","",L327-IF(M327="",0,M327)-IF(Q327="",0,Q327)-IF(T327="",0,T327))</f>
        <v/>
      </c>
      <c r="Y327">
        <f>IF(W327="IC","OUI",IF(W327="HC","OUI",IF(W327="HR","NON","A_CONTROLER")))</f>
        <v/>
      </c>
      <c r="Z327">
        <f>IF(W327="IC","OUI",IF(W327="HC","NON",IF(W327="HR","NON","A_CONTROLER")))</f>
        <v/>
      </c>
    </row>
    <row r="328">
      <c r="B328">
        <f>IF(A328="","",A328&amp;"|"&amp;D328&amp;"|"&amp;F328&amp;"|"&amp;G328&amp;"|"&amp;TEXT(I328,"YYYYMMDD")&amp;"|"&amp;TEXT(L328,"0.00"))</f>
        <v/>
      </c>
      <c r="C328">
        <f>IF(I328="","",TEXT(I328,"YYYY-MM"))</f>
        <v/>
      </c>
      <c r="K328">
        <f>IF(OR(I328="",J328=""),"",J328-I328)</f>
        <v/>
      </c>
      <c r="N328">
        <f>IF(F328="","",IFERROR(VLOOKUP(F328,lst_PropTauxLookup,2,0),""))</f>
        <v/>
      </c>
      <c r="O328">
        <f>IF(F328="","",IF(ISNUMBER(IFERROR(VLOOKUP(F328,lst_PropTauxLookup,2,0),"")),"REF_PROPRIETAIRE","A_CONTROLER"))</f>
        <v/>
      </c>
      <c r="Q328">
        <f>IF(OR(L328="",N328=""),"",IFERROR((L328-IF(M328="",0,M328))*N328,0))</f>
        <v/>
      </c>
      <c r="V328">
        <f>IF(L328="","",L328-IF(M328="",0,M328)-IF(Q328="",0,Q328)-IF(T328="",0,T328))</f>
        <v/>
      </c>
      <c r="Y328">
        <f>IF(W328="IC","OUI",IF(W328="HC","OUI",IF(W328="HR","NON","A_CONTROLER")))</f>
        <v/>
      </c>
      <c r="Z328">
        <f>IF(W328="IC","OUI",IF(W328="HC","NON",IF(W328="HR","NON","A_CONTROLER")))</f>
        <v/>
      </c>
    </row>
    <row r="329">
      <c r="B329">
        <f>IF(A329="","",A329&amp;"|"&amp;D329&amp;"|"&amp;F329&amp;"|"&amp;G329&amp;"|"&amp;TEXT(I329,"YYYYMMDD")&amp;"|"&amp;TEXT(L329,"0.00"))</f>
        <v/>
      </c>
      <c r="C329">
        <f>IF(I329="","",TEXT(I329,"YYYY-MM"))</f>
        <v/>
      </c>
      <c r="K329">
        <f>IF(OR(I329="",J329=""),"",J329-I329)</f>
        <v/>
      </c>
      <c r="N329">
        <f>IF(F329="","",IFERROR(VLOOKUP(F329,lst_PropTauxLookup,2,0),""))</f>
        <v/>
      </c>
      <c r="O329">
        <f>IF(F329="","",IF(ISNUMBER(IFERROR(VLOOKUP(F329,lst_PropTauxLookup,2,0),"")),"REF_PROPRIETAIRE","A_CONTROLER"))</f>
        <v/>
      </c>
      <c r="Q329">
        <f>IF(OR(L329="",N329=""),"",IFERROR((L329-IF(M329="",0,M329))*N329,0))</f>
        <v/>
      </c>
      <c r="V329">
        <f>IF(L329="","",L329-IF(M329="",0,M329)-IF(Q329="",0,Q329)-IF(T329="",0,T329))</f>
        <v/>
      </c>
      <c r="Y329">
        <f>IF(W329="IC","OUI",IF(W329="HC","OUI",IF(W329="HR","NON","A_CONTROLER")))</f>
        <v/>
      </c>
      <c r="Z329">
        <f>IF(W329="IC","OUI",IF(W329="HC","NON",IF(W329="HR","NON","A_CONTROLER")))</f>
        <v/>
      </c>
    </row>
    <row r="330">
      <c r="B330">
        <f>IF(A330="","",A330&amp;"|"&amp;D330&amp;"|"&amp;F330&amp;"|"&amp;G330&amp;"|"&amp;TEXT(I330,"YYYYMMDD")&amp;"|"&amp;TEXT(L330,"0.00"))</f>
        <v/>
      </c>
      <c r="C330">
        <f>IF(I330="","",TEXT(I330,"YYYY-MM"))</f>
        <v/>
      </c>
      <c r="K330">
        <f>IF(OR(I330="",J330=""),"",J330-I330)</f>
        <v/>
      </c>
      <c r="N330">
        <f>IF(F330="","",IFERROR(VLOOKUP(F330,lst_PropTauxLookup,2,0),""))</f>
        <v/>
      </c>
      <c r="O330">
        <f>IF(F330="","",IF(ISNUMBER(IFERROR(VLOOKUP(F330,lst_PropTauxLookup,2,0),"")),"REF_PROPRIETAIRE","A_CONTROLER"))</f>
        <v/>
      </c>
      <c r="Q330">
        <f>IF(OR(L330="",N330=""),"",IFERROR((L330-IF(M330="",0,M330))*N330,0))</f>
        <v/>
      </c>
      <c r="V330">
        <f>IF(L330="","",L330-IF(M330="",0,M330)-IF(Q330="",0,Q330)-IF(T330="",0,T330))</f>
        <v/>
      </c>
      <c r="Y330">
        <f>IF(W330="IC","OUI",IF(W330="HC","OUI",IF(W330="HR","NON","A_CONTROLER")))</f>
        <v/>
      </c>
      <c r="Z330">
        <f>IF(W330="IC","OUI",IF(W330="HC","NON",IF(W330="HR","NON","A_CONTROLER")))</f>
        <v/>
      </c>
    </row>
    <row r="331">
      <c r="B331">
        <f>IF(A331="","",A331&amp;"|"&amp;D331&amp;"|"&amp;F331&amp;"|"&amp;G331&amp;"|"&amp;TEXT(I331,"YYYYMMDD")&amp;"|"&amp;TEXT(L331,"0.00"))</f>
        <v/>
      </c>
      <c r="C331">
        <f>IF(I331="","",TEXT(I331,"YYYY-MM"))</f>
        <v/>
      </c>
      <c r="K331">
        <f>IF(OR(I331="",J331=""),"",J331-I331)</f>
        <v/>
      </c>
      <c r="N331">
        <f>IF(F331="","",IFERROR(VLOOKUP(F331,lst_PropTauxLookup,2,0),""))</f>
        <v/>
      </c>
      <c r="O331">
        <f>IF(F331="","",IF(ISNUMBER(IFERROR(VLOOKUP(F331,lst_PropTauxLookup,2,0),"")),"REF_PROPRIETAIRE","A_CONTROLER"))</f>
        <v/>
      </c>
      <c r="Q331">
        <f>IF(OR(L331="",N331=""),"",IFERROR((L331-IF(M331="",0,M331))*N331,0))</f>
        <v/>
      </c>
      <c r="V331">
        <f>IF(L331="","",L331-IF(M331="",0,M331)-IF(Q331="",0,Q331)-IF(T331="",0,T331))</f>
        <v/>
      </c>
      <c r="Y331">
        <f>IF(W331="IC","OUI",IF(W331="HC","OUI",IF(W331="HR","NON","A_CONTROLER")))</f>
        <v/>
      </c>
      <c r="Z331">
        <f>IF(W331="IC","OUI",IF(W331="HC","NON",IF(W331="HR","NON","A_CONTROLER")))</f>
        <v/>
      </c>
    </row>
    <row r="332">
      <c r="B332">
        <f>IF(A332="","",A332&amp;"|"&amp;D332&amp;"|"&amp;F332&amp;"|"&amp;G332&amp;"|"&amp;TEXT(I332,"YYYYMMDD")&amp;"|"&amp;TEXT(L332,"0.00"))</f>
        <v/>
      </c>
      <c r="C332">
        <f>IF(I332="","",TEXT(I332,"YYYY-MM"))</f>
        <v/>
      </c>
      <c r="K332">
        <f>IF(OR(I332="",J332=""),"",J332-I332)</f>
        <v/>
      </c>
      <c r="N332">
        <f>IF(F332="","",IFERROR(VLOOKUP(F332,lst_PropTauxLookup,2,0),""))</f>
        <v/>
      </c>
      <c r="O332">
        <f>IF(F332="","",IF(ISNUMBER(IFERROR(VLOOKUP(F332,lst_PropTauxLookup,2,0),"")),"REF_PROPRIETAIRE","A_CONTROLER"))</f>
        <v/>
      </c>
      <c r="Q332">
        <f>IF(OR(L332="",N332=""),"",IFERROR((L332-IF(M332="",0,M332))*N332,0))</f>
        <v/>
      </c>
      <c r="V332">
        <f>IF(L332="","",L332-IF(M332="",0,M332)-IF(Q332="",0,Q332)-IF(T332="",0,T332))</f>
        <v/>
      </c>
      <c r="Y332">
        <f>IF(W332="IC","OUI",IF(W332="HC","OUI",IF(W332="HR","NON","A_CONTROLER")))</f>
        <v/>
      </c>
      <c r="Z332">
        <f>IF(W332="IC","OUI",IF(W332="HC","NON",IF(W332="HR","NON","A_CONTROLER")))</f>
        <v/>
      </c>
    </row>
    <row r="333">
      <c r="B333">
        <f>IF(A333="","",A333&amp;"|"&amp;D333&amp;"|"&amp;F333&amp;"|"&amp;G333&amp;"|"&amp;TEXT(I333,"YYYYMMDD")&amp;"|"&amp;TEXT(L333,"0.00"))</f>
        <v/>
      </c>
      <c r="C333">
        <f>IF(I333="","",TEXT(I333,"YYYY-MM"))</f>
        <v/>
      </c>
      <c r="K333">
        <f>IF(OR(I333="",J333=""),"",J333-I333)</f>
        <v/>
      </c>
      <c r="N333">
        <f>IF(F333="","",IFERROR(VLOOKUP(F333,lst_PropTauxLookup,2,0),""))</f>
        <v/>
      </c>
      <c r="O333">
        <f>IF(F333="","",IF(ISNUMBER(IFERROR(VLOOKUP(F333,lst_PropTauxLookup,2,0),"")),"REF_PROPRIETAIRE","A_CONTROLER"))</f>
        <v/>
      </c>
      <c r="Q333">
        <f>IF(OR(L333="",N333=""),"",IFERROR((L333-IF(M333="",0,M333))*N333,0))</f>
        <v/>
      </c>
      <c r="V333">
        <f>IF(L333="","",L333-IF(M333="",0,M333)-IF(Q333="",0,Q333)-IF(T333="",0,T333))</f>
        <v/>
      </c>
      <c r="Y333">
        <f>IF(W333="IC","OUI",IF(W333="HC","OUI",IF(W333="HR","NON","A_CONTROLER")))</f>
        <v/>
      </c>
      <c r="Z333">
        <f>IF(W333="IC","OUI",IF(W333="HC","NON",IF(W333="HR","NON","A_CONTROLER")))</f>
        <v/>
      </c>
    </row>
    <row r="334">
      <c r="B334">
        <f>IF(A334="","",A334&amp;"|"&amp;D334&amp;"|"&amp;F334&amp;"|"&amp;G334&amp;"|"&amp;TEXT(I334,"YYYYMMDD")&amp;"|"&amp;TEXT(L334,"0.00"))</f>
        <v/>
      </c>
      <c r="C334">
        <f>IF(I334="","",TEXT(I334,"YYYY-MM"))</f>
        <v/>
      </c>
      <c r="K334">
        <f>IF(OR(I334="",J334=""),"",J334-I334)</f>
        <v/>
      </c>
      <c r="N334">
        <f>IF(F334="","",IFERROR(VLOOKUP(F334,lst_PropTauxLookup,2,0),""))</f>
        <v/>
      </c>
      <c r="O334">
        <f>IF(F334="","",IF(ISNUMBER(IFERROR(VLOOKUP(F334,lst_PropTauxLookup,2,0),"")),"REF_PROPRIETAIRE","A_CONTROLER"))</f>
        <v/>
      </c>
      <c r="Q334">
        <f>IF(OR(L334="",N334=""),"",IFERROR((L334-IF(M334="",0,M334))*N334,0))</f>
        <v/>
      </c>
      <c r="V334">
        <f>IF(L334="","",L334-IF(M334="",0,M334)-IF(Q334="",0,Q334)-IF(T334="",0,T334))</f>
        <v/>
      </c>
      <c r="Y334">
        <f>IF(W334="IC","OUI",IF(W334="HC","OUI",IF(W334="HR","NON","A_CONTROLER")))</f>
        <v/>
      </c>
      <c r="Z334">
        <f>IF(W334="IC","OUI",IF(W334="HC","NON",IF(W334="HR","NON","A_CONTROLER")))</f>
        <v/>
      </c>
    </row>
    <row r="335">
      <c r="B335">
        <f>IF(A335="","",A335&amp;"|"&amp;D335&amp;"|"&amp;F335&amp;"|"&amp;G335&amp;"|"&amp;TEXT(I335,"YYYYMMDD")&amp;"|"&amp;TEXT(L335,"0.00"))</f>
        <v/>
      </c>
      <c r="C335">
        <f>IF(I335="","",TEXT(I335,"YYYY-MM"))</f>
        <v/>
      </c>
      <c r="K335">
        <f>IF(OR(I335="",J335=""),"",J335-I335)</f>
        <v/>
      </c>
      <c r="N335">
        <f>IF(F335="","",IFERROR(VLOOKUP(F335,lst_PropTauxLookup,2,0),""))</f>
        <v/>
      </c>
      <c r="O335">
        <f>IF(F335="","",IF(ISNUMBER(IFERROR(VLOOKUP(F335,lst_PropTauxLookup,2,0),"")),"REF_PROPRIETAIRE","A_CONTROLER"))</f>
        <v/>
      </c>
      <c r="Q335">
        <f>IF(OR(L335="",N335=""),"",IFERROR((L335-IF(M335="",0,M335))*N335,0))</f>
        <v/>
      </c>
      <c r="V335">
        <f>IF(L335="","",L335-IF(M335="",0,M335)-IF(Q335="",0,Q335)-IF(T335="",0,T335))</f>
        <v/>
      </c>
      <c r="Y335">
        <f>IF(W335="IC","OUI",IF(W335="HC","OUI",IF(W335="HR","NON","A_CONTROLER")))</f>
        <v/>
      </c>
      <c r="Z335">
        <f>IF(W335="IC","OUI",IF(W335="HC","NON",IF(W335="HR","NON","A_CONTROLER")))</f>
        <v/>
      </c>
    </row>
    <row r="336">
      <c r="B336">
        <f>IF(A336="","",A336&amp;"|"&amp;D336&amp;"|"&amp;F336&amp;"|"&amp;G336&amp;"|"&amp;TEXT(I336,"YYYYMMDD")&amp;"|"&amp;TEXT(L336,"0.00"))</f>
        <v/>
      </c>
      <c r="C336">
        <f>IF(I336="","",TEXT(I336,"YYYY-MM"))</f>
        <v/>
      </c>
      <c r="K336">
        <f>IF(OR(I336="",J336=""),"",J336-I336)</f>
        <v/>
      </c>
      <c r="N336">
        <f>IF(F336="","",IFERROR(VLOOKUP(F336,lst_PropTauxLookup,2,0),""))</f>
        <v/>
      </c>
      <c r="O336">
        <f>IF(F336="","",IF(ISNUMBER(IFERROR(VLOOKUP(F336,lst_PropTauxLookup,2,0),"")),"REF_PROPRIETAIRE","A_CONTROLER"))</f>
        <v/>
      </c>
      <c r="Q336">
        <f>IF(OR(L336="",N336=""),"",IFERROR((L336-IF(M336="",0,M336))*N336,0))</f>
        <v/>
      </c>
      <c r="V336">
        <f>IF(L336="","",L336-IF(M336="",0,M336)-IF(Q336="",0,Q336)-IF(T336="",0,T336))</f>
        <v/>
      </c>
      <c r="Y336">
        <f>IF(W336="IC","OUI",IF(W336="HC","OUI",IF(W336="HR","NON","A_CONTROLER")))</f>
        <v/>
      </c>
      <c r="Z336">
        <f>IF(W336="IC","OUI",IF(W336="HC","NON",IF(W336="HR","NON","A_CONTROLER")))</f>
        <v/>
      </c>
    </row>
    <row r="337">
      <c r="B337">
        <f>IF(A337="","",A337&amp;"|"&amp;D337&amp;"|"&amp;F337&amp;"|"&amp;G337&amp;"|"&amp;TEXT(I337,"YYYYMMDD")&amp;"|"&amp;TEXT(L337,"0.00"))</f>
        <v/>
      </c>
      <c r="C337">
        <f>IF(I337="","",TEXT(I337,"YYYY-MM"))</f>
        <v/>
      </c>
      <c r="K337">
        <f>IF(OR(I337="",J337=""),"",J337-I337)</f>
        <v/>
      </c>
      <c r="N337">
        <f>IF(F337="","",IFERROR(VLOOKUP(F337,lst_PropTauxLookup,2,0),""))</f>
        <v/>
      </c>
      <c r="O337">
        <f>IF(F337="","",IF(ISNUMBER(IFERROR(VLOOKUP(F337,lst_PropTauxLookup,2,0),"")),"REF_PROPRIETAIRE","A_CONTROLER"))</f>
        <v/>
      </c>
      <c r="Q337">
        <f>IF(OR(L337="",N337=""),"",IFERROR((L337-IF(M337="",0,M337))*N337,0))</f>
        <v/>
      </c>
      <c r="V337">
        <f>IF(L337="","",L337-IF(M337="",0,M337)-IF(Q337="",0,Q337)-IF(T337="",0,T337))</f>
        <v/>
      </c>
      <c r="Y337">
        <f>IF(W337="IC","OUI",IF(W337="HC","OUI",IF(W337="HR","NON","A_CONTROLER")))</f>
        <v/>
      </c>
      <c r="Z337">
        <f>IF(W337="IC","OUI",IF(W337="HC","NON",IF(W337="HR","NON","A_CONTROLER")))</f>
        <v/>
      </c>
    </row>
    <row r="338">
      <c r="B338">
        <f>IF(A338="","",A338&amp;"|"&amp;D338&amp;"|"&amp;F338&amp;"|"&amp;G338&amp;"|"&amp;TEXT(I338,"YYYYMMDD")&amp;"|"&amp;TEXT(L338,"0.00"))</f>
        <v/>
      </c>
      <c r="C338">
        <f>IF(I338="","",TEXT(I338,"YYYY-MM"))</f>
        <v/>
      </c>
      <c r="K338">
        <f>IF(OR(I338="",J338=""),"",J338-I338)</f>
        <v/>
      </c>
      <c r="N338">
        <f>IF(F338="","",IFERROR(VLOOKUP(F338,lst_PropTauxLookup,2,0),""))</f>
        <v/>
      </c>
      <c r="O338">
        <f>IF(F338="","",IF(ISNUMBER(IFERROR(VLOOKUP(F338,lst_PropTauxLookup,2,0),"")),"REF_PROPRIETAIRE","A_CONTROLER"))</f>
        <v/>
      </c>
      <c r="Q338">
        <f>IF(OR(L338="",N338=""),"",IFERROR((L338-IF(M338="",0,M338))*N338,0))</f>
        <v/>
      </c>
      <c r="V338">
        <f>IF(L338="","",L338-IF(M338="",0,M338)-IF(Q338="",0,Q338)-IF(T338="",0,T338))</f>
        <v/>
      </c>
      <c r="Y338">
        <f>IF(W338="IC","OUI",IF(W338="HC","OUI",IF(W338="HR","NON","A_CONTROLER")))</f>
        <v/>
      </c>
      <c r="Z338">
        <f>IF(W338="IC","OUI",IF(W338="HC","NON",IF(W338="HR","NON","A_CONTROLER")))</f>
        <v/>
      </c>
    </row>
    <row r="339">
      <c r="B339">
        <f>IF(A339="","",A339&amp;"|"&amp;D339&amp;"|"&amp;F339&amp;"|"&amp;G339&amp;"|"&amp;TEXT(I339,"YYYYMMDD")&amp;"|"&amp;TEXT(L339,"0.00"))</f>
        <v/>
      </c>
      <c r="C339">
        <f>IF(I339="","",TEXT(I339,"YYYY-MM"))</f>
        <v/>
      </c>
      <c r="K339">
        <f>IF(OR(I339="",J339=""),"",J339-I339)</f>
        <v/>
      </c>
      <c r="N339">
        <f>IF(F339="","",IFERROR(VLOOKUP(F339,lst_PropTauxLookup,2,0),""))</f>
        <v/>
      </c>
      <c r="O339">
        <f>IF(F339="","",IF(ISNUMBER(IFERROR(VLOOKUP(F339,lst_PropTauxLookup,2,0),"")),"REF_PROPRIETAIRE","A_CONTROLER"))</f>
        <v/>
      </c>
      <c r="Q339">
        <f>IF(OR(L339="",N339=""),"",IFERROR((L339-IF(M339="",0,M339))*N339,0))</f>
        <v/>
      </c>
      <c r="V339">
        <f>IF(L339="","",L339-IF(M339="",0,M339)-IF(Q339="",0,Q339)-IF(T339="",0,T339))</f>
        <v/>
      </c>
      <c r="Y339">
        <f>IF(W339="IC","OUI",IF(W339="HC","OUI",IF(W339="HR","NON","A_CONTROLER")))</f>
        <v/>
      </c>
      <c r="Z339">
        <f>IF(W339="IC","OUI",IF(W339="HC","NON",IF(W339="HR","NON","A_CONTROLER")))</f>
        <v/>
      </c>
    </row>
    <row r="340">
      <c r="B340">
        <f>IF(A340="","",A340&amp;"|"&amp;D340&amp;"|"&amp;F340&amp;"|"&amp;G340&amp;"|"&amp;TEXT(I340,"YYYYMMDD")&amp;"|"&amp;TEXT(L340,"0.00"))</f>
        <v/>
      </c>
      <c r="C340">
        <f>IF(I340="","",TEXT(I340,"YYYY-MM"))</f>
        <v/>
      </c>
      <c r="K340">
        <f>IF(OR(I340="",J340=""),"",J340-I340)</f>
        <v/>
      </c>
      <c r="N340">
        <f>IF(F340="","",IFERROR(VLOOKUP(F340,lst_PropTauxLookup,2,0),""))</f>
        <v/>
      </c>
      <c r="O340">
        <f>IF(F340="","",IF(ISNUMBER(IFERROR(VLOOKUP(F340,lst_PropTauxLookup,2,0),"")),"REF_PROPRIETAIRE","A_CONTROLER"))</f>
        <v/>
      </c>
      <c r="Q340">
        <f>IF(OR(L340="",N340=""),"",IFERROR((L340-IF(M340="",0,M340))*N340,0))</f>
        <v/>
      </c>
      <c r="V340">
        <f>IF(L340="","",L340-IF(M340="",0,M340)-IF(Q340="",0,Q340)-IF(T340="",0,T340))</f>
        <v/>
      </c>
      <c r="Y340">
        <f>IF(W340="IC","OUI",IF(W340="HC","OUI",IF(W340="HR","NON","A_CONTROLER")))</f>
        <v/>
      </c>
      <c r="Z340">
        <f>IF(W340="IC","OUI",IF(W340="HC","NON",IF(W340="HR","NON","A_CONTROLER")))</f>
        <v/>
      </c>
    </row>
    <row r="341">
      <c r="B341">
        <f>IF(A341="","",A341&amp;"|"&amp;D341&amp;"|"&amp;F341&amp;"|"&amp;G341&amp;"|"&amp;TEXT(I341,"YYYYMMDD")&amp;"|"&amp;TEXT(L341,"0.00"))</f>
        <v/>
      </c>
      <c r="C341">
        <f>IF(I341="","",TEXT(I341,"YYYY-MM"))</f>
        <v/>
      </c>
      <c r="K341">
        <f>IF(OR(I341="",J341=""),"",J341-I341)</f>
        <v/>
      </c>
      <c r="N341">
        <f>IF(F341="","",IFERROR(VLOOKUP(F341,lst_PropTauxLookup,2,0),""))</f>
        <v/>
      </c>
      <c r="O341">
        <f>IF(F341="","",IF(ISNUMBER(IFERROR(VLOOKUP(F341,lst_PropTauxLookup,2,0),"")),"REF_PROPRIETAIRE","A_CONTROLER"))</f>
        <v/>
      </c>
      <c r="Q341">
        <f>IF(OR(L341="",N341=""),"",IFERROR((L341-IF(M341="",0,M341))*N341,0))</f>
        <v/>
      </c>
      <c r="V341">
        <f>IF(L341="","",L341-IF(M341="",0,M341)-IF(Q341="",0,Q341)-IF(T341="",0,T341))</f>
        <v/>
      </c>
      <c r="Y341">
        <f>IF(W341="IC","OUI",IF(W341="HC","OUI",IF(W341="HR","NON","A_CONTROLER")))</f>
        <v/>
      </c>
      <c r="Z341">
        <f>IF(W341="IC","OUI",IF(W341="HC","NON",IF(W341="HR","NON","A_CONTROLER")))</f>
        <v/>
      </c>
    </row>
    <row r="342">
      <c r="B342">
        <f>IF(A342="","",A342&amp;"|"&amp;D342&amp;"|"&amp;F342&amp;"|"&amp;G342&amp;"|"&amp;TEXT(I342,"YYYYMMDD")&amp;"|"&amp;TEXT(L342,"0.00"))</f>
        <v/>
      </c>
      <c r="C342">
        <f>IF(I342="","",TEXT(I342,"YYYY-MM"))</f>
        <v/>
      </c>
      <c r="K342">
        <f>IF(OR(I342="",J342=""),"",J342-I342)</f>
        <v/>
      </c>
      <c r="N342">
        <f>IF(F342="","",IFERROR(VLOOKUP(F342,lst_PropTauxLookup,2,0),""))</f>
        <v/>
      </c>
      <c r="O342">
        <f>IF(F342="","",IF(ISNUMBER(IFERROR(VLOOKUP(F342,lst_PropTauxLookup,2,0),"")),"REF_PROPRIETAIRE","A_CONTROLER"))</f>
        <v/>
      </c>
      <c r="Q342">
        <f>IF(OR(L342="",N342=""),"",IFERROR((L342-IF(M342="",0,M342))*N342,0))</f>
        <v/>
      </c>
      <c r="V342">
        <f>IF(L342="","",L342-IF(M342="",0,M342)-IF(Q342="",0,Q342)-IF(T342="",0,T342))</f>
        <v/>
      </c>
      <c r="Y342">
        <f>IF(W342="IC","OUI",IF(W342="HC","OUI",IF(W342="HR","NON","A_CONTROLER")))</f>
        <v/>
      </c>
      <c r="Z342">
        <f>IF(W342="IC","OUI",IF(W342="HC","NON",IF(W342="HR","NON","A_CONTROLER")))</f>
        <v/>
      </c>
    </row>
    <row r="343">
      <c r="B343">
        <f>IF(A343="","",A343&amp;"|"&amp;D343&amp;"|"&amp;F343&amp;"|"&amp;G343&amp;"|"&amp;TEXT(I343,"YYYYMMDD")&amp;"|"&amp;TEXT(L343,"0.00"))</f>
        <v/>
      </c>
      <c r="C343">
        <f>IF(I343="","",TEXT(I343,"YYYY-MM"))</f>
        <v/>
      </c>
      <c r="K343">
        <f>IF(OR(I343="",J343=""),"",J343-I343)</f>
        <v/>
      </c>
      <c r="N343">
        <f>IF(F343="","",IFERROR(VLOOKUP(F343,lst_PropTauxLookup,2,0),""))</f>
        <v/>
      </c>
      <c r="O343">
        <f>IF(F343="","",IF(ISNUMBER(IFERROR(VLOOKUP(F343,lst_PropTauxLookup,2,0),"")),"REF_PROPRIETAIRE","A_CONTROLER"))</f>
        <v/>
      </c>
      <c r="Q343">
        <f>IF(OR(L343="",N343=""),"",IFERROR((L343-IF(M343="",0,M343))*N343,0))</f>
        <v/>
      </c>
      <c r="V343">
        <f>IF(L343="","",L343-IF(M343="",0,M343)-IF(Q343="",0,Q343)-IF(T343="",0,T343))</f>
        <v/>
      </c>
      <c r="Y343">
        <f>IF(W343="IC","OUI",IF(W343="HC","OUI",IF(W343="HR","NON","A_CONTROLER")))</f>
        <v/>
      </c>
      <c r="Z343">
        <f>IF(W343="IC","OUI",IF(W343="HC","NON",IF(W343="HR","NON","A_CONTROLER")))</f>
        <v/>
      </c>
    </row>
    <row r="344">
      <c r="B344">
        <f>IF(A344="","",A344&amp;"|"&amp;D344&amp;"|"&amp;F344&amp;"|"&amp;G344&amp;"|"&amp;TEXT(I344,"YYYYMMDD")&amp;"|"&amp;TEXT(L344,"0.00"))</f>
        <v/>
      </c>
      <c r="C344">
        <f>IF(I344="","",TEXT(I344,"YYYY-MM"))</f>
        <v/>
      </c>
      <c r="K344">
        <f>IF(OR(I344="",J344=""),"",J344-I344)</f>
        <v/>
      </c>
      <c r="N344">
        <f>IF(F344="","",IFERROR(VLOOKUP(F344,lst_PropTauxLookup,2,0),""))</f>
        <v/>
      </c>
      <c r="O344">
        <f>IF(F344="","",IF(ISNUMBER(IFERROR(VLOOKUP(F344,lst_PropTauxLookup,2,0),"")),"REF_PROPRIETAIRE","A_CONTROLER"))</f>
        <v/>
      </c>
      <c r="Q344">
        <f>IF(OR(L344="",N344=""),"",IFERROR((L344-IF(M344="",0,M344))*N344,0))</f>
        <v/>
      </c>
      <c r="V344">
        <f>IF(L344="","",L344-IF(M344="",0,M344)-IF(Q344="",0,Q344)-IF(T344="",0,T344))</f>
        <v/>
      </c>
      <c r="Y344">
        <f>IF(W344="IC","OUI",IF(W344="HC","OUI",IF(W344="HR","NON","A_CONTROLER")))</f>
        <v/>
      </c>
      <c r="Z344">
        <f>IF(W344="IC","OUI",IF(W344="HC","NON",IF(W344="HR","NON","A_CONTROLER")))</f>
        <v/>
      </c>
    </row>
    <row r="345">
      <c r="B345">
        <f>IF(A345="","",A345&amp;"|"&amp;D345&amp;"|"&amp;F345&amp;"|"&amp;G345&amp;"|"&amp;TEXT(I345,"YYYYMMDD")&amp;"|"&amp;TEXT(L345,"0.00"))</f>
        <v/>
      </c>
      <c r="C345">
        <f>IF(I345="","",TEXT(I345,"YYYY-MM"))</f>
        <v/>
      </c>
      <c r="K345">
        <f>IF(OR(I345="",J345=""),"",J345-I345)</f>
        <v/>
      </c>
      <c r="N345">
        <f>IF(F345="","",IFERROR(VLOOKUP(F345,lst_PropTauxLookup,2,0),""))</f>
        <v/>
      </c>
      <c r="O345">
        <f>IF(F345="","",IF(ISNUMBER(IFERROR(VLOOKUP(F345,lst_PropTauxLookup,2,0),"")),"REF_PROPRIETAIRE","A_CONTROLER"))</f>
        <v/>
      </c>
      <c r="Q345">
        <f>IF(OR(L345="",N345=""),"",IFERROR((L345-IF(M345="",0,M345))*N345,0))</f>
        <v/>
      </c>
      <c r="V345">
        <f>IF(L345="","",L345-IF(M345="",0,M345)-IF(Q345="",0,Q345)-IF(T345="",0,T345))</f>
        <v/>
      </c>
      <c r="Y345">
        <f>IF(W345="IC","OUI",IF(W345="HC","OUI",IF(W345="HR","NON","A_CONTROLER")))</f>
        <v/>
      </c>
      <c r="Z345">
        <f>IF(W345="IC","OUI",IF(W345="HC","NON",IF(W345="HR","NON","A_CONTROLER")))</f>
        <v/>
      </c>
    </row>
    <row r="346">
      <c r="B346">
        <f>IF(A346="","",A346&amp;"|"&amp;D346&amp;"|"&amp;F346&amp;"|"&amp;G346&amp;"|"&amp;TEXT(I346,"YYYYMMDD")&amp;"|"&amp;TEXT(L346,"0.00"))</f>
        <v/>
      </c>
      <c r="C346">
        <f>IF(I346="","",TEXT(I346,"YYYY-MM"))</f>
        <v/>
      </c>
      <c r="K346">
        <f>IF(OR(I346="",J346=""),"",J346-I346)</f>
        <v/>
      </c>
      <c r="N346">
        <f>IF(F346="","",IFERROR(VLOOKUP(F346,lst_PropTauxLookup,2,0),""))</f>
        <v/>
      </c>
      <c r="O346">
        <f>IF(F346="","",IF(ISNUMBER(IFERROR(VLOOKUP(F346,lst_PropTauxLookup,2,0),"")),"REF_PROPRIETAIRE","A_CONTROLER"))</f>
        <v/>
      </c>
      <c r="Q346">
        <f>IF(OR(L346="",N346=""),"",IFERROR((L346-IF(M346="",0,M346))*N346,0))</f>
        <v/>
      </c>
      <c r="V346">
        <f>IF(L346="","",L346-IF(M346="",0,M346)-IF(Q346="",0,Q346)-IF(T346="",0,T346))</f>
        <v/>
      </c>
      <c r="Y346">
        <f>IF(W346="IC","OUI",IF(W346="HC","OUI",IF(W346="HR","NON","A_CONTROLER")))</f>
        <v/>
      </c>
      <c r="Z346">
        <f>IF(W346="IC","OUI",IF(W346="HC","NON",IF(W346="HR","NON","A_CONTROLER")))</f>
        <v/>
      </c>
    </row>
    <row r="347">
      <c r="B347">
        <f>IF(A347="","",A347&amp;"|"&amp;D347&amp;"|"&amp;F347&amp;"|"&amp;G347&amp;"|"&amp;TEXT(I347,"YYYYMMDD")&amp;"|"&amp;TEXT(L347,"0.00"))</f>
        <v/>
      </c>
      <c r="C347">
        <f>IF(I347="","",TEXT(I347,"YYYY-MM"))</f>
        <v/>
      </c>
      <c r="K347">
        <f>IF(OR(I347="",J347=""),"",J347-I347)</f>
        <v/>
      </c>
      <c r="N347">
        <f>IF(F347="","",IFERROR(VLOOKUP(F347,lst_PropTauxLookup,2,0),""))</f>
        <v/>
      </c>
      <c r="O347">
        <f>IF(F347="","",IF(ISNUMBER(IFERROR(VLOOKUP(F347,lst_PropTauxLookup,2,0),"")),"REF_PROPRIETAIRE","A_CONTROLER"))</f>
        <v/>
      </c>
      <c r="Q347">
        <f>IF(OR(L347="",N347=""),"",IFERROR((L347-IF(M347="",0,M347))*N347,0))</f>
        <v/>
      </c>
      <c r="V347">
        <f>IF(L347="","",L347-IF(M347="",0,M347)-IF(Q347="",0,Q347)-IF(T347="",0,T347))</f>
        <v/>
      </c>
      <c r="Y347">
        <f>IF(W347="IC","OUI",IF(W347="HC","OUI",IF(W347="HR","NON","A_CONTROLER")))</f>
        <v/>
      </c>
      <c r="Z347">
        <f>IF(W347="IC","OUI",IF(W347="HC","NON",IF(W347="HR","NON","A_CONTROLER")))</f>
        <v/>
      </c>
    </row>
    <row r="348">
      <c r="B348">
        <f>IF(A348="","",A348&amp;"|"&amp;D348&amp;"|"&amp;F348&amp;"|"&amp;G348&amp;"|"&amp;TEXT(I348,"YYYYMMDD")&amp;"|"&amp;TEXT(L348,"0.00"))</f>
        <v/>
      </c>
      <c r="C348">
        <f>IF(I348="","",TEXT(I348,"YYYY-MM"))</f>
        <v/>
      </c>
      <c r="K348">
        <f>IF(OR(I348="",J348=""),"",J348-I348)</f>
        <v/>
      </c>
      <c r="N348">
        <f>IF(F348="","",IFERROR(VLOOKUP(F348,lst_PropTauxLookup,2,0),""))</f>
        <v/>
      </c>
      <c r="O348">
        <f>IF(F348="","",IF(ISNUMBER(IFERROR(VLOOKUP(F348,lst_PropTauxLookup,2,0),"")),"REF_PROPRIETAIRE","A_CONTROLER"))</f>
        <v/>
      </c>
      <c r="Q348">
        <f>IF(OR(L348="",N348=""),"",IFERROR((L348-IF(M348="",0,M348))*N348,0))</f>
        <v/>
      </c>
      <c r="V348">
        <f>IF(L348="","",L348-IF(M348="",0,M348)-IF(Q348="",0,Q348)-IF(T348="",0,T348))</f>
        <v/>
      </c>
      <c r="Y348">
        <f>IF(W348="IC","OUI",IF(W348="HC","OUI",IF(W348="HR","NON","A_CONTROLER")))</f>
        <v/>
      </c>
      <c r="Z348">
        <f>IF(W348="IC","OUI",IF(W348="HC","NON",IF(W348="HR","NON","A_CONTROLER")))</f>
        <v/>
      </c>
    </row>
    <row r="349">
      <c r="B349">
        <f>IF(A349="","",A349&amp;"|"&amp;D349&amp;"|"&amp;F349&amp;"|"&amp;G349&amp;"|"&amp;TEXT(I349,"YYYYMMDD")&amp;"|"&amp;TEXT(L349,"0.00"))</f>
        <v/>
      </c>
      <c r="C349">
        <f>IF(I349="","",TEXT(I349,"YYYY-MM"))</f>
        <v/>
      </c>
      <c r="K349">
        <f>IF(OR(I349="",J349=""),"",J349-I349)</f>
        <v/>
      </c>
      <c r="N349">
        <f>IF(F349="","",IFERROR(VLOOKUP(F349,lst_PropTauxLookup,2,0),""))</f>
        <v/>
      </c>
      <c r="O349">
        <f>IF(F349="","",IF(ISNUMBER(IFERROR(VLOOKUP(F349,lst_PropTauxLookup,2,0),"")),"REF_PROPRIETAIRE","A_CONTROLER"))</f>
        <v/>
      </c>
      <c r="Q349">
        <f>IF(OR(L349="",N349=""),"",IFERROR((L349-IF(M349="",0,M349))*N349,0))</f>
        <v/>
      </c>
      <c r="V349">
        <f>IF(L349="","",L349-IF(M349="",0,M349)-IF(Q349="",0,Q349)-IF(T349="",0,T349))</f>
        <v/>
      </c>
      <c r="Y349">
        <f>IF(W349="IC","OUI",IF(W349="HC","OUI",IF(W349="HR","NON","A_CONTROLER")))</f>
        <v/>
      </c>
      <c r="Z349">
        <f>IF(W349="IC","OUI",IF(W349="HC","NON",IF(W349="HR","NON","A_CONTROLER")))</f>
        <v/>
      </c>
    </row>
    <row r="350">
      <c r="B350">
        <f>IF(A350="","",A350&amp;"|"&amp;D350&amp;"|"&amp;F350&amp;"|"&amp;G350&amp;"|"&amp;TEXT(I350,"YYYYMMDD")&amp;"|"&amp;TEXT(L350,"0.00"))</f>
        <v/>
      </c>
      <c r="C350">
        <f>IF(I350="","",TEXT(I350,"YYYY-MM"))</f>
        <v/>
      </c>
      <c r="K350">
        <f>IF(OR(I350="",J350=""),"",J350-I350)</f>
        <v/>
      </c>
      <c r="N350">
        <f>IF(F350="","",IFERROR(VLOOKUP(F350,lst_PropTauxLookup,2,0),""))</f>
        <v/>
      </c>
      <c r="O350">
        <f>IF(F350="","",IF(ISNUMBER(IFERROR(VLOOKUP(F350,lst_PropTauxLookup,2,0),"")),"REF_PROPRIETAIRE","A_CONTROLER"))</f>
        <v/>
      </c>
      <c r="Q350">
        <f>IF(OR(L350="",N350=""),"",IFERROR((L350-IF(M350="",0,M350))*N350,0))</f>
        <v/>
      </c>
      <c r="V350">
        <f>IF(L350="","",L350-IF(M350="",0,M350)-IF(Q350="",0,Q350)-IF(T350="",0,T350))</f>
        <v/>
      </c>
      <c r="Y350">
        <f>IF(W350="IC","OUI",IF(W350="HC","OUI",IF(W350="HR","NON","A_CONTROLER")))</f>
        <v/>
      </c>
      <c r="Z350">
        <f>IF(W350="IC","OUI",IF(W350="HC","NON",IF(W350="HR","NON","A_CONTROLER")))</f>
        <v/>
      </c>
    </row>
    <row r="351">
      <c r="B351">
        <f>IF(A351="","",A351&amp;"|"&amp;D351&amp;"|"&amp;F351&amp;"|"&amp;G351&amp;"|"&amp;TEXT(I351,"YYYYMMDD")&amp;"|"&amp;TEXT(L351,"0.00"))</f>
        <v/>
      </c>
      <c r="C351">
        <f>IF(I351="","",TEXT(I351,"YYYY-MM"))</f>
        <v/>
      </c>
      <c r="K351">
        <f>IF(OR(I351="",J351=""),"",J351-I351)</f>
        <v/>
      </c>
      <c r="N351">
        <f>IF(F351="","",IFERROR(VLOOKUP(F351,lst_PropTauxLookup,2,0),""))</f>
        <v/>
      </c>
      <c r="O351">
        <f>IF(F351="","",IF(ISNUMBER(IFERROR(VLOOKUP(F351,lst_PropTauxLookup,2,0),"")),"REF_PROPRIETAIRE","A_CONTROLER"))</f>
        <v/>
      </c>
      <c r="Q351">
        <f>IF(OR(L351="",N351=""),"",IFERROR((L351-IF(M351="",0,M351))*N351,0))</f>
        <v/>
      </c>
      <c r="V351">
        <f>IF(L351="","",L351-IF(M351="",0,M351)-IF(Q351="",0,Q351)-IF(T351="",0,T351))</f>
        <v/>
      </c>
      <c r="Y351">
        <f>IF(W351="IC","OUI",IF(W351="HC","OUI",IF(W351="HR","NON","A_CONTROLER")))</f>
        <v/>
      </c>
      <c r="Z351">
        <f>IF(W351="IC","OUI",IF(W351="HC","NON",IF(W351="HR","NON","A_CONTROLER")))</f>
        <v/>
      </c>
    </row>
    <row r="352">
      <c r="B352">
        <f>IF(A352="","",A352&amp;"|"&amp;D352&amp;"|"&amp;F352&amp;"|"&amp;G352&amp;"|"&amp;TEXT(I352,"YYYYMMDD")&amp;"|"&amp;TEXT(L352,"0.00"))</f>
        <v/>
      </c>
      <c r="C352">
        <f>IF(I352="","",TEXT(I352,"YYYY-MM"))</f>
        <v/>
      </c>
      <c r="K352">
        <f>IF(OR(I352="",J352=""),"",J352-I352)</f>
        <v/>
      </c>
      <c r="N352">
        <f>IF(F352="","",IFERROR(VLOOKUP(F352,lst_PropTauxLookup,2,0),""))</f>
        <v/>
      </c>
      <c r="O352">
        <f>IF(F352="","",IF(ISNUMBER(IFERROR(VLOOKUP(F352,lst_PropTauxLookup,2,0),"")),"REF_PROPRIETAIRE","A_CONTROLER"))</f>
        <v/>
      </c>
      <c r="Q352">
        <f>IF(OR(L352="",N352=""),"",IFERROR((L352-IF(M352="",0,M352))*N352,0))</f>
        <v/>
      </c>
      <c r="V352">
        <f>IF(L352="","",L352-IF(M352="",0,M352)-IF(Q352="",0,Q352)-IF(T352="",0,T352))</f>
        <v/>
      </c>
      <c r="Y352">
        <f>IF(W352="IC","OUI",IF(W352="HC","OUI",IF(W352="HR","NON","A_CONTROLER")))</f>
        <v/>
      </c>
      <c r="Z352">
        <f>IF(W352="IC","OUI",IF(W352="HC","NON",IF(W352="HR","NON","A_CONTROLER")))</f>
        <v/>
      </c>
    </row>
    <row r="353">
      <c r="B353">
        <f>IF(A353="","",A353&amp;"|"&amp;D353&amp;"|"&amp;F353&amp;"|"&amp;G353&amp;"|"&amp;TEXT(I353,"YYYYMMDD")&amp;"|"&amp;TEXT(L353,"0.00"))</f>
        <v/>
      </c>
      <c r="C353">
        <f>IF(I353="","",TEXT(I353,"YYYY-MM"))</f>
        <v/>
      </c>
      <c r="K353">
        <f>IF(OR(I353="",J353=""),"",J353-I353)</f>
        <v/>
      </c>
      <c r="N353">
        <f>IF(F353="","",IFERROR(VLOOKUP(F353,lst_PropTauxLookup,2,0),""))</f>
        <v/>
      </c>
      <c r="O353">
        <f>IF(F353="","",IF(ISNUMBER(IFERROR(VLOOKUP(F353,lst_PropTauxLookup,2,0),"")),"REF_PROPRIETAIRE","A_CONTROLER"))</f>
        <v/>
      </c>
      <c r="Q353">
        <f>IF(OR(L353="",N353=""),"",IFERROR((L353-IF(M353="",0,M353))*N353,0))</f>
        <v/>
      </c>
      <c r="V353">
        <f>IF(L353="","",L353-IF(M353="",0,M353)-IF(Q353="",0,Q353)-IF(T353="",0,T353))</f>
        <v/>
      </c>
      <c r="Y353">
        <f>IF(W353="IC","OUI",IF(W353="HC","OUI",IF(W353="HR","NON","A_CONTROLER")))</f>
        <v/>
      </c>
      <c r="Z353">
        <f>IF(W353="IC","OUI",IF(W353="HC","NON",IF(W353="HR","NON","A_CONTROLER")))</f>
        <v/>
      </c>
    </row>
    <row r="354">
      <c r="B354">
        <f>IF(A354="","",A354&amp;"|"&amp;D354&amp;"|"&amp;F354&amp;"|"&amp;G354&amp;"|"&amp;TEXT(I354,"YYYYMMDD")&amp;"|"&amp;TEXT(L354,"0.00"))</f>
        <v/>
      </c>
      <c r="C354">
        <f>IF(I354="","",TEXT(I354,"YYYY-MM"))</f>
        <v/>
      </c>
      <c r="K354">
        <f>IF(OR(I354="",J354=""),"",J354-I354)</f>
        <v/>
      </c>
      <c r="N354">
        <f>IF(F354="","",IFERROR(VLOOKUP(F354,lst_PropTauxLookup,2,0),""))</f>
        <v/>
      </c>
      <c r="O354">
        <f>IF(F354="","",IF(ISNUMBER(IFERROR(VLOOKUP(F354,lst_PropTauxLookup,2,0),"")),"REF_PROPRIETAIRE","A_CONTROLER"))</f>
        <v/>
      </c>
      <c r="Q354">
        <f>IF(OR(L354="",N354=""),"",IFERROR((L354-IF(M354="",0,M354))*N354,0))</f>
        <v/>
      </c>
      <c r="V354">
        <f>IF(L354="","",L354-IF(M354="",0,M354)-IF(Q354="",0,Q354)-IF(T354="",0,T354))</f>
        <v/>
      </c>
      <c r="Y354">
        <f>IF(W354="IC","OUI",IF(W354="HC","OUI",IF(W354="HR","NON","A_CONTROLER")))</f>
        <v/>
      </c>
      <c r="Z354">
        <f>IF(W354="IC","OUI",IF(W354="HC","NON",IF(W354="HR","NON","A_CONTROLER")))</f>
        <v/>
      </c>
    </row>
    <row r="355">
      <c r="B355">
        <f>IF(A355="","",A355&amp;"|"&amp;D355&amp;"|"&amp;F355&amp;"|"&amp;G355&amp;"|"&amp;TEXT(I355,"YYYYMMDD")&amp;"|"&amp;TEXT(L355,"0.00"))</f>
        <v/>
      </c>
      <c r="C355">
        <f>IF(I355="","",TEXT(I355,"YYYY-MM"))</f>
        <v/>
      </c>
      <c r="K355">
        <f>IF(OR(I355="",J355=""),"",J355-I355)</f>
        <v/>
      </c>
      <c r="N355">
        <f>IF(F355="","",IFERROR(VLOOKUP(F355,lst_PropTauxLookup,2,0),""))</f>
        <v/>
      </c>
      <c r="O355">
        <f>IF(F355="","",IF(ISNUMBER(IFERROR(VLOOKUP(F355,lst_PropTauxLookup,2,0),"")),"REF_PROPRIETAIRE","A_CONTROLER"))</f>
        <v/>
      </c>
      <c r="Q355">
        <f>IF(OR(L355="",N355=""),"",IFERROR((L355-IF(M355="",0,M355))*N355,0))</f>
        <v/>
      </c>
      <c r="V355">
        <f>IF(L355="","",L355-IF(M355="",0,M355)-IF(Q355="",0,Q355)-IF(T355="",0,T355))</f>
        <v/>
      </c>
      <c r="Y355">
        <f>IF(W355="IC","OUI",IF(W355="HC","OUI",IF(W355="HR","NON","A_CONTROLER")))</f>
        <v/>
      </c>
      <c r="Z355">
        <f>IF(W355="IC","OUI",IF(W355="HC","NON",IF(W355="HR","NON","A_CONTROLER")))</f>
        <v/>
      </c>
    </row>
    <row r="356">
      <c r="B356">
        <f>IF(A356="","",A356&amp;"|"&amp;D356&amp;"|"&amp;F356&amp;"|"&amp;G356&amp;"|"&amp;TEXT(I356,"YYYYMMDD")&amp;"|"&amp;TEXT(L356,"0.00"))</f>
        <v/>
      </c>
      <c r="C356">
        <f>IF(I356="","",TEXT(I356,"YYYY-MM"))</f>
        <v/>
      </c>
      <c r="K356">
        <f>IF(OR(I356="",J356=""),"",J356-I356)</f>
        <v/>
      </c>
      <c r="N356">
        <f>IF(F356="","",IFERROR(VLOOKUP(F356,lst_PropTauxLookup,2,0),""))</f>
        <v/>
      </c>
      <c r="O356">
        <f>IF(F356="","",IF(ISNUMBER(IFERROR(VLOOKUP(F356,lst_PropTauxLookup,2,0),"")),"REF_PROPRIETAIRE","A_CONTROLER"))</f>
        <v/>
      </c>
      <c r="Q356">
        <f>IF(OR(L356="",N356=""),"",IFERROR((L356-IF(M356="",0,M356))*N356,0))</f>
        <v/>
      </c>
      <c r="V356">
        <f>IF(L356="","",L356-IF(M356="",0,M356)-IF(Q356="",0,Q356)-IF(T356="",0,T356))</f>
        <v/>
      </c>
      <c r="Y356">
        <f>IF(W356="IC","OUI",IF(W356="HC","OUI",IF(W356="HR","NON","A_CONTROLER")))</f>
        <v/>
      </c>
      <c r="Z356">
        <f>IF(W356="IC","OUI",IF(W356="HC","NON",IF(W356="HR","NON","A_CONTROLER")))</f>
        <v/>
      </c>
    </row>
    <row r="357">
      <c r="B357">
        <f>IF(A357="","",A357&amp;"|"&amp;D357&amp;"|"&amp;F357&amp;"|"&amp;G357&amp;"|"&amp;TEXT(I357,"YYYYMMDD")&amp;"|"&amp;TEXT(L357,"0.00"))</f>
        <v/>
      </c>
      <c r="C357">
        <f>IF(I357="","",TEXT(I357,"YYYY-MM"))</f>
        <v/>
      </c>
      <c r="K357">
        <f>IF(OR(I357="",J357=""),"",J357-I357)</f>
        <v/>
      </c>
      <c r="N357">
        <f>IF(F357="","",IFERROR(VLOOKUP(F357,lst_PropTauxLookup,2,0),""))</f>
        <v/>
      </c>
      <c r="O357">
        <f>IF(F357="","",IF(ISNUMBER(IFERROR(VLOOKUP(F357,lst_PropTauxLookup,2,0),"")),"REF_PROPRIETAIRE","A_CONTROLER"))</f>
        <v/>
      </c>
      <c r="Q357">
        <f>IF(OR(L357="",N357=""),"",IFERROR((L357-IF(M357="",0,M357))*N357,0))</f>
        <v/>
      </c>
      <c r="V357">
        <f>IF(L357="","",L357-IF(M357="",0,M357)-IF(Q357="",0,Q357)-IF(T357="",0,T357))</f>
        <v/>
      </c>
      <c r="Y357">
        <f>IF(W357="IC","OUI",IF(W357="HC","OUI",IF(W357="HR","NON","A_CONTROLER")))</f>
        <v/>
      </c>
      <c r="Z357">
        <f>IF(W357="IC","OUI",IF(W357="HC","NON",IF(W357="HR","NON","A_CONTROLER")))</f>
        <v/>
      </c>
    </row>
    <row r="358">
      <c r="B358">
        <f>IF(A358="","",A358&amp;"|"&amp;D358&amp;"|"&amp;F358&amp;"|"&amp;G358&amp;"|"&amp;TEXT(I358,"YYYYMMDD")&amp;"|"&amp;TEXT(L358,"0.00"))</f>
        <v/>
      </c>
      <c r="C358">
        <f>IF(I358="","",TEXT(I358,"YYYY-MM"))</f>
        <v/>
      </c>
      <c r="K358">
        <f>IF(OR(I358="",J358=""),"",J358-I358)</f>
        <v/>
      </c>
      <c r="N358">
        <f>IF(F358="","",IFERROR(VLOOKUP(F358,lst_PropTauxLookup,2,0),""))</f>
        <v/>
      </c>
      <c r="O358">
        <f>IF(F358="","",IF(ISNUMBER(IFERROR(VLOOKUP(F358,lst_PropTauxLookup,2,0),"")),"REF_PROPRIETAIRE","A_CONTROLER"))</f>
        <v/>
      </c>
      <c r="Q358">
        <f>IF(OR(L358="",N358=""),"",IFERROR((L358-IF(M358="",0,M358))*N358,0))</f>
        <v/>
      </c>
      <c r="V358">
        <f>IF(L358="","",L358-IF(M358="",0,M358)-IF(Q358="",0,Q358)-IF(T358="",0,T358))</f>
        <v/>
      </c>
      <c r="Y358">
        <f>IF(W358="IC","OUI",IF(W358="HC","OUI",IF(W358="HR","NON","A_CONTROLER")))</f>
        <v/>
      </c>
      <c r="Z358">
        <f>IF(W358="IC","OUI",IF(W358="HC","NON",IF(W358="HR","NON","A_CONTROLER")))</f>
        <v/>
      </c>
    </row>
    <row r="359">
      <c r="B359">
        <f>IF(A359="","",A359&amp;"|"&amp;D359&amp;"|"&amp;F359&amp;"|"&amp;G359&amp;"|"&amp;TEXT(I359,"YYYYMMDD")&amp;"|"&amp;TEXT(L359,"0.00"))</f>
        <v/>
      </c>
      <c r="C359">
        <f>IF(I359="","",TEXT(I359,"YYYY-MM"))</f>
        <v/>
      </c>
      <c r="K359">
        <f>IF(OR(I359="",J359=""),"",J359-I359)</f>
        <v/>
      </c>
      <c r="N359">
        <f>IF(F359="","",IFERROR(VLOOKUP(F359,lst_PropTauxLookup,2,0),""))</f>
        <v/>
      </c>
      <c r="O359">
        <f>IF(F359="","",IF(ISNUMBER(IFERROR(VLOOKUP(F359,lst_PropTauxLookup,2,0),"")),"REF_PROPRIETAIRE","A_CONTROLER"))</f>
        <v/>
      </c>
      <c r="Q359">
        <f>IF(OR(L359="",N359=""),"",IFERROR((L359-IF(M359="",0,M359))*N359,0))</f>
        <v/>
      </c>
      <c r="V359">
        <f>IF(L359="","",L359-IF(M359="",0,M359)-IF(Q359="",0,Q359)-IF(T359="",0,T359))</f>
        <v/>
      </c>
      <c r="Y359">
        <f>IF(W359="IC","OUI",IF(W359="HC","OUI",IF(W359="HR","NON","A_CONTROLER")))</f>
        <v/>
      </c>
      <c r="Z359">
        <f>IF(W359="IC","OUI",IF(W359="HC","NON",IF(W359="HR","NON","A_CONTROLER")))</f>
        <v/>
      </c>
    </row>
    <row r="360">
      <c r="B360">
        <f>IF(A360="","",A360&amp;"|"&amp;D360&amp;"|"&amp;F360&amp;"|"&amp;G360&amp;"|"&amp;TEXT(I360,"YYYYMMDD")&amp;"|"&amp;TEXT(L360,"0.00"))</f>
        <v/>
      </c>
      <c r="C360">
        <f>IF(I360="","",TEXT(I360,"YYYY-MM"))</f>
        <v/>
      </c>
      <c r="K360">
        <f>IF(OR(I360="",J360=""),"",J360-I360)</f>
        <v/>
      </c>
      <c r="N360">
        <f>IF(F360="","",IFERROR(VLOOKUP(F360,lst_PropTauxLookup,2,0),""))</f>
        <v/>
      </c>
      <c r="O360">
        <f>IF(F360="","",IF(ISNUMBER(IFERROR(VLOOKUP(F360,lst_PropTauxLookup,2,0),"")),"REF_PROPRIETAIRE","A_CONTROLER"))</f>
        <v/>
      </c>
      <c r="Q360">
        <f>IF(OR(L360="",N360=""),"",IFERROR((L360-IF(M360="",0,M360))*N360,0))</f>
        <v/>
      </c>
      <c r="V360">
        <f>IF(L360="","",L360-IF(M360="",0,M360)-IF(Q360="",0,Q360)-IF(T360="",0,T360))</f>
        <v/>
      </c>
      <c r="Y360">
        <f>IF(W360="IC","OUI",IF(W360="HC","OUI",IF(W360="HR","NON","A_CONTROLER")))</f>
        <v/>
      </c>
      <c r="Z360">
        <f>IF(W360="IC","OUI",IF(W360="HC","NON",IF(W360="HR","NON","A_CONTROLER")))</f>
        <v/>
      </c>
    </row>
    <row r="361">
      <c r="B361">
        <f>IF(A361="","",A361&amp;"|"&amp;D361&amp;"|"&amp;F361&amp;"|"&amp;G361&amp;"|"&amp;TEXT(I361,"YYYYMMDD")&amp;"|"&amp;TEXT(L361,"0.00"))</f>
        <v/>
      </c>
      <c r="C361">
        <f>IF(I361="","",TEXT(I361,"YYYY-MM"))</f>
        <v/>
      </c>
      <c r="K361">
        <f>IF(OR(I361="",J361=""),"",J361-I361)</f>
        <v/>
      </c>
      <c r="N361">
        <f>IF(F361="","",IFERROR(VLOOKUP(F361,lst_PropTauxLookup,2,0),""))</f>
        <v/>
      </c>
      <c r="O361">
        <f>IF(F361="","",IF(ISNUMBER(IFERROR(VLOOKUP(F361,lst_PropTauxLookup,2,0),"")),"REF_PROPRIETAIRE","A_CONTROLER"))</f>
        <v/>
      </c>
      <c r="Q361">
        <f>IF(OR(L361="",N361=""),"",IFERROR((L361-IF(M361="",0,M361))*N361,0))</f>
        <v/>
      </c>
      <c r="V361">
        <f>IF(L361="","",L361-IF(M361="",0,M361)-IF(Q361="",0,Q361)-IF(T361="",0,T361))</f>
        <v/>
      </c>
      <c r="Y361">
        <f>IF(W361="IC","OUI",IF(W361="HC","OUI",IF(W361="HR","NON","A_CONTROLER")))</f>
        <v/>
      </c>
      <c r="Z361">
        <f>IF(W361="IC","OUI",IF(W361="HC","NON",IF(W361="HR","NON","A_CONTROLER")))</f>
        <v/>
      </c>
    </row>
    <row r="362">
      <c r="B362">
        <f>IF(A362="","",A362&amp;"|"&amp;D362&amp;"|"&amp;F362&amp;"|"&amp;G362&amp;"|"&amp;TEXT(I362,"YYYYMMDD")&amp;"|"&amp;TEXT(L362,"0.00"))</f>
        <v/>
      </c>
      <c r="C362">
        <f>IF(I362="","",TEXT(I362,"YYYY-MM"))</f>
        <v/>
      </c>
      <c r="K362">
        <f>IF(OR(I362="",J362=""),"",J362-I362)</f>
        <v/>
      </c>
      <c r="N362">
        <f>IF(F362="","",IFERROR(VLOOKUP(F362,lst_PropTauxLookup,2,0),""))</f>
        <v/>
      </c>
      <c r="O362">
        <f>IF(F362="","",IF(ISNUMBER(IFERROR(VLOOKUP(F362,lst_PropTauxLookup,2,0),"")),"REF_PROPRIETAIRE","A_CONTROLER"))</f>
        <v/>
      </c>
      <c r="Q362">
        <f>IF(OR(L362="",N362=""),"",IFERROR((L362-IF(M362="",0,M362))*N362,0))</f>
        <v/>
      </c>
      <c r="V362">
        <f>IF(L362="","",L362-IF(M362="",0,M362)-IF(Q362="",0,Q362)-IF(T362="",0,T362))</f>
        <v/>
      </c>
      <c r="Y362">
        <f>IF(W362="IC","OUI",IF(W362="HC","OUI",IF(W362="HR","NON","A_CONTROLER")))</f>
        <v/>
      </c>
      <c r="Z362">
        <f>IF(W362="IC","OUI",IF(W362="HC","NON",IF(W362="HR","NON","A_CONTROLER")))</f>
        <v/>
      </c>
    </row>
    <row r="363">
      <c r="B363">
        <f>IF(A363="","",A363&amp;"|"&amp;D363&amp;"|"&amp;F363&amp;"|"&amp;G363&amp;"|"&amp;TEXT(I363,"YYYYMMDD")&amp;"|"&amp;TEXT(L363,"0.00"))</f>
        <v/>
      </c>
      <c r="C363">
        <f>IF(I363="","",TEXT(I363,"YYYY-MM"))</f>
        <v/>
      </c>
      <c r="K363">
        <f>IF(OR(I363="",J363=""),"",J363-I363)</f>
        <v/>
      </c>
      <c r="N363">
        <f>IF(F363="","",IFERROR(VLOOKUP(F363,lst_PropTauxLookup,2,0),""))</f>
        <v/>
      </c>
      <c r="O363">
        <f>IF(F363="","",IF(ISNUMBER(IFERROR(VLOOKUP(F363,lst_PropTauxLookup,2,0),"")),"REF_PROPRIETAIRE","A_CONTROLER"))</f>
        <v/>
      </c>
      <c r="Q363">
        <f>IF(OR(L363="",N363=""),"",IFERROR((L363-IF(M363="",0,M363))*N363,0))</f>
        <v/>
      </c>
      <c r="V363">
        <f>IF(L363="","",L363-IF(M363="",0,M363)-IF(Q363="",0,Q363)-IF(T363="",0,T363))</f>
        <v/>
      </c>
      <c r="Y363">
        <f>IF(W363="IC","OUI",IF(W363="HC","OUI",IF(W363="HR","NON","A_CONTROLER")))</f>
        <v/>
      </c>
      <c r="Z363">
        <f>IF(W363="IC","OUI",IF(W363="HC","NON",IF(W363="HR","NON","A_CONTROLER")))</f>
        <v/>
      </c>
    </row>
    <row r="364">
      <c r="B364">
        <f>IF(A364="","",A364&amp;"|"&amp;D364&amp;"|"&amp;F364&amp;"|"&amp;G364&amp;"|"&amp;TEXT(I364,"YYYYMMDD")&amp;"|"&amp;TEXT(L364,"0.00"))</f>
        <v/>
      </c>
      <c r="C364">
        <f>IF(I364="","",TEXT(I364,"YYYY-MM"))</f>
        <v/>
      </c>
      <c r="K364">
        <f>IF(OR(I364="",J364=""),"",J364-I364)</f>
        <v/>
      </c>
      <c r="N364">
        <f>IF(F364="","",IFERROR(VLOOKUP(F364,lst_PropTauxLookup,2,0),""))</f>
        <v/>
      </c>
      <c r="O364">
        <f>IF(F364="","",IF(ISNUMBER(IFERROR(VLOOKUP(F364,lst_PropTauxLookup,2,0),"")),"REF_PROPRIETAIRE","A_CONTROLER"))</f>
        <v/>
      </c>
      <c r="Q364">
        <f>IF(OR(L364="",N364=""),"",IFERROR((L364-IF(M364="",0,M364))*N364,0))</f>
        <v/>
      </c>
      <c r="V364">
        <f>IF(L364="","",L364-IF(M364="",0,M364)-IF(Q364="",0,Q364)-IF(T364="",0,T364))</f>
        <v/>
      </c>
      <c r="Y364">
        <f>IF(W364="IC","OUI",IF(W364="HC","OUI",IF(W364="HR","NON","A_CONTROLER")))</f>
        <v/>
      </c>
      <c r="Z364">
        <f>IF(W364="IC","OUI",IF(W364="HC","NON",IF(W364="HR","NON","A_CONTROLER")))</f>
        <v/>
      </c>
    </row>
    <row r="365">
      <c r="B365">
        <f>IF(A365="","",A365&amp;"|"&amp;D365&amp;"|"&amp;F365&amp;"|"&amp;G365&amp;"|"&amp;TEXT(I365,"YYYYMMDD")&amp;"|"&amp;TEXT(L365,"0.00"))</f>
        <v/>
      </c>
      <c r="C365">
        <f>IF(I365="","",TEXT(I365,"YYYY-MM"))</f>
        <v/>
      </c>
      <c r="K365">
        <f>IF(OR(I365="",J365=""),"",J365-I365)</f>
        <v/>
      </c>
      <c r="N365">
        <f>IF(F365="","",IFERROR(VLOOKUP(F365,lst_PropTauxLookup,2,0),""))</f>
        <v/>
      </c>
      <c r="O365">
        <f>IF(F365="","",IF(ISNUMBER(IFERROR(VLOOKUP(F365,lst_PropTauxLookup,2,0),"")),"REF_PROPRIETAIRE","A_CONTROLER"))</f>
        <v/>
      </c>
      <c r="Q365">
        <f>IF(OR(L365="",N365=""),"",IFERROR((L365-IF(M365="",0,M365))*N365,0))</f>
        <v/>
      </c>
      <c r="V365">
        <f>IF(L365="","",L365-IF(M365="",0,M365)-IF(Q365="",0,Q365)-IF(T365="",0,T365))</f>
        <v/>
      </c>
      <c r="Y365">
        <f>IF(W365="IC","OUI",IF(W365="HC","OUI",IF(W365="HR","NON","A_CONTROLER")))</f>
        <v/>
      </c>
      <c r="Z365">
        <f>IF(W365="IC","OUI",IF(W365="HC","NON",IF(W365="HR","NON","A_CONTROLER")))</f>
        <v/>
      </c>
    </row>
    <row r="366">
      <c r="B366">
        <f>IF(A366="","",A366&amp;"|"&amp;D366&amp;"|"&amp;F366&amp;"|"&amp;G366&amp;"|"&amp;TEXT(I366,"YYYYMMDD")&amp;"|"&amp;TEXT(L366,"0.00"))</f>
        <v/>
      </c>
      <c r="C366">
        <f>IF(I366="","",TEXT(I366,"YYYY-MM"))</f>
        <v/>
      </c>
      <c r="K366">
        <f>IF(OR(I366="",J366=""),"",J366-I366)</f>
        <v/>
      </c>
      <c r="N366">
        <f>IF(F366="","",IFERROR(VLOOKUP(F366,lst_PropTauxLookup,2,0),""))</f>
        <v/>
      </c>
      <c r="O366">
        <f>IF(F366="","",IF(ISNUMBER(IFERROR(VLOOKUP(F366,lst_PropTauxLookup,2,0),"")),"REF_PROPRIETAIRE","A_CONTROLER"))</f>
        <v/>
      </c>
      <c r="Q366">
        <f>IF(OR(L366="",N366=""),"",IFERROR((L366-IF(M366="",0,M366))*N366,0))</f>
        <v/>
      </c>
      <c r="V366">
        <f>IF(L366="","",L366-IF(M366="",0,M366)-IF(Q366="",0,Q366)-IF(T366="",0,T366))</f>
        <v/>
      </c>
      <c r="Y366">
        <f>IF(W366="IC","OUI",IF(W366="HC","OUI",IF(W366="HR","NON","A_CONTROLER")))</f>
        <v/>
      </c>
      <c r="Z366">
        <f>IF(W366="IC","OUI",IF(W366="HC","NON",IF(W366="HR","NON","A_CONTROLER")))</f>
        <v/>
      </c>
    </row>
    <row r="367">
      <c r="B367">
        <f>IF(A367="","",A367&amp;"|"&amp;D367&amp;"|"&amp;F367&amp;"|"&amp;G367&amp;"|"&amp;TEXT(I367,"YYYYMMDD")&amp;"|"&amp;TEXT(L367,"0.00"))</f>
        <v/>
      </c>
      <c r="C367">
        <f>IF(I367="","",TEXT(I367,"YYYY-MM"))</f>
        <v/>
      </c>
      <c r="K367">
        <f>IF(OR(I367="",J367=""),"",J367-I367)</f>
        <v/>
      </c>
      <c r="N367">
        <f>IF(F367="","",IFERROR(VLOOKUP(F367,lst_PropTauxLookup,2,0),""))</f>
        <v/>
      </c>
      <c r="O367">
        <f>IF(F367="","",IF(ISNUMBER(IFERROR(VLOOKUP(F367,lst_PropTauxLookup,2,0),"")),"REF_PROPRIETAIRE","A_CONTROLER"))</f>
        <v/>
      </c>
      <c r="Q367">
        <f>IF(OR(L367="",N367=""),"",IFERROR((L367-IF(M367="",0,M367))*N367,0))</f>
        <v/>
      </c>
      <c r="V367">
        <f>IF(L367="","",L367-IF(M367="",0,M367)-IF(Q367="",0,Q367)-IF(T367="",0,T367))</f>
        <v/>
      </c>
      <c r="Y367">
        <f>IF(W367="IC","OUI",IF(W367="HC","OUI",IF(W367="HR","NON","A_CONTROLER")))</f>
        <v/>
      </c>
      <c r="Z367">
        <f>IF(W367="IC","OUI",IF(W367="HC","NON",IF(W367="HR","NON","A_CONTROLER")))</f>
        <v/>
      </c>
    </row>
    <row r="368">
      <c r="B368">
        <f>IF(A368="","",A368&amp;"|"&amp;D368&amp;"|"&amp;F368&amp;"|"&amp;G368&amp;"|"&amp;TEXT(I368,"YYYYMMDD")&amp;"|"&amp;TEXT(L368,"0.00"))</f>
        <v/>
      </c>
      <c r="C368">
        <f>IF(I368="","",TEXT(I368,"YYYY-MM"))</f>
        <v/>
      </c>
      <c r="K368">
        <f>IF(OR(I368="",J368=""),"",J368-I368)</f>
        <v/>
      </c>
      <c r="N368">
        <f>IF(F368="","",IFERROR(VLOOKUP(F368,lst_PropTauxLookup,2,0),""))</f>
        <v/>
      </c>
      <c r="O368">
        <f>IF(F368="","",IF(ISNUMBER(IFERROR(VLOOKUP(F368,lst_PropTauxLookup,2,0),"")),"REF_PROPRIETAIRE","A_CONTROLER"))</f>
        <v/>
      </c>
      <c r="Q368">
        <f>IF(OR(L368="",N368=""),"",IFERROR((L368-IF(M368="",0,M368))*N368,0))</f>
        <v/>
      </c>
      <c r="V368">
        <f>IF(L368="","",L368-IF(M368="",0,M368)-IF(Q368="",0,Q368)-IF(T368="",0,T368))</f>
        <v/>
      </c>
      <c r="Y368">
        <f>IF(W368="IC","OUI",IF(W368="HC","OUI",IF(W368="HR","NON","A_CONTROLER")))</f>
        <v/>
      </c>
      <c r="Z368">
        <f>IF(W368="IC","OUI",IF(W368="HC","NON",IF(W368="HR","NON","A_CONTROLER")))</f>
        <v/>
      </c>
    </row>
    <row r="369">
      <c r="B369">
        <f>IF(A369="","",A369&amp;"|"&amp;D369&amp;"|"&amp;F369&amp;"|"&amp;G369&amp;"|"&amp;TEXT(I369,"YYYYMMDD")&amp;"|"&amp;TEXT(L369,"0.00"))</f>
        <v/>
      </c>
      <c r="C369">
        <f>IF(I369="","",TEXT(I369,"YYYY-MM"))</f>
        <v/>
      </c>
      <c r="K369">
        <f>IF(OR(I369="",J369=""),"",J369-I369)</f>
        <v/>
      </c>
      <c r="N369">
        <f>IF(F369="","",IFERROR(VLOOKUP(F369,lst_PropTauxLookup,2,0),""))</f>
        <v/>
      </c>
      <c r="O369">
        <f>IF(F369="","",IF(ISNUMBER(IFERROR(VLOOKUP(F369,lst_PropTauxLookup,2,0),"")),"REF_PROPRIETAIRE","A_CONTROLER"))</f>
        <v/>
      </c>
      <c r="Q369">
        <f>IF(OR(L369="",N369=""),"",IFERROR((L369-IF(M369="",0,M369))*N369,0))</f>
        <v/>
      </c>
      <c r="V369">
        <f>IF(L369="","",L369-IF(M369="",0,M369)-IF(Q369="",0,Q369)-IF(T369="",0,T369))</f>
        <v/>
      </c>
      <c r="Y369">
        <f>IF(W369="IC","OUI",IF(W369="HC","OUI",IF(W369="HR","NON","A_CONTROLER")))</f>
        <v/>
      </c>
      <c r="Z369">
        <f>IF(W369="IC","OUI",IF(W369="HC","NON",IF(W369="HR","NON","A_CONTROLER")))</f>
        <v/>
      </c>
    </row>
    <row r="370">
      <c r="B370">
        <f>IF(A370="","",A370&amp;"|"&amp;D370&amp;"|"&amp;F370&amp;"|"&amp;G370&amp;"|"&amp;TEXT(I370,"YYYYMMDD")&amp;"|"&amp;TEXT(L370,"0.00"))</f>
        <v/>
      </c>
      <c r="C370">
        <f>IF(I370="","",TEXT(I370,"YYYY-MM"))</f>
        <v/>
      </c>
      <c r="K370">
        <f>IF(OR(I370="",J370=""),"",J370-I370)</f>
        <v/>
      </c>
      <c r="N370">
        <f>IF(F370="","",IFERROR(VLOOKUP(F370,lst_PropTauxLookup,2,0),""))</f>
        <v/>
      </c>
      <c r="O370">
        <f>IF(F370="","",IF(ISNUMBER(IFERROR(VLOOKUP(F370,lst_PropTauxLookup,2,0),"")),"REF_PROPRIETAIRE","A_CONTROLER"))</f>
        <v/>
      </c>
      <c r="Q370">
        <f>IF(OR(L370="",N370=""),"",IFERROR((L370-IF(M370="",0,M370))*N370,0))</f>
        <v/>
      </c>
      <c r="V370">
        <f>IF(L370="","",L370-IF(M370="",0,M370)-IF(Q370="",0,Q370)-IF(T370="",0,T370))</f>
        <v/>
      </c>
      <c r="Y370">
        <f>IF(W370="IC","OUI",IF(W370="HC","OUI",IF(W370="HR","NON","A_CONTROLER")))</f>
        <v/>
      </c>
      <c r="Z370">
        <f>IF(W370="IC","OUI",IF(W370="HC","NON",IF(W370="HR","NON","A_CONTROLER")))</f>
        <v/>
      </c>
    </row>
    <row r="371">
      <c r="B371">
        <f>IF(A371="","",A371&amp;"|"&amp;D371&amp;"|"&amp;F371&amp;"|"&amp;G371&amp;"|"&amp;TEXT(I371,"YYYYMMDD")&amp;"|"&amp;TEXT(L371,"0.00"))</f>
        <v/>
      </c>
      <c r="C371">
        <f>IF(I371="","",TEXT(I371,"YYYY-MM"))</f>
        <v/>
      </c>
      <c r="K371">
        <f>IF(OR(I371="",J371=""),"",J371-I371)</f>
        <v/>
      </c>
      <c r="N371">
        <f>IF(F371="","",IFERROR(VLOOKUP(F371,lst_PropTauxLookup,2,0),""))</f>
        <v/>
      </c>
      <c r="O371">
        <f>IF(F371="","",IF(ISNUMBER(IFERROR(VLOOKUP(F371,lst_PropTauxLookup,2,0),"")),"REF_PROPRIETAIRE","A_CONTROLER"))</f>
        <v/>
      </c>
      <c r="Q371">
        <f>IF(OR(L371="",N371=""),"",IFERROR((L371-IF(M371="",0,M371))*N371,0))</f>
        <v/>
      </c>
      <c r="V371">
        <f>IF(L371="","",L371-IF(M371="",0,M371)-IF(Q371="",0,Q371)-IF(T371="",0,T371))</f>
        <v/>
      </c>
      <c r="Y371">
        <f>IF(W371="IC","OUI",IF(W371="HC","OUI",IF(W371="HR","NON","A_CONTROLER")))</f>
        <v/>
      </c>
      <c r="Z371">
        <f>IF(W371="IC","OUI",IF(W371="HC","NON",IF(W371="HR","NON","A_CONTROLER")))</f>
        <v/>
      </c>
    </row>
    <row r="372">
      <c r="B372">
        <f>IF(A372="","",A372&amp;"|"&amp;D372&amp;"|"&amp;F372&amp;"|"&amp;G372&amp;"|"&amp;TEXT(I372,"YYYYMMDD")&amp;"|"&amp;TEXT(L372,"0.00"))</f>
        <v/>
      </c>
      <c r="C372">
        <f>IF(I372="","",TEXT(I372,"YYYY-MM"))</f>
        <v/>
      </c>
      <c r="K372">
        <f>IF(OR(I372="",J372=""),"",J372-I372)</f>
        <v/>
      </c>
      <c r="N372">
        <f>IF(F372="","",IFERROR(VLOOKUP(F372,lst_PropTauxLookup,2,0),""))</f>
        <v/>
      </c>
      <c r="O372">
        <f>IF(F372="","",IF(ISNUMBER(IFERROR(VLOOKUP(F372,lst_PropTauxLookup,2,0),"")),"REF_PROPRIETAIRE","A_CONTROLER"))</f>
        <v/>
      </c>
      <c r="Q372">
        <f>IF(OR(L372="",N372=""),"",IFERROR((L372-IF(M372="",0,M372))*N372,0))</f>
        <v/>
      </c>
      <c r="V372">
        <f>IF(L372="","",L372-IF(M372="",0,M372)-IF(Q372="",0,Q372)-IF(T372="",0,T372))</f>
        <v/>
      </c>
      <c r="Y372">
        <f>IF(W372="IC","OUI",IF(W372="HC","OUI",IF(W372="HR","NON","A_CONTROLER")))</f>
        <v/>
      </c>
      <c r="Z372">
        <f>IF(W372="IC","OUI",IF(W372="HC","NON",IF(W372="HR","NON","A_CONTROLER")))</f>
        <v/>
      </c>
    </row>
    <row r="373">
      <c r="B373">
        <f>IF(A373="","",A373&amp;"|"&amp;D373&amp;"|"&amp;F373&amp;"|"&amp;G373&amp;"|"&amp;TEXT(I373,"YYYYMMDD")&amp;"|"&amp;TEXT(L373,"0.00"))</f>
        <v/>
      </c>
      <c r="C373">
        <f>IF(I373="","",TEXT(I373,"YYYY-MM"))</f>
        <v/>
      </c>
      <c r="K373">
        <f>IF(OR(I373="",J373=""),"",J373-I373)</f>
        <v/>
      </c>
      <c r="N373">
        <f>IF(F373="","",IFERROR(VLOOKUP(F373,lst_PropTauxLookup,2,0),""))</f>
        <v/>
      </c>
      <c r="O373">
        <f>IF(F373="","",IF(ISNUMBER(IFERROR(VLOOKUP(F373,lst_PropTauxLookup,2,0),"")),"REF_PROPRIETAIRE","A_CONTROLER"))</f>
        <v/>
      </c>
      <c r="Q373">
        <f>IF(OR(L373="",N373=""),"",IFERROR((L373-IF(M373="",0,M373))*N373,0))</f>
        <v/>
      </c>
      <c r="V373">
        <f>IF(L373="","",L373-IF(M373="",0,M373)-IF(Q373="",0,Q373)-IF(T373="",0,T373))</f>
        <v/>
      </c>
      <c r="Y373">
        <f>IF(W373="IC","OUI",IF(W373="HC","OUI",IF(W373="HR","NON","A_CONTROLER")))</f>
        <v/>
      </c>
      <c r="Z373">
        <f>IF(W373="IC","OUI",IF(W373="HC","NON",IF(W373="HR","NON","A_CONTROLER")))</f>
        <v/>
      </c>
    </row>
    <row r="374">
      <c r="B374">
        <f>IF(A374="","",A374&amp;"|"&amp;D374&amp;"|"&amp;F374&amp;"|"&amp;G374&amp;"|"&amp;TEXT(I374,"YYYYMMDD")&amp;"|"&amp;TEXT(L374,"0.00"))</f>
        <v/>
      </c>
      <c r="C374">
        <f>IF(I374="","",TEXT(I374,"YYYY-MM"))</f>
        <v/>
      </c>
      <c r="K374">
        <f>IF(OR(I374="",J374=""),"",J374-I374)</f>
        <v/>
      </c>
      <c r="N374">
        <f>IF(F374="","",IFERROR(VLOOKUP(F374,lst_PropTauxLookup,2,0),""))</f>
        <v/>
      </c>
      <c r="O374">
        <f>IF(F374="","",IF(ISNUMBER(IFERROR(VLOOKUP(F374,lst_PropTauxLookup,2,0),"")),"REF_PROPRIETAIRE","A_CONTROLER"))</f>
        <v/>
      </c>
      <c r="Q374">
        <f>IF(OR(L374="",N374=""),"",IFERROR((L374-IF(M374="",0,M374))*N374,0))</f>
        <v/>
      </c>
      <c r="V374">
        <f>IF(L374="","",L374-IF(M374="",0,M374)-IF(Q374="",0,Q374)-IF(T374="",0,T374))</f>
        <v/>
      </c>
      <c r="Y374">
        <f>IF(W374="IC","OUI",IF(W374="HC","OUI",IF(W374="HR","NON","A_CONTROLER")))</f>
        <v/>
      </c>
      <c r="Z374">
        <f>IF(W374="IC","OUI",IF(W374="HC","NON",IF(W374="HR","NON","A_CONTROLER")))</f>
        <v/>
      </c>
    </row>
    <row r="375">
      <c r="B375">
        <f>IF(A375="","",A375&amp;"|"&amp;D375&amp;"|"&amp;F375&amp;"|"&amp;G375&amp;"|"&amp;TEXT(I375,"YYYYMMDD")&amp;"|"&amp;TEXT(L375,"0.00"))</f>
        <v/>
      </c>
      <c r="C375">
        <f>IF(I375="","",TEXT(I375,"YYYY-MM"))</f>
        <v/>
      </c>
      <c r="K375">
        <f>IF(OR(I375="",J375=""),"",J375-I375)</f>
        <v/>
      </c>
      <c r="N375">
        <f>IF(F375="","",IFERROR(VLOOKUP(F375,lst_PropTauxLookup,2,0),""))</f>
        <v/>
      </c>
      <c r="O375">
        <f>IF(F375="","",IF(ISNUMBER(IFERROR(VLOOKUP(F375,lst_PropTauxLookup,2,0),"")),"REF_PROPRIETAIRE","A_CONTROLER"))</f>
        <v/>
      </c>
      <c r="Q375">
        <f>IF(OR(L375="",N375=""),"",IFERROR((L375-IF(M375="",0,M375))*N375,0))</f>
        <v/>
      </c>
      <c r="V375">
        <f>IF(L375="","",L375-IF(M375="",0,M375)-IF(Q375="",0,Q375)-IF(T375="",0,T375))</f>
        <v/>
      </c>
      <c r="Y375">
        <f>IF(W375="IC","OUI",IF(W375="HC","OUI",IF(W375="HR","NON","A_CONTROLER")))</f>
        <v/>
      </c>
      <c r="Z375">
        <f>IF(W375="IC","OUI",IF(W375="HC","NON",IF(W375="HR","NON","A_CONTROLER")))</f>
        <v/>
      </c>
    </row>
    <row r="376">
      <c r="B376">
        <f>IF(A376="","",A376&amp;"|"&amp;D376&amp;"|"&amp;F376&amp;"|"&amp;G376&amp;"|"&amp;TEXT(I376,"YYYYMMDD")&amp;"|"&amp;TEXT(L376,"0.00"))</f>
        <v/>
      </c>
      <c r="C376">
        <f>IF(I376="","",TEXT(I376,"YYYY-MM"))</f>
        <v/>
      </c>
      <c r="K376">
        <f>IF(OR(I376="",J376=""),"",J376-I376)</f>
        <v/>
      </c>
      <c r="N376">
        <f>IF(F376="","",IFERROR(VLOOKUP(F376,lst_PropTauxLookup,2,0),""))</f>
        <v/>
      </c>
      <c r="O376">
        <f>IF(F376="","",IF(ISNUMBER(IFERROR(VLOOKUP(F376,lst_PropTauxLookup,2,0),"")),"REF_PROPRIETAIRE","A_CONTROLER"))</f>
        <v/>
      </c>
      <c r="Q376">
        <f>IF(OR(L376="",N376=""),"",IFERROR((L376-IF(M376="",0,M376))*N376,0))</f>
        <v/>
      </c>
      <c r="V376">
        <f>IF(L376="","",L376-IF(M376="",0,M376)-IF(Q376="",0,Q376)-IF(T376="",0,T376))</f>
        <v/>
      </c>
      <c r="Y376">
        <f>IF(W376="IC","OUI",IF(W376="HC","OUI",IF(W376="HR","NON","A_CONTROLER")))</f>
        <v/>
      </c>
      <c r="Z376">
        <f>IF(W376="IC","OUI",IF(W376="HC","NON",IF(W376="HR","NON","A_CONTROLER")))</f>
        <v/>
      </c>
    </row>
    <row r="377">
      <c r="B377">
        <f>IF(A377="","",A377&amp;"|"&amp;D377&amp;"|"&amp;F377&amp;"|"&amp;G377&amp;"|"&amp;TEXT(I377,"YYYYMMDD")&amp;"|"&amp;TEXT(L377,"0.00"))</f>
        <v/>
      </c>
      <c r="C377">
        <f>IF(I377="","",TEXT(I377,"YYYY-MM"))</f>
        <v/>
      </c>
      <c r="K377">
        <f>IF(OR(I377="",J377=""),"",J377-I377)</f>
        <v/>
      </c>
      <c r="N377">
        <f>IF(F377="","",IFERROR(VLOOKUP(F377,lst_PropTauxLookup,2,0),""))</f>
        <v/>
      </c>
      <c r="O377">
        <f>IF(F377="","",IF(ISNUMBER(IFERROR(VLOOKUP(F377,lst_PropTauxLookup,2,0),"")),"REF_PROPRIETAIRE","A_CONTROLER"))</f>
        <v/>
      </c>
      <c r="Q377">
        <f>IF(OR(L377="",N377=""),"",IFERROR((L377-IF(M377="",0,M377))*N377,0))</f>
        <v/>
      </c>
      <c r="V377">
        <f>IF(L377="","",L377-IF(M377="",0,M377)-IF(Q377="",0,Q377)-IF(T377="",0,T377))</f>
        <v/>
      </c>
      <c r="Y377">
        <f>IF(W377="IC","OUI",IF(W377="HC","OUI",IF(W377="HR","NON","A_CONTROLER")))</f>
        <v/>
      </c>
      <c r="Z377">
        <f>IF(W377="IC","OUI",IF(W377="HC","NON",IF(W377="HR","NON","A_CONTROLER")))</f>
        <v/>
      </c>
    </row>
    <row r="378">
      <c r="B378">
        <f>IF(A378="","",A378&amp;"|"&amp;D378&amp;"|"&amp;F378&amp;"|"&amp;G378&amp;"|"&amp;TEXT(I378,"YYYYMMDD")&amp;"|"&amp;TEXT(L378,"0.00"))</f>
        <v/>
      </c>
      <c r="C378">
        <f>IF(I378="","",TEXT(I378,"YYYY-MM"))</f>
        <v/>
      </c>
      <c r="K378">
        <f>IF(OR(I378="",J378=""),"",J378-I378)</f>
        <v/>
      </c>
      <c r="N378">
        <f>IF(F378="","",IFERROR(VLOOKUP(F378,lst_PropTauxLookup,2,0),""))</f>
        <v/>
      </c>
      <c r="O378">
        <f>IF(F378="","",IF(ISNUMBER(IFERROR(VLOOKUP(F378,lst_PropTauxLookup,2,0),"")),"REF_PROPRIETAIRE","A_CONTROLER"))</f>
        <v/>
      </c>
      <c r="Q378">
        <f>IF(OR(L378="",N378=""),"",IFERROR((L378-IF(M378="",0,M378))*N378,0))</f>
        <v/>
      </c>
      <c r="V378">
        <f>IF(L378="","",L378-IF(M378="",0,M378)-IF(Q378="",0,Q378)-IF(T378="",0,T378))</f>
        <v/>
      </c>
      <c r="Y378">
        <f>IF(W378="IC","OUI",IF(W378="HC","OUI",IF(W378="HR","NON","A_CONTROLER")))</f>
        <v/>
      </c>
      <c r="Z378">
        <f>IF(W378="IC","OUI",IF(W378="HC","NON",IF(W378="HR","NON","A_CONTROLER")))</f>
        <v/>
      </c>
    </row>
    <row r="379">
      <c r="B379">
        <f>IF(A379="","",A379&amp;"|"&amp;D379&amp;"|"&amp;F379&amp;"|"&amp;G379&amp;"|"&amp;TEXT(I379,"YYYYMMDD")&amp;"|"&amp;TEXT(L379,"0.00"))</f>
        <v/>
      </c>
      <c r="C379">
        <f>IF(I379="","",TEXT(I379,"YYYY-MM"))</f>
        <v/>
      </c>
      <c r="K379">
        <f>IF(OR(I379="",J379=""),"",J379-I379)</f>
        <v/>
      </c>
      <c r="N379">
        <f>IF(F379="","",IFERROR(VLOOKUP(F379,lst_PropTauxLookup,2,0),""))</f>
        <v/>
      </c>
      <c r="O379">
        <f>IF(F379="","",IF(ISNUMBER(IFERROR(VLOOKUP(F379,lst_PropTauxLookup,2,0),"")),"REF_PROPRIETAIRE","A_CONTROLER"))</f>
        <v/>
      </c>
      <c r="Q379">
        <f>IF(OR(L379="",N379=""),"",IFERROR((L379-IF(M379="",0,M379))*N379,0))</f>
        <v/>
      </c>
      <c r="V379">
        <f>IF(L379="","",L379-IF(M379="",0,M379)-IF(Q379="",0,Q379)-IF(T379="",0,T379))</f>
        <v/>
      </c>
      <c r="Y379">
        <f>IF(W379="IC","OUI",IF(W379="HC","OUI",IF(W379="HR","NON","A_CONTROLER")))</f>
        <v/>
      </c>
      <c r="Z379">
        <f>IF(W379="IC","OUI",IF(W379="HC","NON",IF(W379="HR","NON","A_CONTROLER")))</f>
        <v/>
      </c>
    </row>
    <row r="380">
      <c r="B380">
        <f>IF(A380="","",A380&amp;"|"&amp;D380&amp;"|"&amp;F380&amp;"|"&amp;G380&amp;"|"&amp;TEXT(I380,"YYYYMMDD")&amp;"|"&amp;TEXT(L380,"0.00"))</f>
        <v/>
      </c>
      <c r="C380">
        <f>IF(I380="","",TEXT(I380,"YYYY-MM"))</f>
        <v/>
      </c>
      <c r="K380">
        <f>IF(OR(I380="",J380=""),"",J380-I380)</f>
        <v/>
      </c>
      <c r="N380">
        <f>IF(F380="","",IFERROR(VLOOKUP(F380,lst_PropTauxLookup,2,0),""))</f>
        <v/>
      </c>
      <c r="O380">
        <f>IF(F380="","",IF(ISNUMBER(IFERROR(VLOOKUP(F380,lst_PropTauxLookup,2,0),"")),"REF_PROPRIETAIRE","A_CONTROLER"))</f>
        <v/>
      </c>
      <c r="Q380">
        <f>IF(OR(L380="",N380=""),"",IFERROR((L380-IF(M380="",0,M380))*N380,0))</f>
        <v/>
      </c>
      <c r="V380">
        <f>IF(L380="","",L380-IF(M380="",0,M380)-IF(Q380="",0,Q380)-IF(T380="",0,T380))</f>
        <v/>
      </c>
      <c r="Y380">
        <f>IF(W380="IC","OUI",IF(W380="HC","OUI",IF(W380="HR","NON","A_CONTROLER")))</f>
        <v/>
      </c>
      <c r="Z380">
        <f>IF(W380="IC","OUI",IF(W380="HC","NON",IF(W380="HR","NON","A_CONTROLER")))</f>
        <v/>
      </c>
    </row>
    <row r="381">
      <c r="B381">
        <f>IF(A381="","",A381&amp;"|"&amp;D381&amp;"|"&amp;F381&amp;"|"&amp;G381&amp;"|"&amp;TEXT(I381,"YYYYMMDD")&amp;"|"&amp;TEXT(L381,"0.00"))</f>
        <v/>
      </c>
      <c r="C381">
        <f>IF(I381="","",TEXT(I381,"YYYY-MM"))</f>
        <v/>
      </c>
      <c r="K381">
        <f>IF(OR(I381="",J381=""),"",J381-I381)</f>
        <v/>
      </c>
      <c r="N381">
        <f>IF(F381="","",IFERROR(VLOOKUP(F381,lst_PropTauxLookup,2,0),""))</f>
        <v/>
      </c>
      <c r="O381">
        <f>IF(F381="","",IF(ISNUMBER(IFERROR(VLOOKUP(F381,lst_PropTauxLookup,2,0),"")),"REF_PROPRIETAIRE","A_CONTROLER"))</f>
        <v/>
      </c>
      <c r="Q381">
        <f>IF(OR(L381="",N381=""),"",IFERROR((L381-IF(M381="",0,M381))*N381,0))</f>
        <v/>
      </c>
      <c r="V381">
        <f>IF(L381="","",L381-IF(M381="",0,M381)-IF(Q381="",0,Q381)-IF(T381="",0,T381))</f>
        <v/>
      </c>
      <c r="Y381">
        <f>IF(W381="IC","OUI",IF(W381="HC","OUI",IF(W381="HR","NON","A_CONTROLER")))</f>
        <v/>
      </c>
      <c r="Z381">
        <f>IF(W381="IC","OUI",IF(W381="HC","NON",IF(W381="HR","NON","A_CONTROLER")))</f>
        <v/>
      </c>
    </row>
    <row r="382">
      <c r="B382">
        <f>IF(A382="","",A382&amp;"|"&amp;D382&amp;"|"&amp;F382&amp;"|"&amp;G382&amp;"|"&amp;TEXT(I382,"YYYYMMDD")&amp;"|"&amp;TEXT(L382,"0.00"))</f>
        <v/>
      </c>
      <c r="C382">
        <f>IF(I382="","",TEXT(I382,"YYYY-MM"))</f>
        <v/>
      </c>
      <c r="K382">
        <f>IF(OR(I382="",J382=""),"",J382-I382)</f>
        <v/>
      </c>
      <c r="N382">
        <f>IF(F382="","",IFERROR(VLOOKUP(F382,lst_PropTauxLookup,2,0),""))</f>
        <v/>
      </c>
      <c r="O382">
        <f>IF(F382="","",IF(ISNUMBER(IFERROR(VLOOKUP(F382,lst_PropTauxLookup,2,0),"")),"REF_PROPRIETAIRE","A_CONTROLER"))</f>
        <v/>
      </c>
      <c r="Q382">
        <f>IF(OR(L382="",N382=""),"",IFERROR((L382-IF(M382="",0,M382))*N382,0))</f>
        <v/>
      </c>
      <c r="V382">
        <f>IF(L382="","",L382-IF(M382="",0,M382)-IF(Q382="",0,Q382)-IF(T382="",0,T382))</f>
        <v/>
      </c>
      <c r="Y382">
        <f>IF(W382="IC","OUI",IF(W382="HC","OUI",IF(W382="HR","NON","A_CONTROLER")))</f>
        <v/>
      </c>
      <c r="Z382">
        <f>IF(W382="IC","OUI",IF(W382="HC","NON",IF(W382="HR","NON","A_CONTROLER")))</f>
        <v/>
      </c>
    </row>
    <row r="383">
      <c r="B383">
        <f>IF(A383="","",A383&amp;"|"&amp;D383&amp;"|"&amp;F383&amp;"|"&amp;G383&amp;"|"&amp;TEXT(I383,"YYYYMMDD")&amp;"|"&amp;TEXT(L383,"0.00"))</f>
        <v/>
      </c>
      <c r="C383">
        <f>IF(I383="","",TEXT(I383,"YYYY-MM"))</f>
        <v/>
      </c>
      <c r="K383">
        <f>IF(OR(I383="",J383=""),"",J383-I383)</f>
        <v/>
      </c>
      <c r="N383">
        <f>IF(F383="","",IFERROR(VLOOKUP(F383,lst_PropTauxLookup,2,0),""))</f>
        <v/>
      </c>
      <c r="O383">
        <f>IF(F383="","",IF(ISNUMBER(IFERROR(VLOOKUP(F383,lst_PropTauxLookup,2,0),"")),"REF_PROPRIETAIRE","A_CONTROLER"))</f>
        <v/>
      </c>
      <c r="Q383">
        <f>IF(OR(L383="",N383=""),"",IFERROR((L383-IF(M383="",0,M383))*N383,0))</f>
        <v/>
      </c>
      <c r="V383">
        <f>IF(L383="","",L383-IF(M383="",0,M383)-IF(Q383="",0,Q383)-IF(T383="",0,T383))</f>
        <v/>
      </c>
      <c r="Y383">
        <f>IF(W383="IC","OUI",IF(W383="HC","OUI",IF(W383="HR","NON","A_CONTROLER")))</f>
        <v/>
      </c>
      <c r="Z383">
        <f>IF(W383="IC","OUI",IF(W383="HC","NON",IF(W383="HR","NON","A_CONTROLER")))</f>
        <v/>
      </c>
    </row>
    <row r="384">
      <c r="B384">
        <f>IF(A384="","",A384&amp;"|"&amp;D384&amp;"|"&amp;F384&amp;"|"&amp;G384&amp;"|"&amp;TEXT(I384,"YYYYMMDD")&amp;"|"&amp;TEXT(L384,"0.00"))</f>
        <v/>
      </c>
      <c r="C384">
        <f>IF(I384="","",TEXT(I384,"YYYY-MM"))</f>
        <v/>
      </c>
      <c r="K384">
        <f>IF(OR(I384="",J384=""),"",J384-I384)</f>
        <v/>
      </c>
      <c r="N384">
        <f>IF(F384="","",IFERROR(VLOOKUP(F384,lst_PropTauxLookup,2,0),""))</f>
        <v/>
      </c>
      <c r="O384">
        <f>IF(F384="","",IF(ISNUMBER(IFERROR(VLOOKUP(F384,lst_PropTauxLookup,2,0),"")),"REF_PROPRIETAIRE","A_CONTROLER"))</f>
        <v/>
      </c>
      <c r="Q384">
        <f>IF(OR(L384="",N384=""),"",IFERROR((L384-IF(M384="",0,M384))*N384,0))</f>
        <v/>
      </c>
      <c r="V384">
        <f>IF(L384="","",L384-IF(M384="",0,M384)-IF(Q384="",0,Q384)-IF(T384="",0,T384))</f>
        <v/>
      </c>
      <c r="Y384">
        <f>IF(W384="IC","OUI",IF(W384="HC","OUI",IF(W384="HR","NON","A_CONTROLER")))</f>
        <v/>
      </c>
      <c r="Z384">
        <f>IF(W384="IC","OUI",IF(W384="HC","NON",IF(W384="HR","NON","A_CONTROLER")))</f>
        <v/>
      </c>
    </row>
    <row r="385">
      <c r="B385">
        <f>IF(A385="","",A385&amp;"|"&amp;D385&amp;"|"&amp;F385&amp;"|"&amp;G385&amp;"|"&amp;TEXT(I385,"YYYYMMDD")&amp;"|"&amp;TEXT(L385,"0.00"))</f>
        <v/>
      </c>
      <c r="C385">
        <f>IF(I385="","",TEXT(I385,"YYYY-MM"))</f>
        <v/>
      </c>
      <c r="K385">
        <f>IF(OR(I385="",J385=""),"",J385-I385)</f>
        <v/>
      </c>
      <c r="N385">
        <f>IF(F385="","",IFERROR(VLOOKUP(F385,lst_PropTauxLookup,2,0),""))</f>
        <v/>
      </c>
      <c r="O385">
        <f>IF(F385="","",IF(ISNUMBER(IFERROR(VLOOKUP(F385,lst_PropTauxLookup,2,0),"")),"REF_PROPRIETAIRE","A_CONTROLER"))</f>
        <v/>
      </c>
      <c r="Q385">
        <f>IF(OR(L385="",N385=""),"",IFERROR((L385-IF(M385="",0,M385))*N385,0))</f>
        <v/>
      </c>
      <c r="V385">
        <f>IF(L385="","",L385-IF(M385="",0,M385)-IF(Q385="",0,Q385)-IF(T385="",0,T385))</f>
        <v/>
      </c>
      <c r="Y385">
        <f>IF(W385="IC","OUI",IF(W385="HC","OUI",IF(W385="HR","NON","A_CONTROLER")))</f>
        <v/>
      </c>
      <c r="Z385">
        <f>IF(W385="IC","OUI",IF(W385="HC","NON",IF(W385="HR","NON","A_CONTROLER")))</f>
        <v/>
      </c>
    </row>
    <row r="386">
      <c r="B386">
        <f>IF(A386="","",A386&amp;"|"&amp;D386&amp;"|"&amp;F386&amp;"|"&amp;G386&amp;"|"&amp;TEXT(I386,"YYYYMMDD")&amp;"|"&amp;TEXT(L386,"0.00"))</f>
        <v/>
      </c>
      <c r="C386">
        <f>IF(I386="","",TEXT(I386,"YYYY-MM"))</f>
        <v/>
      </c>
      <c r="K386">
        <f>IF(OR(I386="",J386=""),"",J386-I386)</f>
        <v/>
      </c>
      <c r="N386">
        <f>IF(F386="","",IFERROR(VLOOKUP(F386,lst_PropTauxLookup,2,0),""))</f>
        <v/>
      </c>
      <c r="O386">
        <f>IF(F386="","",IF(ISNUMBER(IFERROR(VLOOKUP(F386,lst_PropTauxLookup,2,0),"")),"REF_PROPRIETAIRE","A_CONTROLER"))</f>
        <v/>
      </c>
      <c r="Q386">
        <f>IF(OR(L386="",N386=""),"",IFERROR((L386-IF(M386="",0,M386))*N386,0))</f>
        <v/>
      </c>
      <c r="V386">
        <f>IF(L386="","",L386-IF(M386="",0,M386)-IF(Q386="",0,Q386)-IF(T386="",0,T386))</f>
        <v/>
      </c>
      <c r="Y386">
        <f>IF(W386="IC","OUI",IF(W386="HC","OUI",IF(W386="HR","NON","A_CONTROLER")))</f>
        <v/>
      </c>
      <c r="Z386">
        <f>IF(W386="IC","OUI",IF(W386="HC","NON",IF(W386="HR","NON","A_CONTROLER")))</f>
        <v/>
      </c>
    </row>
    <row r="387">
      <c r="B387">
        <f>IF(A387="","",A387&amp;"|"&amp;D387&amp;"|"&amp;F387&amp;"|"&amp;G387&amp;"|"&amp;TEXT(I387,"YYYYMMDD")&amp;"|"&amp;TEXT(L387,"0.00"))</f>
        <v/>
      </c>
      <c r="C387">
        <f>IF(I387="","",TEXT(I387,"YYYY-MM"))</f>
        <v/>
      </c>
      <c r="K387">
        <f>IF(OR(I387="",J387=""),"",J387-I387)</f>
        <v/>
      </c>
      <c r="N387">
        <f>IF(F387="","",IFERROR(VLOOKUP(F387,lst_PropTauxLookup,2,0),""))</f>
        <v/>
      </c>
      <c r="O387">
        <f>IF(F387="","",IF(ISNUMBER(IFERROR(VLOOKUP(F387,lst_PropTauxLookup,2,0),"")),"REF_PROPRIETAIRE","A_CONTROLER"))</f>
        <v/>
      </c>
      <c r="Q387">
        <f>IF(OR(L387="",N387=""),"",IFERROR((L387-IF(M387="",0,M387))*N387,0))</f>
        <v/>
      </c>
      <c r="V387">
        <f>IF(L387="","",L387-IF(M387="",0,M387)-IF(Q387="",0,Q387)-IF(T387="",0,T387))</f>
        <v/>
      </c>
      <c r="Y387">
        <f>IF(W387="IC","OUI",IF(W387="HC","OUI",IF(W387="HR","NON","A_CONTROLER")))</f>
        <v/>
      </c>
      <c r="Z387">
        <f>IF(W387="IC","OUI",IF(W387="HC","NON",IF(W387="HR","NON","A_CONTROLER")))</f>
        <v/>
      </c>
    </row>
    <row r="388">
      <c r="B388">
        <f>IF(A388="","",A388&amp;"|"&amp;D388&amp;"|"&amp;F388&amp;"|"&amp;G388&amp;"|"&amp;TEXT(I388,"YYYYMMDD")&amp;"|"&amp;TEXT(L388,"0.00"))</f>
        <v/>
      </c>
      <c r="C388">
        <f>IF(I388="","",TEXT(I388,"YYYY-MM"))</f>
        <v/>
      </c>
      <c r="K388">
        <f>IF(OR(I388="",J388=""),"",J388-I388)</f>
        <v/>
      </c>
      <c r="N388">
        <f>IF(F388="","",IFERROR(VLOOKUP(F388,lst_PropTauxLookup,2,0),""))</f>
        <v/>
      </c>
      <c r="O388">
        <f>IF(F388="","",IF(ISNUMBER(IFERROR(VLOOKUP(F388,lst_PropTauxLookup,2,0),"")),"REF_PROPRIETAIRE","A_CONTROLER"))</f>
        <v/>
      </c>
      <c r="Q388">
        <f>IF(OR(L388="",N388=""),"",IFERROR((L388-IF(M388="",0,M388))*N388,0))</f>
        <v/>
      </c>
      <c r="V388">
        <f>IF(L388="","",L388-IF(M388="",0,M388)-IF(Q388="",0,Q388)-IF(T388="",0,T388))</f>
        <v/>
      </c>
      <c r="Y388">
        <f>IF(W388="IC","OUI",IF(W388="HC","OUI",IF(W388="HR","NON","A_CONTROLER")))</f>
        <v/>
      </c>
      <c r="Z388">
        <f>IF(W388="IC","OUI",IF(W388="HC","NON",IF(W388="HR","NON","A_CONTROLER")))</f>
        <v/>
      </c>
    </row>
    <row r="389">
      <c r="B389">
        <f>IF(A389="","",A389&amp;"|"&amp;D389&amp;"|"&amp;F389&amp;"|"&amp;G389&amp;"|"&amp;TEXT(I389,"YYYYMMDD")&amp;"|"&amp;TEXT(L389,"0.00"))</f>
        <v/>
      </c>
      <c r="C389">
        <f>IF(I389="","",TEXT(I389,"YYYY-MM"))</f>
        <v/>
      </c>
      <c r="K389">
        <f>IF(OR(I389="",J389=""),"",J389-I389)</f>
        <v/>
      </c>
      <c r="N389">
        <f>IF(F389="","",IFERROR(VLOOKUP(F389,lst_PropTauxLookup,2,0),""))</f>
        <v/>
      </c>
      <c r="O389">
        <f>IF(F389="","",IF(ISNUMBER(IFERROR(VLOOKUP(F389,lst_PropTauxLookup,2,0),"")),"REF_PROPRIETAIRE","A_CONTROLER"))</f>
        <v/>
      </c>
      <c r="Q389">
        <f>IF(OR(L389="",N389=""),"",IFERROR((L389-IF(M389="",0,M389))*N389,0))</f>
        <v/>
      </c>
      <c r="V389">
        <f>IF(L389="","",L389-IF(M389="",0,M389)-IF(Q389="",0,Q389)-IF(T389="",0,T389))</f>
        <v/>
      </c>
      <c r="Y389">
        <f>IF(W389="IC","OUI",IF(W389="HC","OUI",IF(W389="HR","NON","A_CONTROLER")))</f>
        <v/>
      </c>
      <c r="Z389">
        <f>IF(W389="IC","OUI",IF(W389="HC","NON",IF(W389="HR","NON","A_CONTROLER")))</f>
        <v/>
      </c>
    </row>
    <row r="390">
      <c r="B390">
        <f>IF(A390="","",A390&amp;"|"&amp;D390&amp;"|"&amp;F390&amp;"|"&amp;G390&amp;"|"&amp;TEXT(I390,"YYYYMMDD")&amp;"|"&amp;TEXT(L390,"0.00"))</f>
        <v/>
      </c>
      <c r="C390">
        <f>IF(I390="","",TEXT(I390,"YYYY-MM"))</f>
        <v/>
      </c>
      <c r="K390">
        <f>IF(OR(I390="",J390=""),"",J390-I390)</f>
        <v/>
      </c>
      <c r="N390">
        <f>IF(F390="","",IFERROR(VLOOKUP(F390,lst_PropTauxLookup,2,0),""))</f>
        <v/>
      </c>
      <c r="O390">
        <f>IF(F390="","",IF(ISNUMBER(IFERROR(VLOOKUP(F390,lst_PropTauxLookup,2,0),"")),"REF_PROPRIETAIRE","A_CONTROLER"))</f>
        <v/>
      </c>
      <c r="Q390">
        <f>IF(OR(L390="",N390=""),"",IFERROR((L390-IF(M390="",0,M390))*N390,0))</f>
        <v/>
      </c>
      <c r="V390">
        <f>IF(L390="","",L390-IF(M390="",0,M390)-IF(Q390="",0,Q390)-IF(T390="",0,T390))</f>
        <v/>
      </c>
      <c r="Y390">
        <f>IF(W390="IC","OUI",IF(W390="HC","OUI",IF(W390="HR","NON","A_CONTROLER")))</f>
        <v/>
      </c>
      <c r="Z390">
        <f>IF(W390="IC","OUI",IF(W390="HC","NON",IF(W390="HR","NON","A_CONTROLER")))</f>
        <v/>
      </c>
    </row>
    <row r="391">
      <c r="B391">
        <f>IF(A391="","",A391&amp;"|"&amp;D391&amp;"|"&amp;F391&amp;"|"&amp;G391&amp;"|"&amp;TEXT(I391,"YYYYMMDD")&amp;"|"&amp;TEXT(L391,"0.00"))</f>
        <v/>
      </c>
      <c r="C391">
        <f>IF(I391="","",TEXT(I391,"YYYY-MM"))</f>
        <v/>
      </c>
      <c r="K391">
        <f>IF(OR(I391="",J391=""),"",J391-I391)</f>
        <v/>
      </c>
      <c r="N391">
        <f>IF(F391="","",IFERROR(VLOOKUP(F391,lst_PropTauxLookup,2,0),""))</f>
        <v/>
      </c>
      <c r="O391">
        <f>IF(F391="","",IF(ISNUMBER(IFERROR(VLOOKUP(F391,lst_PropTauxLookup,2,0),"")),"REF_PROPRIETAIRE","A_CONTROLER"))</f>
        <v/>
      </c>
      <c r="Q391">
        <f>IF(OR(L391="",N391=""),"",IFERROR((L391-IF(M391="",0,M391))*N391,0))</f>
        <v/>
      </c>
      <c r="V391">
        <f>IF(L391="","",L391-IF(M391="",0,M391)-IF(Q391="",0,Q391)-IF(T391="",0,T391))</f>
        <v/>
      </c>
      <c r="Y391">
        <f>IF(W391="IC","OUI",IF(W391="HC","OUI",IF(W391="HR","NON","A_CONTROLER")))</f>
        <v/>
      </c>
      <c r="Z391">
        <f>IF(W391="IC","OUI",IF(W391="HC","NON",IF(W391="HR","NON","A_CONTROLER")))</f>
        <v/>
      </c>
    </row>
    <row r="392">
      <c r="B392">
        <f>IF(A392="","",A392&amp;"|"&amp;D392&amp;"|"&amp;F392&amp;"|"&amp;G392&amp;"|"&amp;TEXT(I392,"YYYYMMDD")&amp;"|"&amp;TEXT(L392,"0.00"))</f>
        <v/>
      </c>
      <c r="C392">
        <f>IF(I392="","",TEXT(I392,"YYYY-MM"))</f>
        <v/>
      </c>
      <c r="K392">
        <f>IF(OR(I392="",J392=""),"",J392-I392)</f>
        <v/>
      </c>
      <c r="N392">
        <f>IF(F392="","",IFERROR(VLOOKUP(F392,lst_PropTauxLookup,2,0),""))</f>
        <v/>
      </c>
      <c r="O392">
        <f>IF(F392="","",IF(ISNUMBER(IFERROR(VLOOKUP(F392,lst_PropTauxLookup,2,0),"")),"REF_PROPRIETAIRE","A_CONTROLER"))</f>
        <v/>
      </c>
      <c r="Q392">
        <f>IF(OR(L392="",N392=""),"",IFERROR((L392-IF(M392="",0,M392))*N392,0))</f>
        <v/>
      </c>
      <c r="V392">
        <f>IF(L392="","",L392-IF(M392="",0,M392)-IF(Q392="",0,Q392)-IF(T392="",0,T392))</f>
        <v/>
      </c>
      <c r="Y392">
        <f>IF(W392="IC","OUI",IF(W392="HC","OUI",IF(W392="HR","NON","A_CONTROLER")))</f>
        <v/>
      </c>
      <c r="Z392">
        <f>IF(W392="IC","OUI",IF(W392="HC","NON",IF(W392="HR","NON","A_CONTROLER")))</f>
        <v/>
      </c>
    </row>
    <row r="393">
      <c r="B393">
        <f>IF(A393="","",A393&amp;"|"&amp;D393&amp;"|"&amp;F393&amp;"|"&amp;G393&amp;"|"&amp;TEXT(I393,"YYYYMMDD")&amp;"|"&amp;TEXT(L393,"0.00"))</f>
        <v/>
      </c>
      <c r="C393">
        <f>IF(I393="","",TEXT(I393,"YYYY-MM"))</f>
        <v/>
      </c>
      <c r="K393">
        <f>IF(OR(I393="",J393=""),"",J393-I393)</f>
        <v/>
      </c>
      <c r="N393">
        <f>IF(F393="","",IFERROR(VLOOKUP(F393,lst_PropTauxLookup,2,0),""))</f>
        <v/>
      </c>
      <c r="O393">
        <f>IF(F393="","",IF(ISNUMBER(IFERROR(VLOOKUP(F393,lst_PropTauxLookup,2,0),"")),"REF_PROPRIETAIRE","A_CONTROLER"))</f>
        <v/>
      </c>
      <c r="Q393">
        <f>IF(OR(L393="",N393=""),"",IFERROR((L393-IF(M393="",0,M393))*N393,0))</f>
        <v/>
      </c>
      <c r="V393">
        <f>IF(L393="","",L393-IF(M393="",0,M393)-IF(Q393="",0,Q393)-IF(T393="",0,T393))</f>
        <v/>
      </c>
      <c r="Y393">
        <f>IF(W393="IC","OUI",IF(W393="HC","OUI",IF(W393="HR","NON","A_CONTROLER")))</f>
        <v/>
      </c>
      <c r="Z393">
        <f>IF(W393="IC","OUI",IF(W393="HC","NON",IF(W393="HR","NON","A_CONTROLER")))</f>
        <v/>
      </c>
    </row>
    <row r="394">
      <c r="B394">
        <f>IF(A394="","",A394&amp;"|"&amp;D394&amp;"|"&amp;F394&amp;"|"&amp;G394&amp;"|"&amp;TEXT(I394,"YYYYMMDD")&amp;"|"&amp;TEXT(L394,"0.00"))</f>
        <v/>
      </c>
      <c r="C394">
        <f>IF(I394="","",TEXT(I394,"YYYY-MM"))</f>
        <v/>
      </c>
      <c r="K394">
        <f>IF(OR(I394="",J394=""),"",J394-I394)</f>
        <v/>
      </c>
      <c r="N394">
        <f>IF(F394="","",IFERROR(VLOOKUP(F394,lst_PropTauxLookup,2,0),""))</f>
        <v/>
      </c>
      <c r="O394">
        <f>IF(F394="","",IF(ISNUMBER(IFERROR(VLOOKUP(F394,lst_PropTauxLookup,2,0),"")),"REF_PROPRIETAIRE","A_CONTROLER"))</f>
        <v/>
      </c>
      <c r="Q394">
        <f>IF(OR(L394="",N394=""),"",IFERROR((L394-IF(M394="",0,M394))*N394,0))</f>
        <v/>
      </c>
      <c r="V394">
        <f>IF(L394="","",L394-IF(M394="",0,M394)-IF(Q394="",0,Q394)-IF(T394="",0,T394))</f>
        <v/>
      </c>
      <c r="Y394">
        <f>IF(W394="IC","OUI",IF(W394="HC","OUI",IF(W394="HR","NON","A_CONTROLER")))</f>
        <v/>
      </c>
      <c r="Z394">
        <f>IF(W394="IC","OUI",IF(W394="HC","NON",IF(W394="HR","NON","A_CONTROLER")))</f>
        <v/>
      </c>
    </row>
    <row r="395">
      <c r="B395">
        <f>IF(A395="","",A395&amp;"|"&amp;D395&amp;"|"&amp;F395&amp;"|"&amp;G395&amp;"|"&amp;TEXT(I395,"YYYYMMDD")&amp;"|"&amp;TEXT(L395,"0.00"))</f>
        <v/>
      </c>
      <c r="C395">
        <f>IF(I395="","",TEXT(I395,"YYYY-MM"))</f>
        <v/>
      </c>
      <c r="K395">
        <f>IF(OR(I395="",J395=""),"",J395-I395)</f>
        <v/>
      </c>
      <c r="N395">
        <f>IF(F395="","",IFERROR(VLOOKUP(F395,lst_PropTauxLookup,2,0),""))</f>
        <v/>
      </c>
      <c r="O395">
        <f>IF(F395="","",IF(ISNUMBER(IFERROR(VLOOKUP(F395,lst_PropTauxLookup,2,0),"")),"REF_PROPRIETAIRE","A_CONTROLER"))</f>
        <v/>
      </c>
      <c r="Q395">
        <f>IF(OR(L395="",N395=""),"",IFERROR((L395-IF(M395="",0,M395))*N395,0))</f>
        <v/>
      </c>
      <c r="V395">
        <f>IF(L395="","",L395-IF(M395="",0,M395)-IF(Q395="",0,Q395)-IF(T395="",0,T395))</f>
        <v/>
      </c>
      <c r="Y395">
        <f>IF(W395="IC","OUI",IF(W395="HC","OUI",IF(W395="HR","NON","A_CONTROLER")))</f>
        <v/>
      </c>
      <c r="Z395">
        <f>IF(W395="IC","OUI",IF(W395="HC","NON",IF(W395="HR","NON","A_CONTROLER")))</f>
        <v/>
      </c>
    </row>
    <row r="396">
      <c r="B396">
        <f>IF(A396="","",A396&amp;"|"&amp;D396&amp;"|"&amp;F396&amp;"|"&amp;G396&amp;"|"&amp;TEXT(I396,"YYYYMMDD")&amp;"|"&amp;TEXT(L396,"0.00"))</f>
        <v/>
      </c>
      <c r="C396">
        <f>IF(I396="","",TEXT(I396,"YYYY-MM"))</f>
        <v/>
      </c>
      <c r="K396">
        <f>IF(OR(I396="",J396=""),"",J396-I396)</f>
        <v/>
      </c>
      <c r="N396">
        <f>IF(F396="","",IFERROR(VLOOKUP(F396,lst_PropTauxLookup,2,0),""))</f>
        <v/>
      </c>
      <c r="O396">
        <f>IF(F396="","",IF(ISNUMBER(IFERROR(VLOOKUP(F396,lst_PropTauxLookup,2,0),"")),"REF_PROPRIETAIRE","A_CONTROLER"))</f>
        <v/>
      </c>
      <c r="Q396">
        <f>IF(OR(L396="",N396=""),"",IFERROR((L396-IF(M396="",0,M396))*N396,0))</f>
        <v/>
      </c>
      <c r="V396">
        <f>IF(L396="","",L396-IF(M396="",0,M396)-IF(Q396="",0,Q396)-IF(T396="",0,T396))</f>
        <v/>
      </c>
      <c r="Y396">
        <f>IF(W396="IC","OUI",IF(W396="HC","OUI",IF(W396="HR","NON","A_CONTROLER")))</f>
        <v/>
      </c>
      <c r="Z396">
        <f>IF(W396="IC","OUI",IF(W396="HC","NON",IF(W396="HR","NON","A_CONTROLER")))</f>
        <v/>
      </c>
    </row>
    <row r="397">
      <c r="B397">
        <f>IF(A397="","",A397&amp;"|"&amp;D397&amp;"|"&amp;F397&amp;"|"&amp;G397&amp;"|"&amp;TEXT(I397,"YYYYMMDD")&amp;"|"&amp;TEXT(L397,"0.00"))</f>
        <v/>
      </c>
      <c r="C397">
        <f>IF(I397="","",TEXT(I397,"YYYY-MM"))</f>
        <v/>
      </c>
      <c r="K397">
        <f>IF(OR(I397="",J397=""),"",J397-I397)</f>
        <v/>
      </c>
      <c r="N397">
        <f>IF(F397="","",IFERROR(VLOOKUP(F397,lst_PropTauxLookup,2,0),""))</f>
        <v/>
      </c>
      <c r="O397">
        <f>IF(F397="","",IF(ISNUMBER(IFERROR(VLOOKUP(F397,lst_PropTauxLookup,2,0),"")),"REF_PROPRIETAIRE","A_CONTROLER"))</f>
        <v/>
      </c>
      <c r="Q397">
        <f>IF(OR(L397="",N397=""),"",IFERROR((L397-IF(M397="",0,M397))*N397,0))</f>
        <v/>
      </c>
      <c r="V397">
        <f>IF(L397="","",L397-IF(M397="",0,M397)-IF(Q397="",0,Q397)-IF(T397="",0,T397))</f>
        <v/>
      </c>
      <c r="Y397">
        <f>IF(W397="IC","OUI",IF(W397="HC","OUI",IF(W397="HR","NON","A_CONTROLER")))</f>
        <v/>
      </c>
      <c r="Z397">
        <f>IF(W397="IC","OUI",IF(W397="HC","NON",IF(W397="HR","NON","A_CONTROLER")))</f>
        <v/>
      </c>
    </row>
    <row r="398">
      <c r="B398">
        <f>IF(A398="","",A398&amp;"|"&amp;D398&amp;"|"&amp;F398&amp;"|"&amp;G398&amp;"|"&amp;TEXT(I398,"YYYYMMDD")&amp;"|"&amp;TEXT(L398,"0.00"))</f>
        <v/>
      </c>
      <c r="C398">
        <f>IF(I398="","",TEXT(I398,"YYYY-MM"))</f>
        <v/>
      </c>
      <c r="K398">
        <f>IF(OR(I398="",J398=""),"",J398-I398)</f>
        <v/>
      </c>
      <c r="N398">
        <f>IF(F398="","",IFERROR(VLOOKUP(F398,lst_PropTauxLookup,2,0),""))</f>
        <v/>
      </c>
      <c r="O398">
        <f>IF(F398="","",IF(ISNUMBER(IFERROR(VLOOKUP(F398,lst_PropTauxLookup,2,0),"")),"REF_PROPRIETAIRE","A_CONTROLER"))</f>
        <v/>
      </c>
      <c r="Q398">
        <f>IF(OR(L398="",N398=""),"",IFERROR((L398-IF(M398="",0,M398))*N398,0))</f>
        <v/>
      </c>
      <c r="V398">
        <f>IF(L398="","",L398-IF(M398="",0,M398)-IF(Q398="",0,Q398)-IF(T398="",0,T398))</f>
        <v/>
      </c>
      <c r="Y398">
        <f>IF(W398="IC","OUI",IF(W398="HC","OUI",IF(W398="HR","NON","A_CONTROLER")))</f>
        <v/>
      </c>
      <c r="Z398">
        <f>IF(W398="IC","OUI",IF(W398="HC","NON",IF(W398="HR","NON","A_CONTROLER")))</f>
        <v/>
      </c>
    </row>
    <row r="399">
      <c r="B399">
        <f>IF(A399="","",A399&amp;"|"&amp;D399&amp;"|"&amp;F399&amp;"|"&amp;G399&amp;"|"&amp;TEXT(I399,"YYYYMMDD")&amp;"|"&amp;TEXT(L399,"0.00"))</f>
        <v/>
      </c>
      <c r="C399">
        <f>IF(I399="","",TEXT(I399,"YYYY-MM"))</f>
        <v/>
      </c>
      <c r="K399">
        <f>IF(OR(I399="",J399=""),"",J399-I399)</f>
        <v/>
      </c>
      <c r="N399">
        <f>IF(F399="","",IFERROR(VLOOKUP(F399,lst_PropTauxLookup,2,0),""))</f>
        <v/>
      </c>
      <c r="O399">
        <f>IF(F399="","",IF(ISNUMBER(IFERROR(VLOOKUP(F399,lst_PropTauxLookup,2,0),"")),"REF_PROPRIETAIRE","A_CONTROLER"))</f>
        <v/>
      </c>
      <c r="Q399">
        <f>IF(OR(L399="",N399=""),"",IFERROR((L399-IF(M399="",0,M399))*N399,0))</f>
        <v/>
      </c>
      <c r="V399">
        <f>IF(L399="","",L399-IF(M399="",0,M399)-IF(Q399="",0,Q399)-IF(T399="",0,T399))</f>
        <v/>
      </c>
      <c r="Y399">
        <f>IF(W399="IC","OUI",IF(W399="HC","OUI",IF(W399="HR","NON","A_CONTROLER")))</f>
        <v/>
      </c>
      <c r="Z399">
        <f>IF(W399="IC","OUI",IF(W399="HC","NON",IF(W399="HR","NON","A_CONTROLER")))</f>
        <v/>
      </c>
    </row>
    <row r="400">
      <c r="B400">
        <f>IF(A400="","",A400&amp;"|"&amp;D400&amp;"|"&amp;F400&amp;"|"&amp;G400&amp;"|"&amp;TEXT(I400,"YYYYMMDD")&amp;"|"&amp;TEXT(L400,"0.00"))</f>
        <v/>
      </c>
      <c r="C400">
        <f>IF(I400="","",TEXT(I400,"YYYY-MM"))</f>
        <v/>
      </c>
      <c r="K400">
        <f>IF(OR(I400="",J400=""),"",J400-I400)</f>
        <v/>
      </c>
      <c r="N400">
        <f>IF(F400="","",IFERROR(VLOOKUP(F400,lst_PropTauxLookup,2,0),""))</f>
        <v/>
      </c>
      <c r="O400">
        <f>IF(F400="","",IF(ISNUMBER(IFERROR(VLOOKUP(F400,lst_PropTauxLookup,2,0),"")),"REF_PROPRIETAIRE","A_CONTROLER"))</f>
        <v/>
      </c>
      <c r="Q400">
        <f>IF(OR(L400="",N400=""),"",IFERROR((L400-IF(M400="",0,M400))*N400,0))</f>
        <v/>
      </c>
      <c r="V400">
        <f>IF(L400="","",L400-IF(M400="",0,M400)-IF(Q400="",0,Q400)-IF(T400="",0,T400))</f>
        <v/>
      </c>
      <c r="Y400">
        <f>IF(W400="IC","OUI",IF(W400="HC","OUI",IF(W400="HR","NON","A_CONTROLER")))</f>
        <v/>
      </c>
      <c r="Z400">
        <f>IF(W400="IC","OUI",IF(W400="HC","NON",IF(W400="HR","NON","A_CONTROLER")))</f>
        <v/>
      </c>
    </row>
    <row r="401">
      <c r="B401">
        <f>IF(A401="","",A401&amp;"|"&amp;D401&amp;"|"&amp;F401&amp;"|"&amp;G401&amp;"|"&amp;TEXT(I401,"YYYYMMDD")&amp;"|"&amp;TEXT(L401,"0.00"))</f>
        <v/>
      </c>
      <c r="C401">
        <f>IF(I401="","",TEXT(I401,"YYYY-MM"))</f>
        <v/>
      </c>
      <c r="K401">
        <f>IF(OR(I401="",J401=""),"",J401-I401)</f>
        <v/>
      </c>
      <c r="N401">
        <f>IF(F401="","",IFERROR(VLOOKUP(F401,lst_PropTauxLookup,2,0),""))</f>
        <v/>
      </c>
      <c r="O401">
        <f>IF(F401="","",IF(ISNUMBER(IFERROR(VLOOKUP(F401,lst_PropTauxLookup,2,0),"")),"REF_PROPRIETAIRE","A_CONTROLER"))</f>
        <v/>
      </c>
      <c r="Q401">
        <f>IF(OR(L401="",N401=""),"",IFERROR((L401-IF(M401="",0,M401))*N401,0))</f>
        <v/>
      </c>
      <c r="V401">
        <f>IF(L401="","",L401-IF(M401="",0,M401)-IF(Q401="",0,Q401)-IF(T401="",0,T401))</f>
        <v/>
      </c>
      <c r="Y401">
        <f>IF(W401="IC","OUI",IF(W401="HC","OUI",IF(W401="HR","NON","A_CONTROLER")))</f>
        <v/>
      </c>
      <c r="Z401">
        <f>IF(W401="IC","OUI",IF(W401="HC","NON",IF(W401="HR","NON","A_CONTROLER")))</f>
        <v/>
      </c>
    </row>
    <row r="402">
      <c r="B402">
        <f>IF(A402="","",A402&amp;"|"&amp;D402&amp;"|"&amp;F402&amp;"|"&amp;G402&amp;"|"&amp;TEXT(I402,"YYYYMMDD")&amp;"|"&amp;TEXT(L402,"0.00"))</f>
        <v/>
      </c>
      <c r="C402">
        <f>IF(I402="","",TEXT(I402,"YYYY-MM"))</f>
        <v/>
      </c>
      <c r="K402">
        <f>IF(OR(I402="",J402=""),"",J402-I402)</f>
        <v/>
      </c>
      <c r="N402">
        <f>IF(F402="","",IFERROR(VLOOKUP(F402,lst_PropTauxLookup,2,0),""))</f>
        <v/>
      </c>
      <c r="O402">
        <f>IF(F402="","",IF(ISNUMBER(IFERROR(VLOOKUP(F402,lst_PropTauxLookup,2,0),"")),"REF_PROPRIETAIRE","A_CONTROLER"))</f>
        <v/>
      </c>
      <c r="Q402">
        <f>IF(OR(L402="",N402=""),"",IFERROR((L402-IF(M402="",0,M402))*N402,0))</f>
        <v/>
      </c>
      <c r="V402">
        <f>IF(L402="","",L402-IF(M402="",0,M402)-IF(Q402="",0,Q402)-IF(T402="",0,T402))</f>
        <v/>
      </c>
      <c r="Y402">
        <f>IF(W402="IC","OUI",IF(W402="HC","OUI",IF(W402="HR","NON","A_CONTROLER")))</f>
        <v/>
      </c>
      <c r="Z402">
        <f>IF(W402="IC","OUI",IF(W402="HC","NON",IF(W402="HR","NON","A_CONTROLER")))</f>
        <v/>
      </c>
    </row>
    <row r="403">
      <c r="B403">
        <f>IF(A403="","",A403&amp;"|"&amp;D403&amp;"|"&amp;F403&amp;"|"&amp;G403&amp;"|"&amp;TEXT(I403,"YYYYMMDD")&amp;"|"&amp;TEXT(L403,"0.00"))</f>
        <v/>
      </c>
      <c r="C403">
        <f>IF(I403="","",TEXT(I403,"YYYY-MM"))</f>
        <v/>
      </c>
      <c r="K403">
        <f>IF(OR(I403="",J403=""),"",J403-I403)</f>
        <v/>
      </c>
      <c r="N403">
        <f>IF(F403="","",IFERROR(VLOOKUP(F403,lst_PropTauxLookup,2,0),""))</f>
        <v/>
      </c>
      <c r="O403">
        <f>IF(F403="","",IF(ISNUMBER(IFERROR(VLOOKUP(F403,lst_PropTauxLookup,2,0),"")),"REF_PROPRIETAIRE","A_CONTROLER"))</f>
        <v/>
      </c>
      <c r="Q403">
        <f>IF(OR(L403="",N403=""),"",IFERROR((L403-IF(M403="",0,M403))*N403,0))</f>
        <v/>
      </c>
      <c r="V403">
        <f>IF(L403="","",L403-IF(M403="",0,M403)-IF(Q403="",0,Q403)-IF(T403="",0,T403))</f>
        <v/>
      </c>
      <c r="Y403">
        <f>IF(W403="IC","OUI",IF(W403="HC","OUI",IF(W403="HR","NON","A_CONTROLER")))</f>
        <v/>
      </c>
      <c r="Z403">
        <f>IF(W403="IC","OUI",IF(W403="HC","NON",IF(W403="HR","NON","A_CONTROLER")))</f>
        <v/>
      </c>
    </row>
    <row r="404">
      <c r="B404">
        <f>IF(A404="","",A404&amp;"|"&amp;D404&amp;"|"&amp;F404&amp;"|"&amp;G404&amp;"|"&amp;TEXT(I404,"YYYYMMDD")&amp;"|"&amp;TEXT(L404,"0.00"))</f>
        <v/>
      </c>
      <c r="C404">
        <f>IF(I404="","",TEXT(I404,"YYYY-MM"))</f>
        <v/>
      </c>
      <c r="K404">
        <f>IF(OR(I404="",J404=""),"",J404-I404)</f>
        <v/>
      </c>
      <c r="N404">
        <f>IF(F404="","",IFERROR(VLOOKUP(F404,lst_PropTauxLookup,2,0),""))</f>
        <v/>
      </c>
      <c r="O404">
        <f>IF(F404="","",IF(ISNUMBER(IFERROR(VLOOKUP(F404,lst_PropTauxLookup,2,0),"")),"REF_PROPRIETAIRE","A_CONTROLER"))</f>
        <v/>
      </c>
      <c r="Q404">
        <f>IF(OR(L404="",N404=""),"",IFERROR((L404-IF(M404="",0,M404))*N404,0))</f>
        <v/>
      </c>
      <c r="V404">
        <f>IF(L404="","",L404-IF(M404="",0,M404)-IF(Q404="",0,Q404)-IF(T404="",0,T404))</f>
        <v/>
      </c>
      <c r="Y404">
        <f>IF(W404="IC","OUI",IF(W404="HC","OUI",IF(W404="HR","NON","A_CONTROLER")))</f>
        <v/>
      </c>
      <c r="Z404">
        <f>IF(W404="IC","OUI",IF(W404="HC","NON",IF(W404="HR","NON","A_CONTROLER")))</f>
        <v/>
      </c>
    </row>
    <row r="405">
      <c r="B405">
        <f>IF(A405="","",A405&amp;"|"&amp;D405&amp;"|"&amp;F405&amp;"|"&amp;G405&amp;"|"&amp;TEXT(I405,"YYYYMMDD")&amp;"|"&amp;TEXT(L405,"0.00"))</f>
        <v/>
      </c>
      <c r="C405">
        <f>IF(I405="","",TEXT(I405,"YYYY-MM"))</f>
        <v/>
      </c>
      <c r="K405">
        <f>IF(OR(I405="",J405=""),"",J405-I405)</f>
        <v/>
      </c>
      <c r="N405">
        <f>IF(F405="","",IFERROR(VLOOKUP(F405,lst_PropTauxLookup,2,0),""))</f>
        <v/>
      </c>
      <c r="O405">
        <f>IF(F405="","",IF(ISNUMBER(IFERROR(VLOOKUP(F405,lst_PropTauxLookup,2,0),"")),"REF_PROPRIETAIRE","A_CONTROLER"))</f>
        <v/>
      </c>
      <c r="Q405">
        <f>IF(OR(L405="",N405=""),"",IFERROR((L405-IF(M405="",0,M405))*N405,0))</f>
        <v/>
      </c>
      <c r="V405">
        <f>IF(L405="","",L405-IF(M405="",0,M405)-IF(Q405="",0,Q405)-IF(T405="",0,T405))</f>
        <v/>
      </c>
      <c r="Y405">
        <f>IF(W405="IC","OUI",IF(W405="HC","OUI",IF(W405="HR","NON","A_CONTROLER")))</f>
        <v/>
      </c>
      <c r="Z405">
        <f>IF(W405="IC","OUI",IF(W405="HC","NON",IF(W405="HR","NON","A_CONTROLER")))</f>
        <v/>
      </c>
    </row>
    <row r="406">
      <c r="B406">
        <f>IF(A406="","",A406&amp;"|"&amp;D406&amp;"|"&amp;F406&amp;"|"&amp;G406&amp;"|"&amp;TEXT(I406,"YYYYMMDD")&amp;"|"&amp;TEXT(L406,"0.00"))</f>
        <v/>
      </c>
      <c r="C406">
        <f>IF(I406="","",TEXT(I406,"YYYY-MM"))</f>
        <v/>
      </c>
      <c r="K406">
        <f>IF(OR(I406="",J406=""),"",J406-I406)</f>
        <v/>
      </c>
      <c r="N406">
        <f>IF(F406="","",IFERROR(VLOOKUP(F406,lst_PropTauxLookup,2,0),""))</f>
        <v/>
      </c>
      <c r="O406">
        <f>IF(F406="","",IF(ISNUMBER(IFERROR(VLOOKUP(F406,lst_PropTauxLookup,2,0),"")),"REF_PROPRIETAIRE","A_CONTROLER"))</f>
        <v/>
      </c>
      <c r="Q406">
        <f>IF(OR(L406="",N406=""),"",IFERROR((L406-IF(M406="",0,M406))*N406,0))</f>
        <v/>
      </c>
      <c r="V406">
        <f>IF(L406="","",L406-IF(M406="",0,M406)-IF(Q406="",0,Q406)-IF(T406="",0,T406))</f>
        <v/>
      </c>
      <c r="Y406">
        <f>IF(W406="IC","OUI",IF(W406="HC","OUI",IF(W406="HR","NON","A_CONTROLER")))</f>
        <v/>
      </c>
      <c r="Z406">
        <f>IF(W406="IC","OUI",IF(W406="HC","NON",IF(W406="HR","NON","A_CONTROLER")))</f>
        <v/>
      </c>
    </row>
    <row r="407">
      <c r="B407">
        <f>IF(A407="","",A407&amp;"|"&amp;D407&amp;"|"&amp;F407&amp;"|"&amp;G407&amp;"|"&amp;TEXT(I407,"YYYYMMDD")&amp;"|"&amp;TEXT(L407,"0.00"))</f>
        <v/>
      </c>
      <c r="C407">
        <f>IF(I407="","",TEXT(I407,"YYYY-MM"))</f>
        <v/>
      </c>
      <c r="K407">
        <f>IF(OR(I407="",J407=""),"",J407-I407)</f>
        <v/>
      </c>
      <c r="N407">
        <f>IF(F407="","",IFERROR(VLOOKUP(F407,lst_PropTauxLookup,2,0),""))</f>
        <v/>
      </c>
      <c r="O407">
        <f>IF(F407="","",IF(ISNUMBER(IFERROR(VLOOKUP(F407,lst_PropTauxLookup,2,0),"")),"REF_PROPRIETAIRE","A_CONTROLER"))</f>
        <v/>
      </c>
      <c r="Q407">
        <f>IF(OR(L407="",N407=""),"",IFERROR((L407-IF(M407="",0,M407))*N407,0))</f>
        <v/>
      </c>
      <c r="V407">
        <f>IF(L407="","",L407-IF(M407="",0,M407)-IF(Q407="",0,Q407)-IF(T407="",0,T407))</f>
        <v/>
      </c>
      <c r="Y407">
        <f>IF(W407="IC","OUI",IF(W407="HC","OUI",IF(W407="HR","NON","A_CONTROLER")))</f>
        <v/>
      </c>
      <c r="Z407">
        <f>IF(W407="IC","OUI",IF(W407="HC","NON",IF(W407="HR","NON","A_CONTROLER")))</f>
        <v/>
      </c>
    </row>
    <row r="408">
      <c r="B408">
        <f>IF(A408="","",A408&amp;"|"&amp;D408&amp;"|"&amp;F408&amp;"|"&amp;G408&amp;"|"&amp;TEXT(I408,"YYYYMMDD")&amp;"|"&amp;TEXT(L408,"0.00"))</f>
        <v/>
      </c>
      <c r="C408">
        <f>IF(I408="","",TEXT(I408,"YYYY-MM"))</f>
        <v/>
      </c>
      <c r="K408">
        <f>IF(OR(I408="",J408=""),"",J408-I408)</f>
        <v/>
      </c>
      <c r="N408">
        <f>IF(F408="","",IFERROR(VLOOKUP(F408,lst_PropTauxLookup,2,0),""))</f>
        <v/>
      </c>
      <c r="O408">
        <f>IF(F408="","",IF(ISNUMBER(IFERROR(VLOOKUP(F408,lst_PropTauxLookup,2,0),"")),"REF_PROPRIETAIRE","A_CONTROLER"))</f>
        <v/>
      </c>
      <c r="Q408">
        <f>IF(OR(L408="",N408=""),"",IFERROR((L408-IF(M408="",0,M408))*N408,0))</f>
        <v/>
      </c>
      <c r="V408">
        <f>IF(L408="","",L408-IF(M408="",0,M408)-IF(Q408="",0,Q408)-IF(T408="",0,T408))</f>
        <v/>
      </c>
      <c r="Y408">
        <f>IF(W408="IC","OUI",IF(W408="HC","OUI",IF(W408="HR","NON","A_CONTROLER")))</f>
        <v/>
      </c>
      <c r="Z408">
        <f>IF(W408="IC","OUI",IF(W408="HC","NON",IF(W408="HR","NON","A_CONTROLER")))</f>
        <v/>
      </c>
    </row>
    <row r="409">
      <c r="B409">
        <f>IF(A409="","",A409&amp;"|"&amp;D409&amp;"|"&amp;F409&amp;"|"&amp;G409&amp;"|"&amp;TEXT(I409,"YYYYMMDD")&amp;"|"&amp;TEXT(L409,"0.00"))</f>
        <v/>
      </c>
      <c r="C409">
        <f>IF(I409="","",TEXT(I409,"YYYY-MM"))</f>
        <v/>
      </c>
      <c r="K409">
        <f>IF(OR(I409="",J409=""),"",J409-I409)</f>
        <v/>
      </c>
      <c r="N409">
        <f>IF(F409="","",IFERROR(VLOOKUP(F409,lst_PropTauxLookup,2,0),""))</f>
        <v/>
      </c>
      <c r="O409">
        <f>IF(F409="","",IF(ISNUMBER(IFERROR(VLOOKUP(F409,lst_PropTauxLookup,2,0),"")),"REF_PROPRIETAIRE","A_CONTROLER"))</f>
        <v/>
      </c>
      <c r="Q409">
        <f>IF(OR(L409="",N409=""),"",IFERROR((L409-IF(M409="",0,M409))*N409,0))</f>
        <v/>
      </c>
      <c r="V409">
        <f>IF(L409="","",L409-IF(M409="",0,M409)-IF(Q409="",0,Q409)-IF(T409="",0,T409))</f>
        <v/>
      </c>
      <c r="Y409">
        <f>IF(W409="IC","OUI",IF(W409="HC","OUI",IF(W409="HR","NON","A_CONTROLER")))</f>
        <v/>
      </c>
      <c r="Z409">
        <f>IF(W409="IC","OUI",IF(W409="HC","NON",IF(W409="HR","NON","A_CONTROLER")))</f>
        <v/>
      </c>
    </row>
    <row r="410">
      <c r="B410">
        <f>IF(A410="","",A410&amp;"|"&amp;D410&amp;"|"&amp;F410&amp;"|"&amp;G410&amp;"|"&amp;TEXT(I410,"YYYYMMDD")&amp;"|"&amp;TEXT(L410,"0.00"))</f>
        <v/>
      </c>
      <c r="C410">
        <f>IF(I410="","",TEXT(I410,"YYYY-MM"))</f>
        <v/>
      </c>
      <c r="K410">
        <f>IF(OR(I410="",J410=""),"",J410-I410)</f>
        <v/>
      </c>
      <c r="N410">
        <f>IF(F410="","",IFERROR(VLOOKUP(F410,lst_PropTauxLookup,2,0),""))</f>
        <v/>
      </c>
      <c r="O410">
        <f>IF(F410="","",IF(ISNUMBER(IFERROR(VLOOKUP(F410,lst_PropTauxLookup,2,0),"")),"REF_PROPRIETAIRE","A_CONTROLER"))</f>
        <v/>
      </c>
      <c r="Q410">
        <f>IF(OR(L410="",N410=""),"",IFERROR((L410-IF(M410="",0,M410))*N410,0))</f>
        <v/>
      </c>
      <c r="V410">
        <f>IF(L410="","",L410-IF(M410="",0,M410)-IF(Q410="",0,Q410)-IF(T410="",0,T410))</f>
        <v/>
      </c>
      <c r="Y410">
        <f>IF(W410="IC","OUI",IF(W410="HC","OUI",IF(W410="HR","NON","A_CONTROLER")))</f>
        <v/>
      </c>
      <c r="Z410">
        <f>IF(W410="IC","OUI",IF(W410="HC","NON",IF(W410="HR","NON","A_CONTROLER")))</f>
        <v/>
      </c>
    </row>
    <row r="411">
      <c r="B411">
        <f>IF(A411="","",A411&amp;"|"&amp;D411&amp;"|"&amp;F411&amp;"|"&amp;G411&amp;"|"&amp;TEXT(I411,"YYYYMMDD")&amp;"|"&amp;TEXT(L411,"0.00"))</f>
        <v/>
      </c>
      <c r="C411">
        <f>IF(I411="","",TEXT(I411,"YYYY-MM"))</f>
        <v/>
      </c>
      <c r="K411">
        <f>IF(OR(I411="",J411=""),"",J411-I411)</f>
        <v/>
      </c>
      <c r="N411">
        <f>IF(F411="","",IFERROR(VLOOKUP(F411,lst_PropTauxLookup,2,0),""))</f>
        <v/>
      </c>
      <c r="O411">
        <f>IF(F411="","",IF(ISNUMBER(IFERROR(VLOOKUP(F411,lst_PropTauxLookup,2,0),"")),"REF_PROPRIETAIRE","A_CONTROLER"))</f>
        <v/>
      </c>
      <c r="Q411">
        <f>IF(OR(L411="",N411=""),"",IFERROR((L411-IF(M411="",0,M411))*N411,0))</f>
        <v/>
      </c>
      <c r="V411">
        <f>IF(L411="","",L411-IF(M411="",0,M411)-IF(Q411="",0,Q411)-IF(T411="",0,T411))</f>
        <v/>
      </c>
      <c r="Y411">
        <f>IF(W411="IC","OUI",IF(W411="HC","OUI",IF(W411="HR","NON","A_CONTROLER")))</f>
        <v/>
      </c>
      <c r="Z411">
        <f>IF(W411="IC","OUI",IF(W411="HC","NON",IF(W411="HR","NON","A_CONTROLER")))</f>
        <v/>
      </c>
    </row>
    <row r="412">
      <c r="B412">
        <f>IF(A412="","",A412&amp;"|"&amp;D412&amp;"|"&amp;F412&amp;"|"&amp;G412&amp;"|"&amp;TEXT(I412,"YYYYMMDD")&amp;"|"&amp;TEXT(L412,"0.00"))</f>
        <v/>
      </c>
      <c r="C412">
        <f>IF(I412="","",TEXT(I412,"YYYY-MM"))</f>
        <v/>
      </c>
      <c r="K412">
        <f>IF(OR(I412="",J412=""),"",J412-I412)</f>
        <v/>
      </c>
      <c r="N412">
        <f>IF(F412="","",IFERROR(VLOOKUP(F412,lst_PropTauxLookup,2,0),""))</f>
        <v/>
      </c>
      <c r="O412">
        <f>IF(F412="","",IF(ISNUMBER(IFERROR(VLOOKUP(F412,lst_PropTauxLookup,2,0),"")),"REF_PROPRIETAIRE","A_CONTROLER"))</f>
        <v/>
      </c>
      <c r="Q412">
        <f>IF(OR(L412="",N412=""),"",IFERROR((L412-IF(M412="",0,M412))*N412,0))</f>
        <v/>
      </c>
      <c r="V412">
        <f>IF(L412="","",L412-IF(M412="",0,M412)-IF(Q412="",0,Q412)-IF(T412="",0,T412))</f>
        <v/>
      </c>
      <c r="Y412">
        <f>IF(W412="IC","OUI",IF(W412="HC","OUI",IF(W412="HR","NON","A_CONTROLER")))</f>
        <v/>
      </c>
      <c r="Z412">
        <f>IF(W412="IC","OUI",IF(W412="HC","NON",IF(W412="HR","NON","A_CONTROLER")))</f>
        <v/>
      </c>
    </row>
    <row r="413">
      <c r="B413">
        <f>IF(A413="","",A413&amp;"|"&amp;D413&amp;"|"&amp;F413&amp;"|"&amp;G413&amp;"|"&amp;TEXT(I413,"YYYYMMDD")&amp;"|"&amp;TEXT(L413,"0.00"))</f>
        <v/>
      </c>
      <c r="C413">
        <f>IF(I413="","",TEXT(I413,"YYYY-MM"))</f>
        <v/>
      </c>
      <c r="K413">
        <f>IF(OR(I413="",J413=""),"",J413-I413)</f>
        <v/>
      </c>
      <c r="N413">
        <f>IF(F413="","",IFERROR(VLOOKUP(F413,lst_PropTauxLookup,2,0),""))</f>
        <v/>
      </c>
      <c r="O413">
        <f>IF(F413="","",IF(ISNUMBER(IFERROR(VLOOKUP(F413,lst_PropTauxLookup,2,0),"")),"REF_PROPRIETAIRE","A_CONTROLER"))</f>
        <v/>
      </c>
      <c r="Q413">
        <f>IF(OR(L413="",N413=""),"",IFERROR((L413-IF(M413="",0,M413))*N413,0))</f>
        <v/>
      </c>
      <c r="V413">
        <f>IF(L413="","",L413-IF(M413="",0,M413)-IF(Q413="",0,Q413)-IF(T413="",0,T413))</f>
        <v/>
      </c>
      <c r="Y413">
        <f>IF(W413="IC","OUI",IF(W413="HC","OUI",IF(W413="HR","NON","A_CONTROLER")))</f>
        <v/>
      </c>
      <c r="Z413">
        <f>IF(W413="IC","OUI",IF(W413="HC","NON",IF(W413="HR","NON","A_CONTROLER")))</f>
        <v/>
      </c>
    </row>
    <row r="414">
      <c r="B414">
        <f>IF(A414="","",A414&amp;"|"&amp;D414&amp;"|"&amp;F414&amp;"|"&amp;G414&amp;"|"&amp;TEXT(I414,"YYYYMMDD")&amp;"|"&amp;TEXT(L414,"0.00"))</f>
        <v/>
      </c>
      <c r="C414">
        <f>IF(I414="","",TEXT(I414,"YYYY-MM"))</f>
        <v/>
      </c>
      <c r="K414">
        <f>IF(OR(I414="",J414=""),"",J414-I414)</f>
        <v/>
      </c>
      <c r="N414">
        <f>IF(F414="","",IFERROR(VLOOKUP(F414,lst_PropTauxLookup,2,0),""))</f>
        <v/>
      </c>
      <c r="O414">
        <f>IF(F414="","",IF(ISNUMBER(IFERROR(VLOOKUP(F414,lst_PropTauxLookup,2,0),"")),"REF_PROPRIETAIRE","A_CONTROLER"))</f>
        <v/>
      </c>
      <c r="Q414">
        <f>IF(OR(L414="",N414=""),"",IFERROR((L414-IF(M414="",0,M414))*N414,0))</f>
        <v/>
      </c>
      <c r="V414">
        <f>IF(L414="","",L414-IF(M414="",0,M414)-IF(Q414="",0,Q414)-IF(T414="",0,T414))</f>
        <v/>
      </c>
      <c r="Y414">
        <f>IF(W414="IC","OUI",IF(W414="HC","OUI",IF(W414="HR","NON","A_CONTROLER")))</f>
        <v/>
      </c>
      <c r="Z414">
        <f>IF(W414="IC","OUI",IF(W414="HC","NON",IF(W414="HR","NON","A_CONTROLER")))</f>
        <v/>
      </c>
    </row>
    <row r="415">
      <c r="B415">
        <f>IF(A415="","",A415&amp;"|"&amp;D415&amp;"|"&amp;F415&amp;"|"&amp;G415&amp;"|"&amp;TEXT(I415,"YYYYMMDD")&amp;"|"&amp;TEXT(L415,"0.00"))</f>
        <v/>
      </c>
      <c r="C415">
        <f>IF(I415="","",TEXT(I415,"YYYY-MM"))</f>
        <v/>
      </c>
      <c r="K415">
        <f>IF(OR(I415="",J415=""),"",J415-I415)</f>
        <v/>
      </c>
      <c r="N415">
        <f>IF(F415="","",IFERROR(VLOOKUP(F415,lst_PropTauxLookup,2,0),""))</f>
        <v/>
      </c>
      <c r="O415">
        <f>IF(F415="","",IF(ISNUMBER(IFERROR(VLOOKUP(F415,lst_PropTauxLookup,2,0),"")),"REF_PROPRIETAIRE","A_CONTROLER"))</f>
        <v/>
      </c>
      <c r="Q415">
        <f>IF(OR(L415="",N415=""),"",IFERROR((L415-IF(M415="",0,M415))*N415,0))</f>
        <v/>
      </c>
      <c r="V415">
        <f>IF(L415="","",L415-IF(M415="",0,M415)-IF(Q415="",0,Q415)-IF(T415="",0,T415))</f>
        <v/>
      </c>
      <c r="Y415">
        <f>IF(W415="IC","OUI",IF(W415="HC","OUI",IF(W415="HR","NON","A_CONTROLER")))</f>
        <v/>
      </c>
      <c r="Z415">
        <f>IF(W415="IC","OUI",IF(W415="HC","NON",IF(W415="HR","NON","A_CONTROLER")))</f>
        <v/>
      </c>
    </row>
    <row r="416">
      <c r="B416">
        <f>IF(A416="","",A416&amp;"|"&amp;D416&amp;"|"&amp;F416&amp;"|"&amp;G416&amp;"|"&amp;TEXT(I416,"YYYYMMDD")&amp;"|"&amp;TEXT(L416,"0.00"))</f>
        <v/>
      </c>
      <c r="C416">
        <f>IF(I416="","",TEXT(I416,"YYYY-MM"))</f>
        <v/>
      </c>
      <c r="K416">
        <f>IF(OR(I416="",J416=""),"",J416-I416)</f>
        <v/>
      </c>
      <c r="N416">
        <f>IF(F416="","",IFERROR(VLOOKUP(F416,lst_PropTauxLookup,2,0),""))</f>
        <v/>
      </c>
      <c r="O416">
        <f>IF(F416="","",IF(ISNUMBER(IFERROR(VLOOKUP(F416,lst_PropTauxLookup,2,0),"")),"REF_PROPRIETAIRE","A_CONTROLER"))</f>
        <v/>
      </c>
      <c r="Q416">
        <f>IF(OR(L416="",N416=""),"",IFERROR((L416-IF(M416="",0,M416))*N416,0))</f>
        <v/>
      </c>
      <c r="V416">
        <f>IF(L416="","",L416-IF(M416="",0,M416)-IF(Q416="",0,Q416)-IF(T416="",0,T416))</f>
        <v/>
      </c>
      <c r="Y416">
        <f>IF(W416="IC","OUI",IF(W416="HC","OUI",IF(W416="HR","NON","A_CONTROLER")))</f>
        <v/>
      </c>
      <c r="Z416">
        <f>IF(W416="IC","OUI",IF(W416="HC","NON",IF(W416="HR","NON","A_CONTROLER")))</f>
        <v/>
      </c>
    </row>
    <row r="417">
      <c r="B417">
        <f>IF(A417="","",A417&amp;"|"&amp;D417&amp;"|"&amp;F417&amp;"|"&amp;G417&amp;"|"&amp;TEXT(I417,"YYYYMMDD")&amp;"|"&amp;TEXT(L417,"0.00"))</f>
        <v/>
      </c>
      <c r="C417">
        <f>IF(I417="","",TEXT(I417,"YYYY-MM"))</f>
        <v/>
      </c>
      <c r="K417">
        <f>IF(OR(I417="",J417=""),"",J417-I417)</f>
        <v/>
      </c>
      <c r="N417">
        <f>IF(F417="","",IFERROR(VLOOKUP(F417,lst_PropTauxLookup,2,0),""))</f>
        <v/>
      </c>
      <c r="O417">
        <f>IF(F417="","",IF(ISNUMBER(IFERROR(VLOOKUP(F417,lst_PropTauxLookup,2,0),"")),"REF_PROPRIETAIRE","A_CONTROLER"))</f>
        <v/>
      </c>
      <c r="Q417">
        <f>IF(OR(L417="",N417=""),"",IFERROR((L417-IF(M417="",0,M417))*N417,0))</f>
        <v/>
      </c>
      <c r="V417">
        <f>IF(L417="","",L417-IF(M417="",0,M417)-IF(Q417="",0,Q417)-IF(T417="",0,T417))</f>
        <v/>
      </c>
      <c r="Y417">
        <f>IF(W417="IC","OUI",IF(W417="HC","OUI",IF(W417="HR","NON","A_CONTROLER")))</f>
        <v/>
      </c>
      <c r="Z417">
        <f>IF(W417="IC","OUI",IF(W417="HC","NON",IF(W417="HR","NON","A_CONTROLER")))</f>
        <v/>
      </c>
    </row>
    <row r="418">
      <c r="B418">
        <f>IF(A418="","",A418&amp;"|"&amp;D418&amp;"|"&amp;F418&amp;"|"&amp;G418&amp;"|"&amp;TEXT(I418,"YYYYMMDD")&amp;"|"&amp;TEXT(L418,"0.00"))</f>
        <v/>
      </c>
      <c r="C418">
        <f>IF(I418="","",TEXT(I418,"YYYY-MM"))</f>
        <v/>
      </c>
      <c r="K418">
        <f>IF(OR(I418="",J418=""),"",J418-I418)</f>
        <v/>
      </c>
      <c r="N418">
        <f>IF(F418="","",IFERROR(VLOOKUP(F418,lst_PropTauxLookup,2,0),""))</f>
        <v/>
      </c>
      <c r="O418">
        <f>IF(F418="","",IF(ISNUMBER(IFERROR(VLOOKUP(F418,lst_PropTauxLookup,2,0),"")),"REF_PROPRIETAIRE","A_CONTROLER"))</f>
        <v/>
      </c>
      <c r="Q418">
        <f>IF(OR(L418="",N418=""),"",IFERROR((L418-IF(M418="",0,M418))*N418,0))</f>
        <v/>
      </c>
      <c r="V418">
        <f>IF(L418="","",L418-IF(M418="",0,M418)-IF(Q418="",0,Q418)-IF(T418="",0,T418))</f>
        <v/>
      </c>
      <c r="Y418">
        <f>IF(W418="IC","OUI",IF(W418="HC","OUI",IF(W418="HR","NON","A_CONTROLER")))</f>
        <v/>
      </c>
      <c r="Z418">
        <f>IF(W418="IC","OUI",IF(W418="HC","NON",IF(W418="HR","NON","A_CONTROLER")))</f>
        <v/>
      </c>
    </row>
    <row r="419">
      <c r="B419">
        <f>IF(A419="","",A419&amp;"|"&amp;D419&amp;"|"&amp;F419&amp;"|"&amp;G419&amp;"|"&amp;TEXT(I419,"YYYYMMDD")&amp;"|"&amp;TEXT(L419,"0.00"))</f>
        <v/>
      </c>
      <c r="C419">
        <f>IF(I419="","",TEXT(I419,"YYYY-MM"))</f>
        <v/>
      </c>
      <c r="K419">
        <f>IF(OR(I419="",J419=""),"",J419-I419)</f>
        <v/>
      </c>
      <c r="N419">
        <f>IF(F419="","",IFERROR(VLOOKUP(F419,lst_PropTauxLookup,2,0),""))</f>
        <v/>
      </c>
      <c r="O419">
        <f>IF(F419="","",IF(ISNUMBER(IFERROR(VLOOKUP(F419,lst_PropTauxLookup,2,0),"")),"REF_PROPRIETAIRE","A_CONTROLER"))</f>
        <v/>
      </c>
      <c r="Q419">
        <f>IF(OR(L419="",N419=""),"",IFERROR((L419-IF(M419="",0,M419))*N419,0))</f>
        <v/>
      </c>
      <c r="V419">
        <f>IF(L419="","",L419-IF(M419="",0,M419)-IF(Q419="",0,Q419)-IF(T419="",0,T419))</f>
        <v/>
      </c>
      <c r="Y419">
        <f>IF(W419="IC","OUI",IF(W419="HC","OUI",IF(W419="HR","NON","A_CONTROLER")))</f>
        <v/>
      </c>
      <c r="Z419">
        <f>IF(W419="IC","OUI",IF(W419="HC","NON",IF(W419="HR","NON","A_CONTROLER")))</f>
        <v/>
      </c>
    </row>
    <row r="420">
      <c r="B420">
        <f>IF(A420="","",A420&amp;"|"&amp;D420&amp;"|"&amp;F420&amp;"|"&amp;G420&amp;"|"&amp;TEXT(I420,"YYYYMMDD")&amp;"|"&amp;TEXT(L420,"0.00"))</f>
        <v/>
      </c>
      <c r="C420">
        <f>IF(I420="","",TEXT(I420,"YYYY-MM"))</f>
        <v/>
      </c>
      <c r="K420">
        <f>IF(OR(I420="",J420=""),"",J420-I420)</f>
        <v/>
      </c>
      <c r="N420">
        <f>IF(F420="","",IFERROR(VLOOKUP(F420,lst_PropTauxLookup,2,0),""))</f>
        <v/>
      </c>
      <c r="O420">
        <f>IF(F420="","",IF(ISNUMBER(IFERROR(VLOOKUP(F420,lst_PropTauxLookup,2,0),"")),"REF_PROPRIETAIRE","A_CONTROLER"))</f>
        <v/>
      </c>
      <c r="Q420">
        <f>IF(OR(L420="",N420=""),"",IFERROR((L420-IF(M420="",0,M420))*N420,0))</f>
        <v/>
      </c>
      <c r="V420">
        <f>IF(L420="","",L420-IF(M420="",0,M420)-IF(Q420="",0,Q420)-IF(T420="",0,T420))</f>
        <v/>
      </c>
      <c r="Y420">
        <f>IF(W420="IC","OUI",IF(W420="HC","OUI",IF(W420="HR","NON","A_CONTROLER")))</f>
        <v/>
      </c>
      <c r="Z420">
        <f>IF(W420="IC","OUI",IF(W420="HC","NON",IF(W420="HR","NON","A_CONTROLER")))</f>
        <v/>
      </c>
    </row>
    <row r="421">
      <c r="B421">
        <f>IF(A421="","",A421&amp;"|"&amp;D421&amp;"|"&amp;F421&amp;"|"&amp;G421&amp;"|"&amp;TEXT(I421,"YYYYMMDD")&amp;"|"&amp;TEXT(L421,"0.00"))</f>
        <v/>
      </c>
      <c r="C421">
        <f>IF(I421="","",TEXT(I421,"YYYY-MM"))</f>
        <v/>
      </c>
      <c r="K421">
        <f>IF(OR(I421="",J421=""),"",J421-I421)</f>
        <v/>
      </c>
      <c r="N421">
        <f>IF(F421="","",IFERROR(VLOOKUP(F421,lst_PropTauxLookup,2,0),""))</f>
        <v/>
      </c>
      <c r="O421">
        <f>IF(F421="","",IF(ISNUMBER(IFERROR(VLOOKUP(F421,lst_PropTauxLookup,2,0),"")),"REF_PROPRIETAIRE","A_CONTROLER"))</f>
        <v/>
      </c>
      <c r="Q421">
        <f>IF(OR(L421="",N421=""),"",IFERROR((L421-IF(M421="",0,M421))*N421,0))</f>
        <v/>
      </c>
      <c r="V421">
        <f>IF(L421="","",L421-IF(M421="",0,M421)-IF(Q421="",0,Q421)-IF(T421="",0,T421))</f>
        <v/>
      </c>
      <c r="Y421">
        <f>IF(W421="IC","OUI",IF(W421="HC","OUI",IF(W421="HR","NON","A_CONTROLER")))</f>
        <v/>
      </c>
      <c r="Z421">
        <f>IF(W421="IC","OUI",IF(W421="HC","NON",IF(W421="HR","NON","A_CONTROLER")))</f>
        <v/>
      </c>
    </row>
    <row r="422">
      <c r="B422">
        <f>IF(A422="","",A422&amp;"|"&amp;D422&amp;"|"&amp;F422&amp;"|"&amp;G422&amp;"|"&amp;TEXT(I422,"YYYYMMDD")&amp;"|"&amp;TEXT(L422,"0.00"))</f>
        <v/>
      </c>
      <c r="C422">
        <f>IF(I422="","",TEXT(I422,"YYYY-MM"))</f>
        <v/>
      </c>
      <c r="K422">
        <f>IF(OR(I422="",J422=""),"",J422-I422)</f>
        <v/>
      </c>
      <c r="N422">
        <f>IF(F422="","",IFERROR(VLOOKUP(F422,lst_PropTauxLookup,2,0),""))</f>
        <v/>
      </c>
      <c r="O422">
        <f>IF(F422="","",IF(ISNUMBER(IFERROR(VLOOKUP(F422,lst_PropTauxLookup,2,0),"")),"REF_PROPRIETAIRE","A_CONTROLER"))</f>
        <v/>
      </c>
      <c r="Q422">
        <f>IF(OR(L422="",N422=""),"",IFERROR((L422-IF(M422="",0,M422))*N422,0))</f>
        <v/>
      </c>
      <c r="V422">
        <f>IF(L422="","",L422-IF(M422="",0,M422)-IF(Q422="",0,Q422)-IF(T422="",0,T422))</f>
        <v/>
      </c>
      <c r="Y422">
        <f>IF(W422="IC","OUI",IF(W422="HC","OUI",IF(W422="HR","NON","A_CONTROLER")))</f>
        <v/>
      </c>
      <c r="Z422">
        <f>IF(W422="IC","OUI",IF(W422="HC","NON",IF(W422="HR","NON","A_CONTROLER")))</f>
        <v/>
      </c>
    </row>
    <row r="423">
      <c r="B423">
        <f>IF(A423="","",A423&amp;"|"&amp;D423&amp;"|"&amp;F423&amp;"|"&amp;G423&amp;"|"&amp;TEXT(I423,"YYYYMMDD")&amp;"|"&amp;TEXT(L423,"0.00"))</f>
        <v/>
      </c>
      <c r="C423">
        <f>IF(I423="","",TEXT(I423,"YYYY-MM"))</f>
        <v/>
      </c>
      <c r="K423">
        <f>IF(OR(I423="",J423=""),"",J423-I423)</f>
        <v/>
      </c>
      <c r="N423">
        <f>IF(F423="","",IFERROR(VLOOKUP(F423,lst_PropTauxLookup,2,0),""))</f>
        <v/>
      </c>
      <c r="O423">
        <f>IF(F423="","",IF(ISNUMBER(IFERROR(VLOOKUP(F423,lst_PropTauxLookup,2,0),"")),"REF_PROPRIETAIRE","A_CONTROLER"))</f>
        <v/>
      </c>
      <c r="Q423">
        <f>IF(OR(L423="",N423=""),"",IFERROR((L423-IF(M423="",0,M423))*N423,0))</f>
        <v/>
      </c>
      <c r="V423">
        <f>IF(L423="","",L423-IF(M423="",0,M423)-IF(Q423="",0,Q423)-IF(T423="",0,T423))</f>
        <v/>
      </c>
      <c r="Y423">
        <f>IF(W423="IC","OUI",IF(W423="HC","OUI",IF(W423="HR","NON","A_CONTROLER")))</f>
        <v/>
      </c>
      <c r="Z423">
        <f>IF(W423="IC","OUI",IF(W423="HC","NON",IF(W423="HR","NON","A_CONTROLER")))</f>
        <v/>
      </c>
    </row>
    <row r="424">
      <c r="B424">
        <f>IF(A424="","",A424&amp;"|"&amp;D424&amp;"|"&amp;F424&amp;"|"&amp;G424&amp;"|"&amp;TEXT(I424,"YYYYMMDD")&amp;"|"&amp;TEXT(L424,"0.00"))</f>
        <v/>
      </c>
      <c r="C424">
        <f>IF(I424="","",TEXT(I424,"YYYY-MM"))</f>
        <v/>
      </c>
      <c r="K424">
        <f>IF(OR(I424="",J424=""),"",J424-I424)</f>
        <v/>
      </c>
      <c r="N424">
        <f>IF(F424="","",IFERROR(VLOOKUP(F424,lst_PropTauxLookup,2,0),""))</f>
        <v/>
      </c>
      <c r="O424">
        <f>IF(F424="","",IF(ISNUMBER(IFERROR(VLOOKUP(F424,lst_PropTauxLookup,2,0),"")),"REF_PROPRIETAIRE","A_CONTROLER"))</f>
        <v/>
      </c>
      <c r="Q424">
        <f>IF(OR(L424="",N424=""),"",IFERROR((L424-IF(M424="",0,M424))*N424,0))</f>
        <v/>
      </c>
      <c r="V424">
        <f>IF(L424="","",L424-IF(M424="",0,M424)-IF(Q424="",0,Q424)-IF(T424="",0,T424))</f>
        <v/>
      </c>
      <c r="Y424">
        <f>IF(W424="IC","OUI",IF(W424="HC","OUI",IF(W424="HR","NON","A_CONTROLER")))</f>
        <v/>
      </c>
      <c r="Z424">
        <f>IF(W424="IC","OUI",IF(W424="HC","NON",IF(W424="HR","NON","A_CONTROLER")))</f>
        <v/>
      </c>
    </row>
    <row r="425">
      <c r="B425">
        <f>IF(A425="","",A425&amp;"|"&amp;D425&amp;"|"&amp;F425&amp;"|"&amp;G425&amp;"|"&amp;TEXT(I425,"YYYYMMDD")&amp;"|"&amp;TEXT(L425,"0.00"))</f>
        <v/>
      </c>
      <c r="C425">
        <f>IF(I425="","",TEXT(I425,"YYYY-MM"))</f>
        <v/>
      </c>
      <c r="K425">
        <f>IF(OR(I425="",J425=""),"",J425-I425)</f>
        <v/>
      </c>
      <c r="N425">
        <f>IF(F425="","",IFERROR(VLOOKUP(F425,lst_PropTauxLookup,2,0),""))</f>
        <v/>
      </c>
      <c r="O425">
        <f>IF(F425="","",IF(ISNUMBER(IFERROR(VLOOKUP(F425,lst_PropTauxLookup,2,0),"")),"REF_PROPRIETAIRE","A_CONTROLER"))</f>
        <v/>
      </c>
      <c r="Q425">
        <f>IF(OR(L425="",N425=""),"",IFERROR((L425-IF(M425="",0,M425))*N425,0))</f>
        <v/>
      </c>
      <c r="V425">
        <f>IF(L425="","",L425-IF(M425="",0,M425)-IF(Q425="",0,Q425)-IF(T425="",0,T425))</f>
        <v/>
      </c>
      <c r="Y425">
        <f>IF(W425="IC","OUI",IF(W425="HC","OUI",IF(W425="HR","NON","A_CONTROLER")))</f>
        <v/>
      </c>
      <c r="Z425">
        <f>IF(W425="IC","OUI",IF(W425="HC","NON",IF(W425="HR","NON","A_CONTROLER")))</f>
        <v/>
      </c>
    </row>
    <row r="426">
      <c r="B426">
        <f>IF(A426="","",A426&amp;"|"&amp;D426&amp;"|"&amp;F426&amp;"|"&amp;G426&amp;"|"&amp;TEXT(I426,"YYYYMMDD")&amp;"|"&amp;TEXT(L426,"0.00"))</f>
        <v/>
      </c>
      <c r="C426">
        <f>IF(I426="","",TEXT(I426,"YYYY-MM"))</f>
        <v/>
      </c>
      <c r="K426">
        <f>IF(OR(I426="",J426=""),"",J426-I426)</f>
        <v/>
      </c>
      <c r="N426">
        <f>IF(F426="","",IFERROR(VLOOKUP(F426,lst_PropTauxLookup,2,0),""))</f>
        <v/>
      </c>
      <c r="O426">
        <f>IF(F426="","",IF(ISNUMBER(IFERROR(VLOOKUP(F426,lst_PropTauxLookup,2,0),"")),"REF_PROPRIETAIRE","A_CONTROLER"))</f>
        <v/>
      </c>
      <c r="Q426">
        <f>IF(OR(L426="",N426=""),"",IFERROR((L426-IF(M426="",0,M426))*N426,0))</f>
        <v/>
      </c>
      <c r="V426">
        <f>IF(L426="","",L426-IF(M426="",0,M426)-IF(Q426="",0,Q426)-IF(T426="",0,T426))</f>
        <v/>
      </c>
      <c r="Y426">
        <f>IF(W426="IC","OUI",IF(W426="HC","OUI",IF(W426="HR","NON","A_CONTROLER")))</f>
        <v/>
      </c>
      <c r="Z426">
        <f>IF(W426="IC","OUI",IF(W426="HC","NON",IF(W426="HR","NON","A_CONTROLER")))</f>
        <v/>
      </c>
    </row>
    <row r="427">
      <c r="B427">
        <f>IF(A427="","",A427&amp;"|"&amp;D427&amp;"|"&amp;F427&amp;"|"&amp;G427&amp;"|"&amp;TEXT(I427,"YYYYMMDD")&amp;"|"&amp;TEXT(L427,"0.00"))</f>
        <v/>
      </c>
      <c r="C427">
        <f>IF(I427="","",TEXT(I427,"YYYY-MM"))</f>
        <v/>
      </c>
      <c r="K427">
        <f>IF(OR(I427="",J427=""),"",J427-I427)</f>
        <v/>
      </c>
      <c r="N427">
        <f>IF(F427="","",IFERROR(VLOOKUP(F427,lst_PropTauxLookup,2,0),""))</f>
        <v/>
      </c>
      <c r="O427">
        <f>IF(F427="","",IF(ISNUMBER(IFERROR(VLOOKUP(F427,lst_PropTauxLookup,2,0),"")),"REF_PROPRIETAIRE","A_CONTROLER"))</f>
        <v/>
      </c>
      <c r="Q427">
        <f>IF(OR(L427="",N427=""),"",IFERROR((L427-IF(M427="",0,M427))*N427,0))</f>
        <v/>
      </c>
      <c r="V427">
        <f>IF(L427="","",L427-IF(M427="",0,M427)-IF(Q427="",0,Q427)-IF(T427="",0,T427))</f>
        <v/>
      </c>
      <c r="Y427">
        <f>IF(W427="IC","OUI",IF(W427="HC","OUI",IF(W427="HR","NON","A_CONTROLER")))</f>
        <v/>
      </c>
      <c r="Z427">
        <f>IF(W427="IC","OUI",IF(W427="HC","NON",IF(W427="HR","NON","A_CONTROLER")))</f>
        <v/>
      </c>
    </row>
    <row r="428">
      <c r="B428">
        <f>IF(A428="","",A428&amp;"|"&amp;D428&amp;"|"&amp;F428&amp;"|"&amp;G428&amp;"|"&amp;TEXT(I428,"YYYYMMDD")&amp;"|"&amp;TEXT(L428,"0.00"))</f>
        <v/>
      </c>
      <c r="C428">
        <f>IF(I428="","",TEXT(I428,"YYYY-MM"))</f>
        <v/>
      </c>
      <c r="K428">
        <f>IF(OR(I428="",J428=""),"",J428-I428)</f>
        <v/>
      </c>
      <c r="N428">
        <f>IF(F428="","",IFERROR(VLOOKUP(F428,lst_PropTauxLookup,2,0),""))</f>
        <v/>
      </c>
      <c r="O428">
        <f>IF(F428="","",IF(ISNUMBER(IFERROR(VLOOKUP(F428,lst_PropTauxLookup,2,0),"")),"REF_PROPRIETAIRE","A_CONTROLER"))</f>
        <v/>
      </c>
      <c r="Q428">
        <f>IF(OR(L428="",N428=""),"",IFERROR((L428-IF(M428="",0,M428))*N428,0))</f>
        <v/>
      </c>
      <c r="V428">
        <f>IF(L428="","",L428-IF(M428="",0,M428)-IF(Q428="",0,Q428)-IF(T428="",0,T428))</f>
        <v/>
      </c>
      <c r="Y428">
        <f>IF(W428="IC","OUI",IF(W428="HC","OUI",IF(W428="HR","NON","A_CONTROLER")))</f>
        <v/>
      </c>
      <c r="Z428">
        <f>IF(W428="IC","OUI",IF(W428="HC","NON",IF(W428="HR","NON","A_CONTROLER")))</f>
        <v/>
      </c>
    </row>
    <row r="429">
      <c r="B429">
        <f>IF(A429="","",A429&amp;"|"&amp;D429&amp;"|"&amp;F429&amp;"|"&amp;G429&amp;"|"&amp;TEXT(I429,"YYYYMMDD")&amp;"|"&amp;TEXT(L429,"0.00"))</f>
        <v/>
      </c>
      <c r="C429">
        <f>IF(I429="","",TEXT(I429,"YYYY-MM"))</f>
        <v/>
      </c>
      <c r="K429">
        <f>IF(OR(I429="",J429=""),"",J429-I429)</f>
        <v/>
      </c>
      <c r="N429">
        <f>IF(F429="","",IFERROR(VLOOKUP(F429,lst_PropTauxLookup,2,0),""))</f>
        <v/>
      </c>
      <c r="O429">
        <f>IF(F429="","",IF(ISNUMBER(IFERROR(VLOOKUP(F429,lst_PropTauxLookup,2,0),"")),"REF_PROPRIETAIRE","A_CONTROLER"))</f>
        <v/>
      </c>
      <c r="Q429">
        <f>IF(OR(L429="",N429=""),"",IFERROR((L429-IF(M429="",0,M429))*N429,0))</f>
        <v/>
      </c>
      <c r="V429">
        <f>IF(L429="","",L429-IF(M429="",0,M429)-IF(Q429="",0,Q429)-IF(T429="",0,T429))</f>
        <v/>
      </c>
      <c r="Y429">
        <f>IF(W429="IC","OUI",IF(W429="HC","OUI",IF(W429="HR","NON","A_CONTROLER")))</f>
        <v/>
      </c>
      <c r="Z429">
        <f>IF(W429="IC","OUI",IF(W429="HC","NON",IF(W429="HR","NON","A_CONTROLER")))</f>
        <v/>
      </c>
    </row>
    <row r="430">
      <c r="B430">
        <f>IF(A430="","",A430&amp;"|"&amp;D430&amp;"|"&amp;F430&amp;"|"&amp;G430&amp;"|"&amp;TEXT(I430,"YYYYMMDD")&amp;"|"&amp;TEXT(L430,"0.00"))</f>
        <v/>
      </c>
      <c r="C430">
        <f>IF(I430="","",TEXT(I430,"YYYY-MM"))</f>
        <v/>
      </c>
      <c r="K430">
        <f>IF(OR(I430="",J430=""),"",J430-I430)</f>
        <v/>
      </c>
      <c r="N430">
        <f>IF(F430="","",IFERROR(VLOOKUP(F430,lst_PropTauxLookup,2,0),""))</f>
        <v/>
      </c>
      <c r="O430">
        <f>IF(F430="","",IF(ISNUMBER(IFERROR(VLOOKUP(F430,lst_PropTauxLookup,2,0),"")),"REF_PROPRIETAIRE","A_CONTROLER"))</f>
        <v/>
      </c>
      <c r="Q430">
        <f>IF(OR(L430="",N430=""),"",IFERROR((L430-IF(M430="",0,M430))*N430,0))</f>
        <v/>
      </c>
      <c r="V430">
        <f>IF(L430="","",L430-IF(M430="",0,M430)-IF(Q430="",0,Q430)-IF(T430="",0,T430))</f>
        <v/>
      </c>
      <c r="Y430">
        <f>IF(W430="IC","OUI",IF(W430="HC","OUI",IF(W430="HR","NON","A_CONTROLER")))</f>
        <v/>
      </c>
      <c r="Z430">
        <f>IF(W430="IC","OUI",IF(W430="HC","NON",IF(W430="HR","NON","A_CONTROLER")))</f>
        <v/>
      </c>
    </row>
    <row r="431">
      <c r="B431">
        <f>IF(A431="","",A431&amp;"|"&amp;D431&amp;"|"&amp;F431&amp;"|"&amp;G431&amp;"|"&amp;TEXT(I431,"YYYYMMDD")&amp;"|"&amp;TEXT(L431,"0.00"))</f>
        <v/>
      </c>
      <c r="C431">
        <f>IF(I431="","",TEXT(I431,"YYYY-MM"))</f>
        <v/>
      </c>
      <c r="K431">
        <f>IF(OR(I431="",J431=""),"",J431-I431)</f>
        <v/>
      </c>
      <c r="N431">
        <f>IF(F431="","",IFERROR(VLOOKUP(F431,lst_PropTauxLookup,2,0),""))</f>
        <v/>
      </c>
      <c r="O431">
        <f>IF(F431="","",IF(ISNUMBER(IFERROR(VLOOKUP(F431,lst_PropTauxLookup,2,0),"")),"REF_PROPRIETAIRE","A_CONTROLER"))</f>
        <v/>
      </c>
      <c r="Q431">
        <f>IF(OR(L431="",N431=""),"",IFERROR((L431-IF(M431="",0,M431))*N431,0))</f>
        <v/>
      </c>
      <c r="V431">
        <f>IF(L431="","",L431-IF(M431="",0,M431)-IF(Q431="",0,Q431)-IF(T431="",0,T431))</f>
        <v/>
      </c>
      <c r="Y431">
        <f>IF(W431="IC","OUI",IF(W431="HC","OUI",IF(W431="HR","NON","A_CONTROLER")))</f>
        <v/>
      </c>
      <c r="Z431">
        <f>IF(W431="IC","OUI",IF(W431="HC","NON",IF(W431="HR","NON","A_CONTROLER")))</f>
        <v/>
      </c>
    </row>
    <row r="432">
      <c r="B432">
        <f>IF(A432="","",A432&amp;"|"&amp;D432&amp;"|"&amp;F432&amp;"|"&amp;G432&amp;"|"&amp;TEXT(I432,"YYYYMMDD")&amp;"|"&amp;TEXT(L432,"0.00"))</f>
        <v/>
      </c>
      <c r="C432">
        <f>IF(I432="","",TEXT(I432,"YYYY-MM"))</f>
        <v/>
      </c>
      <c r="K432">
        <f>IF(OR(I432="",J432=""),"",J432-I432)</f>
        <v/>
      </c>
      <c r="N432">
        <f>IF(F432="","",IFERROR(VLOOKUP(F432,lst_PropTauxLookup,2,0),""))</f>
        <v/>
      </c>
      <c r="O432">
        <f>IF(F432="","",IF(ISNUMBER(IFERROR(VLOOKUP(F432,lst_PropTauxLookup,2,0),"")),"REF_PROPRIETAIRE","A_CONTROLER"))</f>
        <v/>
      </c>
      <c r="Q432">
        <f>IF(OR(L432="",N432=""),"",IFERROR((L432-IF(M432="",0,M432))*N432,0))</f>
        <v/>
      </c>
      <c r="V432">
        <f>IF(L432="","",L432-IF(M432="",0,M432)-IF(Q432="",0,Q432)-IF(T432="",0,T432))</f>
        <v/>
      </c>
      <c r="Y432">
        <f>IF(W432="IC","OUI",IF(W432="HC","OUI",IF(W432="HR","NON","A_CONTROLER")))</f>
        <v/>
      </c>
      <c r="Z432">
        <f>IF(W432="IC","OUI",IF(W432="HC","NON",IF(W432="HR","NON","A_CONTROLER")))</f>
        <v/>
      </c>
    </row>
    <row r="433">
      <c r="B433">
        <f>IF(A433="","",A433&amp;"|"&amp;D433&amp;"|"&amp;F433&amp;"|"&amp;G433&amp;"|"&amp;TEXT(I433,"YYYYMMDD")&amp;"|"&amp;TEXT(L433,"0.00"))</f>
        <v/>
      </c>
      <c r="C433">
        <f>IF(I433="","",TEXT(I433,"YYYY-MM"))</f>
        <v/>
      </c>
      <c r="K433">
        <f>IF(OR(I433="",J433=""),"",J433-I433)</f>
        <v/>
      </c>
      <c r="N433">
        <f>IF(F433="","",IFERROR(VLOOKUP(F433,lst_PropTauxLookup,2,0),""))</f>
        <v/>
      </c>
      <c r="O433">
        <f>IF(F433="","",IF(ISNUMBER(IFERROR(VLOOKUP(F433,lst_PropTauxLookup,2,0),"")),"REF_PROPRIETAIRE","A_CONTROLER"))</f>
        <v/>
      </c>
      <c r="Q433">
        <f>IF(OR(L433="",N433=""),"",IFERROR((L433-IF(M433="",0,M433))*N433,0))</f>
        <v/>
      </c>
      <c r="V433">
        <f>IF(L433="","",L433-IF(M433="",0,M433)-IF(Q433="",0,Q433)-IF(T433="",0,T433))</f>
        <v/>
      </c>
      <c r="Y433">
        <f>IF(W433="IC","OUI",IF(W433="HC","OUI",IF(W433="HR","NON","A_CONTROLER")))</f>
        <v/>
      </c>
      <c r="Z433">
        <f>IF(W433="IC","OUI",IF(W433="HC","NON",IF(W433="HR","NON","A_CONTROLER")))</f>
        <v/>
      </c>
    </row>
    <row r="434">
      <c r="B434">
        <f>IF(A434="","",A434&amp;"|"&amp;D434&amp;"|"&amp;F434&amp;"|"&amp;G434&amp;"|"&amp;TEXT(I434,"YYYYMMDD")&amp;"|"&amp;TEXT(L434,"0.00"))</f>
        <v/>
      </c>
      <c r="C434">
        <f>IF(I434="","",TEXT(I434,"YYYY-MM"))</f>
        <v/>
      </c>
      <c r="K434">
        <f>IF(OR(I434="",J434=""),"",J434-I434)</f>
        <v/>
      </c>
      <c r="N434">
        <f>IF(F434="","",IFERROR(VLOOKUP(F434,lst_PropTauxLookup,2,0),""))</f>
        <v/>
      </c>
      <c r="O434">
        <f>IF(F434="","",IF(ISNUMBER(IFERROR(VLOOKUP(F434,lst_PropTauxLookup,2,0),"")),"REF_PROPRIETAIRE","A_CONTROLER"))</f>
        <v/>
      </c>
      <c r="Q434">
        <f>IF(OR(L434="",N434=""),"",IFERROR((L434-IF(M434="",0,M434))*N434,0))</f>
        <v/>
      </c>
      <c r="V434">
        <f>IF(L434="","",L434-IF(M434="",0,M434)-IF(Q434="",0,Q434)-IF(T434="",0,T434))</f>
        <v/>
      </c>
      <c r="Y434">
        <f>IF(W434="IC","OUI",IF(W434="HC","OUI",IF(W434="HR","NON","A_CONTROLER")))</f>
        <v/>
      </c>
      <c r="Z434">
        <f>IF(W434="IC","OUI",IF(W434="HC","NON",IF(W434="HR","NON","A_CONTROLER")))</f>
        <v/>
      </c>
    </row>
    <row r="435">
      <c r="B435">
        <f>IF(A435="","",A435&amp;"|"&amp;D435&amp;"|"&amp;F435&amp;"|"&amp;G435&amp;"|"&amp;TEXT(I435,"YYYYMMDD")&amp;"|"&amp;TEXT(L435,"0.00"))</f>
        <v/>
      </c>
      <c r="C435">
        <f>IF(I435="","",TEXT(I435,"YYYY-MM"))</f>
        <v/>
      </c>
      <c r="K435">
        <f>IF(OR(I435="",J435=""),"",J435-I435)</f>
        <v/>
      </c>
      <c r="N435">
        <f>IF(F435="","",IFERROR(VLOOKUP(F435,lst_PropTauxLookup,2,0),""))</f>
        <v/>
      </c>
      <c r="O435">
        <f>IF(F435="","",IF(ISNUMBER(IFERROR(VLOOKUP(F435,lst_PropTauxLookup,2,0),"")),"REF_PROPRIETAIRE","A_CONTROLER"))</f>
        <v/>
      </c>
      <c r="Q435">
        <f>IF(OR(L435="",N435=""),"",IFERROR((L435-IF(M435="",0,M435))*N435,0))</f>
        <v/>
      </c>
      <c r="V435">
        <f>IF(L435="","",L435-IF(M435="",0,M435)-IF(Q435="",0,Q435)-IF(T435="",0,T435))</f>
        <v/>
      </c>
      <c r="Y435">
        <f>IF(W435="IC","OUI",IF(W435="HC","OUI",IF(W435="HR","NON","A_CONTROLER")))</f>
        <v/>
      </c>
      <c r="Z435">
        <f>IF(W435="IC","OUI",IF(W435="HC","NON",IF(W435="HR","NON","A_CONTROLER")))</f>
        <v/>
      </c>
    </row>
    <row r="436">
      <c r="B436">
        <f>IF(A436="","",A436&amp;"|"&amp;D436&amp;"|"&amp;F436&amp;"|"&amp;G436&amp;"|"&amp;TEXT(I436,"YYYYMMDD")&amp;"|"&amp;TEXT(L436,"0.00"))</f>
        <v/>
      </c>
      <c r="C436">
        <f>IF(I436="","",TEXT(I436,"YYYY-MM"))</f>
        <v/>
      </c>
      <c r="K436">
        <f>IF(OR(I436="",J436=""),"",J436-I436)</f>
        <v/>
      </c>
      <c r="N436">
        <f>IF(F436="","",IFERROR(VLOOKUP(F436,lst_PropTauxLookup,2,0),""))</f>
        <v/>
      </c>
      <c r="O436">
        <f>IF(F436="","",IF(ISNUMBER(IFERROR(VLOOKUP(F436,lst_PropTauxLookup,2,0),"")),"REF_PROPRIETAIRE","A_CONTROLER"))</f>
        <v/>
      </c>
      <c r="Q436">
        <f>IF(OR(L436="",N436=""),"",IFERROR((L436-IF(M436="",0,M436))*N436,0))</f>
        <v/>
      </c>
      <c r="V436">
        <f>IF(L436="","",L436-IF(M436="",0,M436)-IF(Q436="",0,Q436)-IF(T436="",0,T436))</f>
        <v/>
      </c>
      <c r="Y436">
        <f>IF(W436="IC","OUI",IF(W436="HC","OUI",IF(W436="HR","NON","A_CONTROLER")))</f>
        <v/>
      </c>
      <c r="Z436">
        <f>IF(W436="IC","OUI",IF(W436="HC","NON",IF(W436="HR","NON","A_CONTROLER")))</f>
        <v/>
      </c>
    </row>
    <row r="437">
      <c r="B437">
        <f>IF(A437="","",A437&amp;"|"&amp;D437&amp;"|"&amp;F437&amp;"|"&amp;G437&amp;"|"&amp;TEXT(I437,"YYYYMMDD")&amp;"|"&amp;TEXT(L437,"0.00"))</f>
        <v/>
      </c>
      <c r="C437">
        <f>IF(I437="","",TEXT(I437,"YYYY-MM"))</f>
        <v/>
      </c>
      <c r="K437">
        <f>IF(OR(I437="",J437=""),"",J437-I437)</f>
        <v/>
      </c>
      <c r="N437">
        <f>IF(F437="","",IFERROR(VLOOKUP(F437,lst_PropTauxLookup,2,0),""))</f>
        <v/>
      </c>
      <c r="O437">
        <f>IF(F437="","",IF(ISNUMBER(IFERROR(VLOOKUP(F437,lst_PropTauxLookup,2,0),"")),"REF_PROPRIETAIRE","A_CONTROLER"))</f>
        <v/>
      </c>
      <c r="Q437">
        <f>IF(OR(L437="",N437=""),"",IFERROR((L437-IF(M437="",0,M437))*N437,0))</f>
        <v/>
      </c>
      <c r="V437">
        <f>IF(L437="","",L437-IF(M437="",0,M437)-IF(Q437="",0,Q437)-IF(T437="",0,T437))</f>
        <v/>
      </c>
      <c r="Y437">
        <f>IF(W437="IC","OUI",IF(W437="HC","OUI",IF(W437="HR","NON","A_CONTROLER")))</f>
        <v/>
      </c>
      <c r="Z437">
        <f>IF(W437="IC","OUI",IF(W437="HC","NON",IF(W437="HR","NON","A_CONTROLER")))</f>
        <v/>
      </c>
    </row>
    <row r="438">
      <c r="B438">
        <f>IF(A438="","",A438&amp;"|"&amp;D438&amp;"|"&amp;F438&amp;"|"&amp;G438&amp;"|"&amp;TEXT(I438,"YYYYMMDD")&amp;"|"&amp;TEXT(L438,"0.00"))</f>
        <v/>
      </c>
      <c r="C438">
        <f>IF(I438="","",TEXT(I438,"YYYY-MM"))</f>
        <v/>
      </c>
      <c r="K438">
        <f>IF(OR(I438="",J438=""),"",J438-I438)</f>
        <v/>
      </c>
      <c r="N438">
        <f>IF(F438="","",IFERROR(VLOOKUP(F438,lst_PropTauxLookup,2,0),""))</f>
        <v/>
      </c>
      <c r="O438">
        <f>IF(F438="","",IF(ISNUMBER(IFERROR(VLOOKUP(F438,lst_PropTauxLookup,2,0),"")),"REF_PROPRIETAIRE","A_CONTROLER"))</f>
        <v/>
      </c>
      <c r="Q438">
        <f>IF(OR(L438="",N438=""),"",IFERROR((L438-IF(M438="",0,M438))*N438,0))</f>
        <v/>
      </c>
      <c r="V438">
        <f>IF(L438="","",L438-IF(M438="",0,M438)-IF(Q438="",0,Q438)-IF(T438="",0,T438))</f>
        <v/>
      </c>
      <c r="Y438">
        <f>IF(W438="IC","OUI",IF(W438="HC","OUI",IF(W438="HR","NON","A_CONTROLER")))</f>
        <v/>
      </c>
      <c r="Z438">
        <f>IF(W438="IC","OUI",IF(W438="HC","NON",IF(W438="HR","NON","A_CONTROLER")))</f>
        <v/>
      </c>
    </row>
    <row r="439">
      <c r="B439">
        <f>IF(A439="","",A439&amp;"|"&amp;D439&amp;"|"&amp;F439&amp;"|"&amp;G439&amp;"|"&amp;TEXT(I439,"YYYYMMDD")&amp;"|"&amp;TEXT(L439,"0.00"))</f>
        <v/>
      </c>
      <c r="C439">
        <f>IF(I439="","",TEXT(I439,"YYYY-MM"))</f>
        <v/>
      </c>
      <c r="K439">
        <f>IF(OR(I439="",J439=""),"",J439-I439)</f>
        <v/>
      </c>
      <c r="N439">
        <f>IF(F439="","",IFERROR(VLOOKUP(F439,lst_PropTauxLookup,2,0),""))</f>
        <v/>
      </c>
      <c r="O439">
        <f>IF(F439="","",IF(ISNUMBER(IFERROR(VLOOKUP(F439,lst_PropTauxLookup,2,0),"")),"REF_PROPRIETAIRE","A_CONTROLER"))</f>
        <v/>
      </c>
      <c r="Q439">
        <f>IF(OR(L439="",N439=""),"",IFERROR((L439-IF(M439="",0,M439))*N439,0))</f>
        <v/>
      </c>
      <c r="V439">
        <f>IF(L439="","",L439-IF(M439="",0,M439)-IF(Q439="",0,Q439)-IF(T439="",0,T439))</f>
        <v/>
      </c>
      <c r="Y439">
        <f>IF(W439="IC","OUI",IF(W439="HC","OUI",IF(W439="HR","NON","A_CONTROLER")))</f>
        <v/>
      </c>
      <c r="Z439">
        <f>IF(W439="IC","OUI",IF(W439="HC","NON",IF(W439="HR","NON","A_CONTROLER")))</f>
        <v/>
      </c>
    </row>
    <row r="440">
      <c r="B440">
        <f>IF(A440="","",A440&amp;"|"&amp;D440&amp;"|"&amp;F440&amp;"|"&amp;G440&amp;"|"&amp;TEXT(I440,"YYYYMMDD")&amp;"|"&amp;TEXT(L440,"0.00"))</f>
        <v/>
      </c>
      <c r="C440">
        <f>IF(I440="","",TEXT(I440,"YYYY-MM"))</f>
        <v/>
      </c>
      <c r="K440">
        <f>IF(OR(I440="",J440=""),"",J440-I440)</f>
        <v/>
      </c>
      <c r="N440">
        <f>IF(F440="","",IFERROR(VLOOKUP(F440,lst_PropTauxLookup,2,0),""))</f>
        <v/>
      </c>
      <c r="O440">
        <f>IF(F440="","",IF(ISNUMBER(IFERROR(VLOOKUP(F440,lst_PropTauxLookup,2,0),"")),"REF_PROPRIETAIRE","A_CONTROLER"))</f>
        <v/>
      </c>
      <c r="Q440">
        <f>IF(OR(L440="",N440=""),"",IFERROR((L440-IF(M440="",0,M440))*N440,0))</f>
        <v/>
      </c>
      <c r="V440">
        <f>IF(L440="","",L440-IF(M440="",0,M440)-IF(Q440="",0,Q440)-IF(T440="",0,T440))</f>
        <v/>
      </c>
      <c r="Y440">
        <f>IF(W440="IC","OUI",IF(W440="HC","OUI",IF(W440="HR","NON","A_CONTROLER")))</f>
        <v/>
      </c>
      <c r="Z440">
        <f>IF(W440="IC","OUI",IF(W440="HC","NON",IF(W440="HR","NON","A_CONTROLER")))</f>
        <v/>
      </c>
    </row>
    <row r="441">
      <c r="B441">
        <f>IF(A441="","",A441&amp;"|"&amp;D441&amp;"|"&amp;F441&amp;"|"&amp;G441&amp;"|"&amp;TEXT(I441,"YYYYMMDD")&amp;"|"&amp;TEXT(L441,"0.00"))</f>
        <v/>
      </c>
      <c r="C441">
        <f>IF(I441="","",TEXT(I441,"YYYY-MM"))</f>
        <v/>
      </c>
      <c r="K441">
        <f>IF(OR(I441="",J441=""),"",J441-I441)</f>
        <v/>
      </c>
      <c r="N441">
        <f>IF(F441="","",IFERROR(VLOOKUP(F441,lst_PropTauxLookup,2,0),""))</f>
        <v/>
      </c>
      <c r="O441">
        <f>IF(F441="","",IF(ISNUMBER(IFERROR(VLOOKUP(F441,lst_PropTauxLookup,2,0),"")),"REF_PROPRIETAIRE","A_CONTROLER"))</f>
        <v/>
      </c>
      <c r="Q441">
        <f>IF(OR(L441="",N441=""),"",IFERROR((L441-IF(M441="",0,M441))*N441,0))</f>
        <v/>
      </c>
      <c r="V441">
        <f>IF(L441="","",L441-IF(M441="",0,M441)-IF(Q441="",0,Q441)-IF(T441="",0,T441))</f>
        <v/>
      </c>
      <c r="Y441">
        <f>IF(W441="IC","OUI",IF(W441="HC","OUI",IF(W441="HR","NON","A_CONTROLER")))</f>
        <v/>
      </c>
      <c r="Z441">
        <f>IF(W441="IC","OUI",IF(W441="HC","NON",IF(W441="HR","NON","A_CONTROLER")))</f>
        <v/>
      </c>
    </row>
    <row r="442">
      <c r="B442">
        <f>IF(A442="","",A442&amp;"|"&amp;D442&amp;"|"&amp;F442&amp;"|"&amp;G442&amp;"|"&amp;TEXT(I442,"YYYYMMDD")&amp;"|"&amp;TEXT(L442,"0.00"))</f>
        <v/>
      </c>
      <c r="C442">
        <f>IF(I442="","",TEXT(I442,"YYYY-MM"))</f>
        <v/>
      </c>
      <c r="K442">
        <f>IF(OR(I442="",J442=""),"",J442-I442)</f>
        <v/>
      </c>
      <c r="N442">
        <f>IF(F442="","",IFERROR(VLOOKUP(F442,lst_PropTauxLookup,2,0),""))</f>
        <v/>
      </c>
      <c r="O442">
        <f>IF(F442="","",IF(ISNUMBER(IFERROR(VLOOKUP(F442,lst_PropTauxLookup,2,0),"")),"REF_PROPRIETAIRE","A_CONTROLER"))</f>
        <v/>
      </c>
      <c r="Q442">
        <f>IF(OR(L442="",N442=""),"",IFERROR((L442-IF(M442="",0,M442))*N442,0))</f>
        <v/>
      </c>
      <c r="V442">
        <f>IF(L442="","",L442-IF(M442="",0,M442)-IF(Q442="",0,Q442)-IF(T442="",0,T442))</f>
        <v/>
      </c>
      <c r="Y442">
        <f>IF(W442="IC","OUI",IF(W442="HC","OUI",IF(W442="HR","NON","A_CONTROLER")))</f>
        <v/>
      </c>
      <c r="Z442">
        <f>IF(W442="IC","OUI",IF(W442="HC","NON",IF(W442="HR","NON","A_CONTROLER")))</f>
        <v/>
      </c>
    </row>
    <row r="443">
      <c r="B443">
        <f>IF(A443="","",A443&amp;"|"&amp;D443&amp;"|"&amp;F443&amp;"|"&amp;G443&amp;"|"&amp;TEXT(I443,"YYYYMMDD")&amp;"|"&amp;TEXT(L443,"0.00"))</f>
        <v/>
      </c>
      <c r="C443">
        <f>IF(I443="","",TEXT(I443,"YYYY-MM"))</f>
        <v/>
      </c>
      <c r="K443">
        <f>IF(OR(I443="",J443=""),"",J443-I443)</f>
        <v/>
      </c>
      <c r="N443">
        <f>IF(F443="","",IFERROR(VLOOKUP(F443,lst_PropTauxLookup,2,0),""))</f>
        <v/>
      </c>
      <c r="O443">
        <f>IF(F443="","",IF(ISNUMBER(IFERROR(VLOOKUP(F443,lst_PropTauxLookup,2,0),"")),"REF_PROPRIETAIRE","A_CONTROLER"))</f>
        <v/>
      </c>
      <c r="Q443">
        <f>IF(OR(L443="",N443=""),"",IFERROR((L443-IF(M443="",0,M443))*N443,0))</f>
        <v/>
      </c>
      <c r="V443">
        <f>IF(L443="","",L443-IF(M443="",0,M443)-IF(Q443="",0,Q443)-IF(T443="",0,T443))</f>
        <v/>
      </c>
      <c r="Y443">
        <f>IF(W443="IC","OUI",IF(W443="HC","OUI",IF(W443="HR","NON","A_CONTROLER")))</f>
        <v/>
      </c>
      <c r="Z443">
        <f>IF(W443="IC","OUI",IF(W443="HC","NON",IF(W443="HR","NON","A_CONTROLER")))</f>
        <v/>
      </c>
    </row>
    <row r="444">
      <c r="B444">
        <f>IF(A444="","",A444&amp;"|"&amp;D444&amp;"|"&amp;F444&amp;"|"&amp;G444&amp;"|"&amp;TEXT(I444,"YYYYMMDD")&amp;"|"&amp;TEXT(L444,"0.00"))</f>
        <v/>
      </c>
      <c r="C444">
        <f>IF(I444="","",TEXT(I444,"YYYY-MM"))</f>
        <v/>
      </c>
      <c r="K444">
        <f>IF(OR(I444="",J444=""),"",J444-I444)</f>
        <v/>
      </c>
      <c r="N444">
        <f>IF(F444="","",IFERROR(VLOOKUP(F444,lst_PropTauxLookup,2,0),""))</f>
        <v/>
      </c>
      <c r="O444">
        <f>IF(F444="","",IF(ISNUMBER(IFERROR(VLOOKUP(F444,lst_PropTauxLookup,2,0),"")),"REF_PROPRIETAIRE","A_CONTROLER"))</f>
        <v/>
      </c>
      <c r="Q444">
        <f>IF(OR(L444="",N444=""),"",IFERROR((L444-IF(M444="",0,M444))*N444,0))</f>
        <v/>
      </c>
      <c r="V444">
        <f>IF(L444="","",L444-IF(M444="",0,M444)-IF(Q444="",0,Q444)-IF(T444="",0,T444))</f>
        <v/>
      </c>
      <c r="Y444">
        <f>IF(W444="IC","OUI",IF(W444="HC","OUI",IF(W444="HR","NON","A_CONTROLER")))</f>
        <v/>
      </c>
      <c r="Z444">
        <f>IF(W444="IC","OUI",IF(W444="HC","NON",IF(W444="HR","NON","A_CONTROLER")))</f>
        <v/>
      </c>
    </row>
    <row r="445">
      <c r="B445">
        <f>IF(A445="","",A445&amp;"|"&amp;D445&amp;"|"&amp;F445&amp;"|"&amp;G445&amp;"|"&amp;TEXT(I445,"YYYYMMDD")&amp;"|"&amp;TEXT(L445,"0.00"))</f>
        <v/>
      </c>
      <c r="C445">
        <f>IF(I445="","",TEXT(I445,"YYYY-MM"))</f>
        <v/>
      </c>
      <c r="K445">
        <f>IF(OR(I445="",J445=""),"",J445-I445)</f>
        <v/>
      </c>
      <c r="N445">
        <f>IF(F445="","",IFERROR(VLOOKUP(F445,lst_PropTauxLookup,2,0),""))</f>
        <v/>
      </c>
      <c r="O445">
        <f>IF(F445="","",IF(ISNUMBER(IFERROR(VLOOKUP(F445,lst_PropTauxLookup,2,0),"")),"REF_PROPRIETAIRE","A_CONTROLER"))</f>
        <v/>
      </c>
      <c r="Q445">
        <f>IF(OR(L445="",N445=""),"",IFERROR((L445-IF(M445="",0,M445))*N445,0))</f>
        <v/>
      </c>
      <c r="V445">
        <f>IF(L445="","",L445-IF(M445="",0,M445)-IF(Q445="",0,Q445)-IF(T445="",0,T445))</f>
        <v/>
      </c>
      <c r="Y445">
        <f>IF(W445="IC","OUI",IF(W445="HC","OUI",IF(W445="HR","NON","A_CONTROLER")))</f>
        <v/>
      </c>
      <c r="Z445">
        <f>IF(W445="IC","OUI",IF(W445="HC","NON",IF(W445="HR","NON","A_CONTROLER")))</f>
        <v/>
      </c>
    </row>
    <row r="446">
      <c r="B446">
        <f>IF(A446="","",A446&amp;"|"&amp;D446&amp;"|"&amp;F446&amp;"|"&amp;G446&amp;"|"&amp;TEXT(I446,"YYYYMMDD")&amp;"|"&amp;TEXT(L446,"0.00"))</f>
        <v/>
      </c>
      <c r="C446">
        <f>IF(I446="","",TEXT(I446,"YYYY-MM"))</f>
        <v/>
      </c>
      <c r="K446">
        <f>IF(OR(I446="",J446=""),"",J446-I446)</f>
        <v/>
      </c>
      <c r="N446">
        <f>IF(F446="","",IFERROR(VLOOKUP(F446,lst_PropTauxLookup,2,0),""))</f>
        <v/>
      </c>
      <c r="O446">
        <f>IF(F446="","",IF(ISNUMBER(IFERROR(VLOOKUP(F446,lst_PropTauxLookup,2,0),"")),"REF_PROPRIETAIRE","A_CONTROLER"))</f>
        <v/>
      </c>
      <c r="Q446">
        <f>IF(OR(L446="",N446=""),"",IFERROR((L446-IF(M446="",0,M446))*N446,0))</f>
        <v/>
      </c>
      <c r="V446">
        <f>IF(L446="","",L446-IF(M446="",0,M446)-IF(Q446="",0,Q446)-IF(T446="",0,T446))</f>
        <v/>
      </c>
      <c r="Y446">
        <f>IF(W446="IC","OUI",IF(W446="HC","OUI",IF(W446="HR","NON","A_CONTROLER")))</f>
        <v/>
      </c>
      <c r="Z446">
        <f>IF(W446="IC","OUI",IF(W446="HC","NON",IF(W446="HR","NON","A_CONTROLER")))</f>
        <v/>
      </c>
    </row>
    <row r="447">
      <c r="B447">
        <f>IF(A447="","",A447&amp;"|"&amp;D447&amp;"|"&amp;F447&amp;"|"&amp;G447&amp;"|"&amp;TEXT(I447,"YYYYMMDD")&amp;"|"&amp;TEXT(L447,"0.00"))</f>
        <v/>
      </c>
      <c r="C447">
        <f>IF(I447="","",TEXT(I447,"YYYY-MM"))</f>
        <v/>
      </c>
      <c r="K447">
        <f>IF(OR(I447="",J447=""),"",J447-I447)</f>
        <v/>
      </c>
      <c r="N447">
        <f>IF(F447="","",IFERROR(VLOOKUP(F447,lst_PropTauxLookup,2,0),""))</f>
        <v/>
      </c>
      <c r="O447">
        <f>IF(F447="","",IF(ISNUMBER(IFERROR(VLOOKUP(F447,lst_PropTauxLookup,2,0),"")),"REF_PROPRIETAIRE","A_CONTROLER"))</f>
        <v/>
      </c>
      <c r="Q447">
        <f>IF(OR(L447="",N447=""),"",IFERROR((L447-IF(M447="",0,M447))*N447,0))</f>
        <v/>
      </c>
      <c r="V447">
        <f>IF(L447="","",L447-IF(M447="",0,M447)-IF(Q447="",0,Q447)-IF(T447="",0,T447))</f>
        <v/>
      </c>
      <c r="Y447">
        <f>IF(W447="IC","OUI",IF(W447="HC","OUI",IF(W447="HR","NON","A_CONTROLER")))</f>
        <v/>
      </c>
      <c r="Z447">
        <f>IF(W447="IC","OUI",IF(W447="HC","NON",IF(W447="HR","NON","A_CONTROLER")))</f>
        <v/>
      </c>
    </row>
    <row r="448">
      <c r="B448">
        <f>IF(A448="","",A448&amp;"|"&amp;D448&amp;"|"&amp;F448&amp;"|"&amp;G448&amp;"|"&amp;TEXT(I448,"YYYYMMDD")&amp;"|"&amp;TEXT(L448,"0.00"))</f>
        <v/>
      </c>
      <c r="C448">
        <f>IF(I448="","",TEXT(I448,"YYYY-MM"))</f>
        <v/>
      </c>
      <c r="K448">
        <f>IF(OR(I448="",J448=""),"",J448-I448)</f>
        <v/>
      </c>
      <c r="N448">
        <f>IF(F448="","",IFERROR(VLOOKUP(F448,lst_PropTauxLookup,2,0),""))</f>
        <v/>
      </c>
      <c r="O448">
        <f>IF(F448="","",IF(ISNUMBER(IFERROR(VLOOKUP(F448,lst_PropTauxLookup,2,0),"")),"REF_PROPRIETAIRE","A_CONTROLER"))</f>
        <v/>
      </c>
      <c r="Q448">
        <f>IF(OR(L448="",N448=""),"",IFERROR((L448-IF(M448="",0,M448))*N448,0))</f>
        <v/>
      </c>
      <c r="V448">
        <f>IF(L448="","",L448-IF(M448="",0,M448)-IF(Q448="",0,Q448)-IF(T448="",0,T448))</f>
        <v/>
      </c>
      <c r="Y448">
        <f>IF(W448="IC","OUI",IF(W448="HC","OUI",IF(W448="HR","NON","A_CONTROLER")))</f>
        <v/>
      </c>
      <c r="Z448">
        <f>IF(W448="IC","OUI",IF(W448="HC","NON",IF(W448="HR","NON","A_CONTROLER")))</f>
        <v/>
      </c>
    </row>
    <row r="449">
      <c r="B449">
        <f>IF(A449="","",A449&amp;"|"&amp;D449&amp;"|"&amp;F449&amp;"|"&amp;G449&amp;"|"&amp;TEXT(I449,"YYYYMMDD")&amp;"|"&amp;TEXT(L449,"0.00"))</f>
        <v/>
      </c>
      <c r="C449">
        <f>IF(I449="","",TEXT(I449,"YYYY-MM"))</f>
        <v/>
      </c>
      <c r="K449">
        <f>IF(OR(I449="",J449=""),"",J449-I449)</f>
        <v/>
      </c>
      <c r="N449">
        <f>IF(F449="","",IFERROR(VLOOKUP(F449,lst_PropTauxLookup,2,0),""))</f>
        <v/>
      </c>
      <c r="O449">
        <f>IF(F449="","",IF(ISNUMBER(IFERROR(VLOOKUP(F449,lst_PropTauxLookup,2,0),"")),"REF_PROPRIETAIRE","A_CONTROLER"))</f>
        <v/>
      </c>
      <c r="Q449">
        <f>IF(OR(L449="",N449=""),"",IFERROR((L449-IF(M449="",0,M449))*N449,0))</f>
        <v/>
      </c>
      <c r="V449">
        <f>IF(L449="","",L449-IF(M449="",0,M449)-IF(Q449="",0,Q449)-IF(T449="",0,T449))</f>
        <v/>
      </c>
      <c r="Y449">
        <f>IF(W449="IC","OUI",IF(W449="HC","OUI",IF(W449="HR","NON","A_CONTROLER")))</f>
        <v/>
      </c>
      <c r="Z449">
        <f>IF(W449="IC","OUI",IF(W449="HC","NON",IF(W449="HR","NON","A_CONTROLER")))</f>
        <v/>
      </c>
    </row>
    <row r="450">
      <c r="B450">
        <f>IF(A450="","",A450&amp;"|"&amp;D450&amp;"|"&amp;F450&amp;"|"&amp;G450&amp;"|"&amp;TEXT(I450,"YYYYMMDD")&amp;"|"&amp;TEXT(L450,"0.00"))</f>
        <v/>
      </c>
      <c r="C450">
        <f>IF(I450="","",TEXT(I450,"YYYY-MM"))</f>
        <v/>
      </c>
      <c r="K450">
        <f>IF(OR(I450="",J450=""),"",J450-I450)</f>
        <v/>
      </c>
      <c r="N450">
        <f>IF(F450="","",IFERROR(VLOOKUP(F450,lst_PropTauxLookup,2,0),""))</f>
        <v/>
      </c>
      <c r="O450">
        <f>IF(F450="","",IF(ISNUMBER(IFERROR(VLOOKUP(F450,lst_PropTauxLookup,2,0),"")),"REF_PROPRIETAIRE","A_CONTROLER"))</f>
        <v/>
      </c>
      <c r="Q450">
        <f>IF(OR(L450="",N450=""),"",IFERROR((L450-IF(M450="",0,M450))*N450,0))</f>
        <v/>
      </c>
      <c r="V450">
        <f>IF(L450="","",L450-IF(M450="",0,M450)-IF(Q450="",0,Q450)-IF(T450="",0,T450))</f>
        <v/>
      </c>
      <c r="Y450">
        <f>IF(W450="IC","OUI",IF(W450="HC","OUI",IF(W450="HR","NON","A_CONTROLER")))</f>
        <v/>
      </c>
      <c r="Z450">
        <f>IF(W450="IC","OUI",IF(W450="HC","NON",IF(W450="HR","NON","A_CONTROLER")))</f>
        <v/>
      </c>
    </row>
    <row r="451">
      <c r="B451">
        <f>IF(A451="","",A451&amp;"|"&amp;D451&amp;"|"&amp;F451&amp;"|"&amp;G451&amp;"|"&amp;TEXT(I451,"YYYYMMDD")&amp;"|"&amp;TEXT(L451,"0.00"))</f>
        <v/>
      </c>
      <c r="C451">
        <f>IF(I451="","",TEXT(I451,"YYYY-MM"))</f>
        <v/>
      </c>
      <c r="K451">
        <f>IF(OR(I451="",J451=""),"",J451-I451)</f>
        <v/>
      </c>
      <c r="N451">
        <f>IF(F451="","",IFERROR(VLOOKUP(F451,lst_PropTauxLookup,2,0),""))</f>
        <v/>
      </c>
      <c r="O451">
        <f>IF(F451="","",IF(ISNUMBER(IFERROR(VLOOKUP(F451,lst_PropTauxLookup,2,0),"")),"REF_PROPRIETAIRE","A_CONTROLER"))</f>
        <v/>
      </c>
      <c r="Q451">
        <f>IF(OR(L451="",N451=""),"",IFERROR((L451-IF(M451="",0,M451))*N451,0))</f>
        <v/>
      </c>
      <c r="V451">
        <f>IF(L451="","",L451-IF(M451="",0,M451)-IF(Q451="",0,Q451)-IF(T451="",0,T451))</f>
        <v/>
      </c>
      <c r="Y451">
        <f>IF(W451="IC","OUI",IF(W451="HC","OUI",IF(W451="HR","NON","A_CONTROLER")))</f>
        <v/>
      </c>
      <c r="Z451">
        <f>IF(W451="IC","OUI",IF(W451="HC","NON",IF(W451="HR","NON","A_CONTROLER")))</f>
        <v/>
      </c>
    </row>
    <row r="452">
      <c r="B452">
        <f>IF(A452="","",A452&amp;"|"&amp;D452&amp;"|"&amp;F452&amp;"|"&amp;G452&amp;"|"&amp;TEXT(I452,"YYYYMMDD")&amp;"|"&amp;TEXT(L452,"0.00"))</f>
        <v/>
      </c>
      <c r="C452">
        <f>IF(I452="","",TEXT(I452,"YYYY-MM"))</f>
        <v/>
      </c>
      <c r="K452">
        <f>IF(OR(I452="",J452=""),"",J452-I452)</f>
        <v/>
      </c>
      <c r="N452">
        <f>IF(F452="","",IFERROR(VLOOKUP(F452,lst_PropTauxLookup,2,0),""))</f>
        <v/>
      </c>
      <c r="O452">
        <f>IF(F452="","",IF(ISNUMBER(IFERROR(VLOOKUP(F452,lst_PropTauxLookup,2,0),"")),"REF_PROPRIETAIRE","A_CONTROLER"))</f>
        <v/>
      </c>
      <c r="Q452">
        <f>IF(OR(L452="",N452=""),"",IFERROR((L452-IF(M452="",0,M452))*N452,0))</f>
        <v/>
      </c>
      <c r="V452">
        <f>IF(L452="","",L452-IF(M452="",0,M452)-IF(Q452="",0,Q452)-IF(T452="",0,T452))</f>
        <v/>
      </c>
      <c r="Y452">
        <f>IF(W452="IC","OUI",IF(W452="HC","OUI",IF(W452="HR","NON","A_CONTROLER")))</f>
        <v/>
      </c>
      <c r="Z452">
        <f>IF(W452="IC","OUI",IF(W452="HC","NON",IF(W452="HR","NON","A_CONTROLER")))</f>
        <v/>
      </c>
    </row>
    <row r="453">
      <c r="B453">
        <f>IF(A453="","",A453&amp;"|"&amp;D453&amp;"|"&amp;F453&amp;"|"&amp;G453&amp;"|"&amp;TEXT(I453,"YYYYMMDD")&amp;"|"&amp;TEXT(L453,"0.00"))</f>
        <v/>
      </c>
      <c r="C453">
        <f>IF(I453="","",TEXT(I453,"YYYY-MM"))</f>
        <v/>
      </c>
      <c r="K453">
        <f>IF(OR(I453="",J453=""),"",J453-I453)</f>
        <v/>
      </c>
      <c r="N453">
        <f>IF(F453="","",IFERROR(VLOOKUP(F453,lst_PropTauxLookup,2,0),""))</f>
        <v/>
      </c>
      <c r="O453">
        <f>IF(F453="","",IF(ISNUMBER(IFERROR(VLOOKUP(F453,lst_PropTauxLookup,2,0),"")),"REF_PROPRIETAIRE","A_CONTROLER"))</f>
        <v/>
      </c>
      <c r="Q453">
        <f>IF(OR(L453="",N453=""),"",IFERROR((L453-IF(M453="",0,M453))*N453,0))</f>
        <v/>
      </c>
      <c r="V453">
        <f>IF(L453="","",L453-IF(M453="",0,M453)-IF(Q453="",0,Q453)-IF(T453="",0,T453))</f>
        <v/>
      </c>
      <c r="Y453">
        <f>IF(W453="IC","OUI",IF(W453="HC","OUI",IF(W453="HR","NON","A_CONTROLER")))</f>
        <v/>
      </c>
      <c r="Z453">
        <f>IF(W453="IC","OUI",IF(W453="HC","NON",IF(W453="HR","NON","A_CONTROLER")))</f>
        <v/>
      </c>
    </row>
    <row r="454">
      <c r="B454">
        <f>IF(A454="","",A454&amp;"|"&amp;D454&amp;"|"&amp;F454&amp;"|"&amp;G454&amp;"|"&amp;TEXT(I454,"YYYYMMDD")&amp;"|"&amp;TEXT(L454,"0.00"))</f>
        <v/>
      </c>
      <c r="C454">
        <f>IF(I454="","",TEXT(I454,"YYYY-MM"))</f>
        <v/>
      </c>
      <c r="K454">
        <f>IF(OR(I454="",J454=""),"",J454-I454)</f>
        <v/>
      </c>
      <c r="N454">
        <f>IF(F454="","",IFERROR(VLOOKUP(F454,lst_PropTauxLookup,2,0),""))</f>
        <v/>
      </c>
      <c r="O454">
        <f>IF(F454="","",IF(ISNUMBER(IFERROR(VLOOKUP(F454,lst_PropTauxLookup,2,0),"")),"REF_PROPRIETAIRE","A_CONTROLER"))</f>
        <v/>
      </c>
      <c r="Q454">
        <f>IF(OR(L454="",N454=""),"",IFERROR((L454-IF(M454="",0,M454))*N454,0))</f>
        <v/>
      </c>
      <c r="V454">
        <f>IF(L454="","",L454-IF(M454="",0,M454)-IF(Q454="",0,Q454)-IF(T454="",0,T454))</f>
        <v/>
      </c>
      <c r="Y454">
        <f>IF(W454="IC","OUI",IF(W454="HC","OUI",IF(W454="HR","NON","A_CONTROLER")))</f>
        <v/>
      </c>
      <c r="Z454">
        <f>IF(W454="IC","OUI",IF(W454="HC","NON",IF(W454="HR","NON","A_CONTROLER")))</f>
        <v/>
      </c>
    </row>
    <row r="455">
      <c r="B455">
        <f>IF(A455="","",A455&amp;"|"&amp;D455&amp;"|"&amp;F455&amp;"|"&amp;G455&amp;"|"&amp;TEXT(I455,"YYYYMMDD")&amp;"|"&amp;TEXT(L455,"0.00"))</f>
        <v/>
      </c>
      <c r="C455">
        <f>IF(I455="","",TEXT(I455,"YYYY-MM"))</f>
        <v/>
      </c>
      <c r="K455">
        <f>IF(OR(I455="",J455=""),"",J455-I455)</f>
        <v/>
      </c>
      <c r="N455">
        <f>IF(F455="","",IFERROR(VLOOKUP(F455,lst_PropTauxLookup,2,0),""))</f>
        <v/>
      </c>
      <c r="O455">
        <f>IF(F455="","",IF(ISNUMBER(IFERROR(VLOOKUP(F455,lst_PropTauxLookup,2,0),"")),"REF_PROPRIETAIRE","A_CONTROLER"))</f>
        <v/>
      </c>
      <c r="Q455">
        <f>IF(OR(L455="",N455=""),"",IFERROR((L455-IF(M455="",0,M455))*N455,0))</f>
        <v/>
      </c>
      <c r="V455">
        <f>IF(L455="","",L455-IF(M455="",0,M455)-IF(Q455="",0,Q455)-IF(T455="",0,T455))</f>
        <v/>
      </c>
      <c r="Y455">
        <f>IF(W455="IC","OUI",IF(W455="HC","OUI",IF(W455="HR","NON","A_CONTROLER")))</f>
        <v/>
      </c>
      <c r="Z455">
        <f>IF(W455="IC","OUI",IF(W455="HC","NON",IF(W455="HR","NON","A_CONTROLER")))</f>
        <v/>
      </c>
    </row>
    <row r="456">
      <c r="B456">
        <f>IF(A456="","",A456&amp;"|"&amp;D456&amp;"|"&amp;F456&amp;"|"&amp;G456&amp;"|"&amp;TEXT(I456,"YYYYMMDD")&amp;"|"&amp;TEXT(L456,"0.00"))</f>
        <v/>
      </c>
      <c r="C456">
        <f>IF(I456="","",TEXT(I456,"YYYY-MM"))</f>
        <v/>
      </c>
      <c r="K456">
        <f>IF(OR(I456="",J456=""),"",J456-I456)</f>
        <v/>
      </c>
      <c r="N456">
        <f>IF(F456="","",IFERROR(VLOOKUP(F456,lst_PropTauxLookup,2,0),""))</f>
        <v/>
      </c>
      <c r="O456">
        <f>IF(F456="","",IF(ISNUMBER(IFERROR(VLOOKUP(F456,lst_PropTauxLookup,2,0),"")),"REF_PROPRIETAIRE","A_CONTROLER"))</f>
        <v/>
      </c>
      <c r="Q456">
        <f>IF(OR(L456="",N456=""),"",IFERROR((L456-IF(M456="",0,M456))*N456,0))</f>
        <v/>
      </c>
      <c r="V456">
        <f>IF(L456="","",L456-IF(M456="",0,M456)-IF(Q456="",0,Q456)-IF(T456="",0,T456))</f>
        <v/>
      </c>
      <c r="Y456">
        <f>IF(W456="IC","OUI",IF(W456="HC","OUI",IF(W456="HR","NON","A_CONTROLER")))</f>
        <v/>
      </c>
      <c r="Z456">
        <f>IF(W456="IC","OUI",IF(W456="HC","NON",IF(W456="HR","NON","A_CONTROLER")))</f>
        <v/>
      </c>
    </row>
    <row r="457">
      <c r="B457">
        <f>IF(A457="","",A457&amp;"|"&amp;D457&amp;"|"&amp;F457&amp;"|"&amp;G457&amp;"|"&amp;TEXT(I457,"YYYYMMDD")&amp;"|"&amp;TEXT(L457,"0.00"))</f>
        <v/>
      </c>
      <c r="C457">
        <f>IF(I457="","",TEXT(I457,"YYYY-MM"))</f>
        <v/>
      </c>
      <c r="K457">
        <f>IF(OR(I457="",J457=""),"",J457-I457)</f>
        <v/>
      </c>
      <c r="N457">
        <f>IF(F457="","",IFERROR(VLOOKUP(F457,lst_PropTauxLookup,2,0),""))</f>
        <v/>
      </c>
      <c r="O457">
        <f>IF(F457="","",IF(ISNUMBER(IFERROR(VLOOKUP(F457,lst_PropTauxLookup,2,0),"")),"REF_PROPRIETAIRE","A_CONTROLER"))</f>
        <v/>
      </c>
      <c r="Q457">
        <f>IF(OR(L457="",N457=""),"",IFERROR((L457-IF(M457="",0,M457))*N457,0))</f>
        <v/>
      </c>
      <c r="V457">
        <f>IF(L457="","",L457-IF(M457="",0,M457)-IF(Q457="",0,Q457)-IF(T457="",0,T457))</f>
        <v/>
      </c>
      <c r="Y457">
        <f>IF(W457="IC","OUI",IF(W457="HC","OUI",IF(W457="HR","NON","A_CONTROLER")))</f>
        <v/>
      </c>
      <c r="Z457">
        <f>IF(W457="IC","OUI",IF(W457="HC","NON",IF(W457="HR","NON","A_CONTROLER")))</f>
        <v/>
      </c>
    </row>
    <row r="458">
      <c r="B458">
        <f>IF(A458="","",A458&amp;"|"&amp;D458&amp;"|"&amp;F458&amp;"|"&amp;G458&amp;"|"&amp;TEXT(I458,"YYYYMMDD")&amp;"|"&amp;TEXT(L458,"0.00"))</f>
        <v/>
      </c>
      <c r="C458">
        <f>IF(I458="","",TEXT(I458,"YYYY-MM"))</f>
        <v/>
      </c>
      <c r="K458">
        <f>IF(OR(I458="",J458=""),"",J458-I458)</f>
        <v/>
      </c>
      <c r="N458">
        <f>IF(F458="","",IFERROR(VLOOKUP(F458,lst_PropTauxLookup,2,0),""))</f>
        <v/>
      </c>
      <c r="O458">
        <f>IF(F458="","",IF(ISNUMBER(IFERROR(VLOOKUP(F458,lst_PropTauxLookup,2,0),"")),"REF_PROPRIETAIRE","A_CONTROLER"))</f>
        <v/>
      </c>
      <c r="Q458">
        <f>IF(OR(L458="",N458=""),"",IFERROR((L458-IF(M458="",0,M458))*N458,0))</f>
        <v/>
      </c>
      <c r="V458">
        <f>IF(L458="","",L458-IF(M458="",0,M458)-IF(Q458="",0,Q458)-IF(T458="",0,T458))</f>
        <v/>
      </c>
      <c r="Y458">
        <f>IF(W458="IC","OUI",IF(W458="HC","OUI",IF(W458="HR","NON","A_CONTROLER")))</f>
        <v/>
      </c>
      <c r="Z458">
        <f>IF(W458="IC","OUI",IF(W458="HC","NON",IF(W458="HR","NON","A_CONTROLER")))</f>
        <v/>
      </c>
    </row>
    <row r="459">
      <c r="B459">
        <f>IF(A459="","",A459&amp;"|"&amp;D459&amp;"|"&amp;F459&amp;"|"&amp;G459&amp;"|"&amp;TEXT(I459,"YYYYMMDD")&amp;"|"&amp;TEXT(L459,"0.00"))</f>
        <v/>
      </c>
      <c r="C459">
        <f>IF(I459="","",TEXT(I459,"YYYY-MM"))</f>
        <v/>
      </c>
      <c r="K459">
        <f>IF(OR(I459="",J459=""),"",J459-I459)</f>
        <v/>
      </c>
      <c r="N459">
        <f>IF(F459="","",IFERROR(VLOOKUP(F459,lst_PropTauxLookup,2,0),""))</f>
        <v/>
      </c>
      <c r="O459">
        <f>IF(F459="","",IF(ISNUMBER(IFERROR(VLOOKUP(F459,lst_PropTauxLookup,2,0),"")),"REF_PROPRIETAIRE","A_CONTROLER"))</f>
        <v/>
      </c>
      <c r="Q459">
        <f>IF(OR(L459="",N459=""),"",IFERROR((L459-IF(M459="",0,M459))*N459,0))</f>
        <v/>
      </c>
      <c r="V459">
        <f>IF(L459="","",L459-IF(M459="",0,M459)-IF(Q459="",0,Q459)-IF(T459="",0,T459))</f>
        <v/>
      </c>
      <c r="Y459">
        <f>IF(W459="IC","OUI",IF(W459="HC","OUI",IF(W459="HR","NON","A_CONTROLER")))</f>
        <v/>
      </c>
      <c r="Z459">
        <f>IF(W459="IC","OUI",IF(W459="HC","NON",IF(W459="HR","NON","A_CONTROLER")))</f>
        <v/>
      </c>
    </row>
    <row r="460">
      <c r="B460">
        <f>IF(A460="","",A460&amp;"|"&amp;D460&amp;"|"&amp;F460&amp;"|"&amp;G460&amp;"|"&amp;TEXT(I460,"YYYYMMDD")&amp;"|"&amp;TEXT(L460,"0.00"))</f>
        <v/>
      </c>
      <c r="C460">
        <f>IF(I460="","",TEXT(I460,"YYYY-MM"))</f>
        <v/>
      </c>
      <c r="K460">
        <f>IF(OR(I460="",J460=""),"",J460-I460)</f>
        <v/>
      </c>
      <c r="N460">
        <f>IF(F460="","",IFERROR(VLOOKUP(F460,lst_PropTauxLookup,2,0),""))</f>
        <v/>
      </c>
      <c r="O460">
        <f>IF(F460="","",IF(ISNUMBER(IFERROR(VLOOKUP(F460,lst_PropTauxLookup,2,0),"")),"REF_PROPRIETAIRE","A_CONTROLER"))</f>
        <v/>
      </c>
      <c r="Q460">
        <f>IF(OR(L460="",N460=""),"",IFERROR((L460-IF(M460="",0,M460))*N460,0))</f>
        <v/>
      </c>
      <c r="V460">
        <f>IF(L460="","",L460-IF(M460="",0,M460)-IF(Q460="",0,Q460)-IF(T460="",0,T460))</f>
        <v/>
      </c>
      <c r="Y460">
        <f>IF(W460="IC","OUI",IF(W460="HC","OUI",IF(W460="HR","NON","A_CONTROLER")))</f>
        <v/>
      </c>
      <c r="Z460">
        <f>IF(W460="IC","OUI",IF(W460="HC","NON",IF(W460="HR","NON","A_CONTROLER")))</f>
        <v/>
      </c>
    </row>
    <row r="461">
      <c r="B461">
        <f>IF(A461="","",A461&amp;"|"&amp;D461&amp;"|"&amp;F461&amp;"|"&amp;G461&amp;"|"&amp;TEXT(I461,"YYYYMMDD")&amp;"|"&amp;TEXT(L461,"0.00"))</f>
        <v/>
      </c>
      <c r="C461">
        <f>IF(I461="","",TEXT(I461,"YYYY-MM"))</f>
        <v/>
      </c>
      <c r="K461">
        <f>IF(OR(I461="",J461=""),"",J461-I461)</f>
        <v/>
      </c>
      <c r="N461">
        <f>IF(F461="","",IFERROR(VLOOKUP(F461,lst_PropTauxLookup,2,0),""))</f>
        <v/>
      </c>
      <c r="O461">
        <f>IF(F461="","",IF(ISNUMBER(IFERROR(VLOOKUP(F461,lst_PropTauxLookup,2,0),"")),"REF_PROPRIETAIRE","A_CONTROLER"))</f>
        <v/>
      </c>
      <c r="Q461">
        <f>IF(OR(L461="",N461=""),"",IFERROR((L461-IF(M461="",0,M461))*N461,0))</f>
        <v/>
      </c>
      <c r="V461">
        <f>IF(L461="","",L461-IF(M461="",0,M461)-IF(Q461="",0,Q461)-IF(T461="",0,T461))</f>
        <v/>
      </c>
      <c r="Y461">
        <f>IF(W461="IC","OUI",IF(W461="HC","OUI",IF(W461="HR","NON","A_CONTROLER")))</f>
        <v/>
      </c>
      <c r="Z461">
        <f>IF(W461="IC","OUI",IF(W461="HC","NON",IF(W461="HR","NON","A_CONTROLER")))</f>
        <v/>
      </c>
    </row>
    <row r="462">
      <c r="B462">
        <f>IF(A462="","",A462&amp;"|"&amp;D462&amp;"|"&amp;F462&amp;"|"&amp;G462&amp;"|"&amp;TEXT(I462,"YYYYMMDD")&amp;"|"&amp;TEXT(L462,"0.00"))</f>
        <v/>
      </c>
      <c r="C462">
        <f>IF(I462="","",TEXT(I462,"YYYY-MM"))</f>
        <v/>
      </c>
      <c r="K462">
        <f>IF(OR(I462="",J462=""),"",J462-I462)</f>
        <v/>
      </c>
      <c r="N462">
        <f>IF(F462="","",IFERROR(VLOOKUP(F462,lst_PropTauxLookup,2,0),""))</f>
        <v/>
      </c>
      <c r="O462">
        <f>IF(F462="","",IF(ISNUMBER(IFERROR(VLOOKUP(F462,lst_PropTauxLookup,2,0),"")),"REF_PROPRIETAIRE","A_CONTROLER"))</f>
        <v/>
      </c>
      <c r="Q462">
        <f>IF(OR(L462="",N462=""),"",IFERROR((L462-IF(M462="",0,M462))*N462,0))</f>
        <v/>
      </c>
      <c r="V462">
        <f>IF(L462="","",L462-IF(M462="",0,M462)-IF(Q462="",0,Q462)-IF(T462="",0,T462))</f>
        <v/>
      </c>
      <c r="Y462">
        <f>IF(W462="IC","OUI",IF(W462="HC","OUI",IF(W462="HR","NON","A_CONTROLER")))</f>
        <v/>
      </c>
      <c r="Z462">
        <f>IF(W462="IC","OUI",IF(W462="HC","NON",IF(W462="HR","NON","A_CONTROLER")))</f>
        <v/>
      </c>
    </row>
    <row r="463">
      <c r="B463">
        <f>IF(A463="","",A463&amp;"|"&amp;D463&amp;"|"&amp;F463&amp;"|"&amp;G463&amp;"|"&amp;TEXT(I463,"YYYYMMDD")&amp;"|"&amp;TEXT(L463,"0.00"))</f>
        <v/>
      </c>
      <c r="C463">
        <f>IF(I463="","",TEXT(I463,"YYYY-MM"))</f>
        <v/>
      </c>
      <c r="K463">
        <f>IF(OR(I463="",J463=""),"",J463-I463)</f>
        <v/>
      </c>
      <c r="N463">
        <f>IF(F463="","",IFERROR(VLOOKUP(F463,lst_PropTauxLookup,2,0),""))</f>
        <v/>
      </c>
      <c r="O463">
        <f>IF(F463="","",IF(ISNUMBER(IFERROR(VLOOKUP(F463,lst_PropTauxLookup,2,0),"")),"REF_PROPRIETAIRE","A_CONTROLER"))</f>
        <v/>
      </c>
      <c r="Q463">
        <f>IF(OR(L463="",N463=""),"",IFERROR((L463-IF(M463="",0,M463))*N463,0))</f>
        <v/>
      </c>
      <c r="V463">
        <f>IF(L463="","",L463-IF(M463="",0,M463)-IF(Q463="",0,Q463)-IF(T463="",0,T463))</f>
        <v/>
      </c>
      <c r="Y463">
        <f>IF(W463="IC","OUI",IF(W463="HC","OUI",IF(W463="HR","NON","A_CONTROLER")))</f>
        <v/>
      </c>
      <c r="Z463">
        <f>IF(W463="IC","OUI",IF(W463="HC","NON",IF(W463="HR","NON","A_CONTROLER")))</f>
        <v/>
      </c>
    </row>
    <row r="464">
      <c r="B464">
        <f>IF(A464="","",A464&amp;"|"&amp;D464&amp;"|"&amp;F464&amp;"|"&amp;G464&amp;"|"&amp;TEXT(I464,"YYYYMMDD")&amp;"|"&amp;TEXT(L464,"0.00"))</f>
        <v/>
      </c>
      <c r="C464">
        <f>IF(I464="","",TEXT(I464,"YYYY-MM"))</f>
        <v/>
      </c>
      <c r="K464">
        <f>IF(OR(I464="",J464=""),"",J464-I464)</f>
        <v/>
      </c>
      <c r="N464">
        <f>IF(F464="","",IFERROR(VLOOKUP(F464,lst_PropTauxLookup,2,0),""))</f>
        <v/>
      </c>
      <c r="O464">
        <f>IF(F464="","",IF(ISNUMBER(IFERROR(VLOOKUP(F464,lst_PropTauxLookup,2,0),"")),"REF_PROPRIETAIRE","A_CONTROLER"))</f>
        <v/>
      </c>
      <c r="Q464">
        <f>IF(OR(L464="",N464=""),"",IFERROR((L464-IF(M464="",0,M464))*N464,0))</f>
        <v/>
      </c>
      <c r="V464">
        <f>IF(L464="","",L464-IF(M464="",0,M464)-IF(Q464="",0,Q464)-IF(T464="",0,T464))</f>
        <v/>
      </c>
      <c r="Y464">
        <f>IF(W464="IC","OUI",IF(W464="HC","OUI",IF(W464="HR","NON","A_CONTROLER")))</f>
        <v/>
      </c>
      <c r="Z464">
        <f>IF(W464="IC","OUI",IF(W464="HC","NON",IF(W464="HR","NON","A_CONTROLER")))</f>
        <v/>
      </c>
    </row>
    <row r="465">
      <c r="B465">
        <f>IF(A465="","",A465&amp;"|"&amp;D465&amp;"|"&amp;F465&amp;"|"&amp;G465&amp;"|"&amp;TEXT(I465,"YYYYMMDD")&amp;"|"&amp;TEXT(L465,"0.00"))</f>
        <v/>
      </c>
      <c r="C465">
        <f>IF(I465="","",TEXT(I465,"YYYY-MM"))</f>
        <v/>
      </c>
      <c r="K465">
        <f>IF(OR(I465="",J465=""),"",J465-I465)</f>
        <v/>
      </c>
      <c r="N465">
        <f>IF(F465="","",IFERROR(VLOOKUP(F465,lst_PropTauxLookup,2,0),""))</f>
        <v/>
      </c>
      <c r="O465">
        <f>IF(F465="","",IF(ISNUMBER(IFERROR(VLOOKUP(F465,lst_PropTauxLookup,2,0),"")),"REF_PROPRIETAIRE","A_CONTROLER"))</f>
        <v/>
      </c>
      <c r="Q465">
        <f>IF(OR(L465="",N465=""),"",IFERROR((L465-IF(M465="",0,M465))*N465,0))</f>
        <v/>
      </c>
      <c r="V465">
        <f>IF(L465="","",L465-IF(M465="",0,M465)-IF(Q465="",0,Q465)-IF(T465="",0,T465))</f>
        <v/>
      </c>
      <c r="Y465">
        <f>IF(W465="IC","OUI",IF(W465="HC","OUI",IF(W465="HR","NON","A_CONTROLER")))</f>
        <v/>
      </c>
      <c r="Z465">
        <f>IF(W465="IC","OUI",IF(W465="HC","NON",IF(W465="HR","NON","A_CONTROLER")))</f>
        <v/>
      </c>
    </row>
    <row r="466">
      <c r="B466">
        <f>IF(A466="","",A466&amp;"|"&amp;D466&amp;"|"&amp;F466&amp;"|"&amp;G466&amp;"|"&amp;TEXT(I466,"YYYYMMDD")&amp;"|"&amp;TEXT(L466,"0.00"))</f>
        <v/>
      </c>
      <c r="C466">
        <f>IF(I466="","",TEXT(I466,"YYYY-MM"))</f>
        <v/>
      </c>
      <c r="K466">
        <f>IF(OR(I466="",J466=""),"",J466-I466)</f>
        <v/>
      </c>
      <c r="N466">
        <f>IF(F466="","",IFERROR(VLOOKUP(F466,lst_PropTauxLookup,2,0),""))</f>
        <v/>
      </c>
      <c r="O466">
        <f>IF(F466="","",IF(ISNUMBER(IFERROR(VLOOKUP(F466,lst_PropTauxLookup,2,0),"")),"REF_PROPRIETAIRE","A_CONTROLER"))</f>
        <v/>
      </c>
      <c r="Q466">
        <f>IF(OR(L466="",N466=""),"",IFERROR((L466-IF(M466="",0,M466))*N466,0))</f>
        <v/>
      </c>
      <c r="V466">
        <f>IF(L466="","",L466-IF(M466="",0,M466)-IF(Q466="",0,Q466)-IF(T466="",0,T466))</f>
        <v/>
      </c>
      <c r="Y466">
        <f>IF(W466="IC","OUI",IF(W466="HC","OUI",IF(W466="HR","NON","A_CONTROLER")))</f>
        <v/>
      </c>
      <c r="Z466">
        <f>IF(W466="IC","OUI",IF(W466="HC","NON",IF(W466="HR","NON","A_CONTROLER")))</f>
        <v/>
      </c>
    </row>
    <row r="467">
      <c r="B467">
        <f>IF(A467="","",A467&amp;"|"&amp;D467&amp;"|"&amp;F467&amp;"|"&amp;G467&amp;"|"&amp;TEXT(I467,"YYYYMMDD")&amp;"|"&amp;TEXT(L467,"0.00"))</f>
        <v/>
      </c>
      <c r="C467">
        <f>IF(I467="","",TEXT(I467,"YYYY-MM"))</f>
        <v/>
      </c>
      <c r="K467">
        <f>IF(OR(I467="",J467=""),"",J467-I467)</f>
        <v/>
      </c>
      <c r="N467">
        <f>IF(F467="","",IFERROR(VLOOKUP(F467,lst_PropTauxLookup,2,0),""))</f>
        <v/>
      </c>
      <c r="O467">
        <f>IF(F467="","",IF(ISNUMBER(IFERROR(VLOOKUP(F467,lst_PropTauxLookup,2,0),"")),"REF_PROPRIETAIRE","A_CONTROLER"))</f>
        <v/>
      </c>
      <c r="Q467">
        <f>IF(OR(L467="",N467=""),"",IFERROR((L467-IF(M467="",0,M467))*N467,0))</f>
        <v/>
      </c>
      <c r="V467">
        <f>IF(L467="","",L467-IF(M467="",0,M467)-IF(Q467="",0,Q467)-IF(T467="",0,T467))</f>
        <v/>
      </c>
      <c r="Y467">
        <f>IF(W467="IC","OUI",IF(W467="HC","OUI",IF(W467="HR","NON","A_CONTROLER")))</f>
        <v/>
      </c>
      <c r="Z467">
        <f>IF(W467="IC","OUI",IF(W467="HC","NON",IF(W467="HR","NON","A_CONTROLER")))</f>
        <v/>
      </c>
    </row>
    <row r="468">
      <c r="B468">
        <f>IF(A468="","",A468&amp;"|"&amp;D468&amp;"|"&amp;F468&amp;"|"&amp;G468&amp;"|"&amp;TEXT(I468,"YYYYMMDD")&amp;"|"&amp;TEXT(L468,"0.00"))</f>
        <v/>
      </c>
      <c r="C468">
        <f>IF(I468="","",TEXT(I468,"YYYY-MM"))</f>
        <v/>
      </c>
      <c r="K468">
        <f>IF(OR(I468="",J468=""),"",J468-I468)</f>
        <v/>
      </c>
      <c r="N468">
        <f>IF(F468="","",IFERROR(VLOOKUP(F468,lst_PropTauxLookup,2,0),""))</f>
        <v/>
      </c>
      <c r="O468">
        <f>IF(F468="","",IF(ISNUMBER(IFERROR(VLOOKUP(F468,lst_PropTauxLookup,2,0),"")),"REF_PROPRIETAIRE","A_CONTROLER"))</f>
        <v/>
      </c>
      <c r="Q468">
        <f>IF(OR(L468="",N468=""),"",IFERROR((L468-IF(M468="",0,M468))*N468,0))</f>
        <v/>
      </c>
      <c r="V468">
        <f>IF(L468="","",L468-IF(M468="",0,M468)-IF(Q468="",0,Q468)-IF(T468="",0,T468))</f>
        <v/>
      </c>
      <c r="Y468">
        <f>IF(W468="IC","OUI",IF(W468="HC","OUI",IF(W468="HR","NON","A_CONTROLER")))</f>
        <v/>
      </c>
      <c r="Z468">
        <f>IF(W468="IC","OUI",IF(W468="HC","NON",IF(W468="HR","NON","A_CONTROLER")))</f>
        <v/>
      </c>
    </row>
    <row r="469">
      <c r="B469">
        <f>IF(A469="","",A469&amp;"|"&amp;D469&amp;"|"&amp;F469&amp;"|"&amp;G469&amp;"|"&amp;TEXT(I469,"YYYYMMDD")&amp;"|"&amp;TEXT(L469,"0.00"))</f>
        <v/>
      </c>
      <c r="C469">
        <f>IF(I469="","",TEXT(I469,"YYYY-MM"))</f>
        <v/>
      </c>
      <c r="K469">
        <f>IF(OR(I469="",J469=""),"",J469-I469)</f>
        <v/>
      </c>
      <c r="N469">
        <f>IF(F469="","",IFERROR(VLOOKUP(F469,lst_PropTauxLookup,2,0),""))</f>
        <v/>
      </c>
      <c r="O469">
        <f>IF(F469="","",IF(ISNUMBER(IFERROR(VLOOKUP(F469,lst_PropTauxLookup,2,0),"")),"REF_PROPRIETAIRE","A_CONTROLER"))</f>
        <v/>
      </c>
      <c r="Q469">
        <f>IF(OR(L469="",N469=""),"",IFERROR((L469-IF(M469="",0,M469))*N469,0))</f>
        <v/>
      </c>
      <c r="V469">
        <f>IF(L469="","",L469-IF(M469="",0,M469)-IF(Q469="",0,Q469)-IF(T469="",0,T469))</f>
        <v/>
      </c>
      <c r="Y469">
        <f>IF(W469="IC","OUI",IF(W469="HC","OUI",IF(W469="HR","NON","A_CONTROLER")))</f>
        <v/>
      </c>
      <c r="Z469">
        <f>IF(W469="IC","OUI",IF(W469="HC","NON",IF(W469="HR","NON","A_CONTROLER")))</f>
        <v/>
      </c>
    </row>
    <row r="470">
      <c r="B470">
        <f>IF(A470="","",A470&amp;"|"&amp;D470&amp;"|"&amp;F470&amp;"|"&amp;G470&amp;"|"&amp;TEXT(I470,"YYYYMMDD")&amp;"|"&amp;TEXT(L470,"0.00"))</f>
        <v/>
      </c>
      <c r="C470">
        <f>IF(I470="","",TEXT(I470,"YYYY-MM"))</f>
        <v/>
      </c>
      <c r="K470">
        <f>IF(OR(I470="",J470=""),"",J470-I470)</f>
        <v/>
      </c>
      <c r="N470">
        <f>IF(F470="","",IFERROR(VLOOKUP(F470,lst_PropTauxLookup,2,0),""))</f>
        <v/>
      </c>
      <c r="O470">
        <f>IF(F470="","",IF(ISNUMBER(IFERROR(VLOOKUP(F470,lst_PropTauxLookup,2,0),"")),"REF_PROPRIETAIRE","A_CONTROLER"))</f>
        <v/>
      </c>
      <c r="Q470">
        <f>IF(OR(L470="",N470=""),"",IFERROR((L470-IF(M470="",0,M470))*N470,0))</f>
        <v/>
      </c>
      <c r="V470">
        <f>IF(L470="","",L470-IF(M470="",0,M470)-IF(Q470="",0,Q470)-IF(T470="",0,T470))</f>
        <v/>
      </c>
      <c r="Y470">
        <f>IF(W470="IC","OUI",IF(W470="HC","OUI",IF(W470="HR","NON","A_CONTROLER")))</f>
        <v/>
      </c>
      <c r="Z470">
        <f>IF(W470="IC","OUI",IF(W470="HC","NON",IF(W470="HR","NON","A_CONTROLER")))</f>
        <v/>
      </c>
    </row>
    <row r="471">
      <c r="B471">
        <f>IF(A471="","",A471&amp;"|"&amp;D471&amp;"|"&amp;F471&amp;"|"&amp;G471&amp;"|"&amp;TEXT(I471,"YYYYMMDD")&amp;"|"&amp;TEXT(L471,"0.00"))</f>
        <v/>
      </c>
      <c r="C471">
        <f>IF(I471="","",TEXT(I471,"YYYY-MM"))</f>
        <v/>
      </c>
      <c r="K471">
        <f>IF(OR(I471="",J471=""),"",J471-I471)</f>
        <v/>
      </c>
      <c r="N471">
        <f>IF(F471="","",IFERROR(VLOOKUP(F471,lst_PropTauxLookup,2,0),""))</f>
        <v/>
      </c>
      <c r="O471">
        <f>IF(F471="","",IF(ISNUMBER(IFERROR(VLOOKUP(F471,lst_PropTauxLookup,2,0),"")),"REF_PROPRIETAIRE","A_CONTROLER"))</f>
        <v/>
      </c>
      <c r="Q471">
        <f>IF(OR(L471="",N471=""),"",IFERROR((L471-IF(M471="",0,M471))*N471,0))</f>
        <v/>
      </c>
      <c r="V471">
        <f>IF(L471="","",L471-IF(M471="",0,M471)-IF(Q471="",0,Q471)-IF(T471="",0,T471))</f>
        <v/>
      </c>
      <c r="Y471">
        <f>IF(W471="IC","OUI",IF(W471="HC","OUI",IF(W471="HR","NON","A_CONTROLER")))</f>
        <v/>
      </c>
      <c r="Z471">
        <f>IF(W471="IC","OUI",IF(W471="HC","NON",IF(W471="HR","NON","A_CONTROLER")))</f>
        <v/>
      </c>
    </row>
    <row r="472">
      <c r="B472">
        <f>IF(A472="","",A472&amp;"|"&amp;D472&amp;"|"&amp;F472&amp;"|"&amp;G472&amp;"|"&amp;TEXT(I472,"YYYYMMDD")&amp;"|"&amp;TEXT(L472,"0.00"))</f>
        <v/>
      </c>
      <c r="C472">
        <f>IF(I472="","",TEXT(I472,"YYYY-MM"))</f>
        <v/>
      </c>
      <c r="K472">
        <f>IF(OR(I472="",J472=""),"",J472-I472)</f>
        <v/>
      </c>
      <c r="N472">
        <f>IF(F472="","",IFERROR(VLOOKUP(F472,lst_PropTauxLookup,2,0),""))</f>
        <v/>
      </c>
      <c r="O472">
        <f>IF(F472="","",IF(ISNUMBER(IFERROR(VLOOKUP(F472,lst_PropTauxLookup,2,0),"")),"REF_PROPRIETAIRE","A_CONTROLER"))</f>
        <v/>
      </c>
      <c r="Q472">
        <f>IF(OR(L472="",N472=""),"",IFERROR((L472-IF(M472="",0,M472))*N472,0))</f>
        <v/>
      </c>
      <c r="V472">
        <f>IF(L472="","",L472-IF(M472="",0,M472)-IF(Q472="",0,Q472)-IF(T472="",0,T472))</f>
        <v/>
      </c>
      <c r="Y472">
        <f>IF(W472="IC","OUI",IF(W472="HC","OUI",IF(W472="HR","NON","A_CONTROLER")))</f>
        <v/>
      </c>
      <c r="Z472">
        <f>IF(W472="IC","OUI",IF(W472="HC","NON",IF(W472="HR","NON","A_CONTROLER")))</f>
        <v/>
      </c>
    </row>
    <row r="473">
      <c r="B473">
        <f>IF(A473="","",A473&amp;"|"&amp;D473&amp;"|"&amp;F473&amp;"|"&amp;G473&amp;"|"&amp;TEXT(I473,"YYYYMMDD")&amp;"|"&amp;TEXT(L473,"0.00"))</f>
        <v/>
      </c>
      <c r="C473">
        <f>IF(I473="","",TEXT(I473,"YYYY-MM"))</f>
        <v/>
      </c>
      <c r="K473">
        <f>IF(OR(I473="",J473=""),"",J473-I473)</f>
        <v/>
      </c>
      <c r="N473">
        <f>IF(F473="","",IFERROR(VLOOKUP(F473,lst_PropTauxLookup,2,0),""))</f>
        <v/>
      </c>
      <c r="O473">
        <f>IF(F473="","",IF(ISNUMBER(IFERROR(VLOOKUP(F473,lst_PropTauxLookup,2,0),"")),"REF_PROPRIETAIRE","A_CONTROLER"))</f>
        <v/>
      </c>
      <c r="Q473">
        <f>IF(OR(L473="",N473=""),"",IFERROR((L473-IF(M473="",0,M473))*N473,0))</f>
        <v/>
      </c>
      <c r="V473">
        <f>IF(L473="","",L473-IF(M473="",0,M473)-IF(Q473="",0,Q473)-IF(T473="",0,T473))</f>
        <v/>
      </c>
      <c r="Y473">
        <f>IF(W473="IC","OUI",IF(W473="HC","OUI",IF(W473="HR","NON","A_CONTROLER")))</f>
        <v/>
      </c>
      <c r="Z473">
        <f>IF(W473="IC","OUI",IF(W473="HC","NON",IF(W473="HR","NON","A_CONTROLER")))</f>
        <v/>
      </c>
    </row>
    <row r="474">
      <c r="B474">
        <f>IF(A474="","",A474&amp;"|"&amp;D474&amp;"|"&amp;F474&amp;"|"&amp;G474&amp;"|"&amp;TEXT(I474,"YYYYMMDD")&amp;"|"&amp;TEXT(L474,"0.00"))</f>
        <v/>
      </c>
      <c r="C474">
        <f>IF(I474="","",TEXT(I474,"YYYY-MM"))</f>
        <v/>
      </c>
      <c r="K474">
        <f>IF(OR(I474="",J474=""),"",J474-I474)</f>
        <v/>
      </c>
      <c r="N474">
        <f>IF(F474="","",IFERROR(VLOOKUP(F474,lst_PropTauxLookup,2,0),""))</f>
        <v/>
      </c>
      <c r="O474">
        <f>IF(F474="","",IF(ISNUMBER(IFERROR(VLOOKUP(F474,lst_PropTauxLookup,2,0),"")),"REF_PROPRIETAIRE","A_CONTROLER"))</f>
        <v/>
      </c>
      <c r="Q474">
        <f>IF(OR(L474="",N474=""),"",IFERROR((L474-IF(M474="",0,M474))*N474,0))</f>
        <v/>
      </c>
      <c r="V474">
        <f>IF(L474="","",L474-IF(M474="",0,M474)-IF(Q474="",0,Q474)-IF(T474="",0,T474))</f>
        <v/>
      </c>
      <c r="Y474">
        <f>IF(W474="IC","OUI",IF(W474="HC","OUI",IF(W474="HR","NON","A_CONTROLER")))</f>
        <v/>
      </c>
      <c r="Z474">
        <f>IF(W474="IC","OUI",IF(W474="HC","NON",IF(W474="HR","NON","A_CONTROLER")))</f>
        <v/>
      </c>
    </row>
    <row r="475">
      <c r="B475">
        <f>IF(A475="","",A475&amp;"|"&amp;D475&amp;"|"&amp;F475&amp;"|"&amp;G475&amp;"|"&amp;TEXT(I475,"YYYYMMDD")&amp;"|"&amp;TEXT(L475,"0.00"))</f>
        <v/>
      </c>
      <c r="C475">
        <f>IF(I475="","",TEXT(I475,"YYYY-MM"))</f>
        <v/>
      </c>
      <c r="K475">
        <f>IF(OR(I475="",J475=""),"",J475-I475)</f>
        <v/>
      </c>
      <c r="N475">
        <f>IF(F475="","",IFERROR(VLOOKUP(F475,lst_PropTauxLookup,2,0),""))</f>
        <v/>
      </c>
      <c r="O475">
        <f>IF(F475="","",IF(ISNUMBER(IFERROR(VLOOKUP(F475,lst_PropTauxLookup,2,0),"")),"REF_PROPRIETAIRE","A_CONTROLER"))</f>
        <v/>
      </c>
      <c r="Q475">
        <f>IF(OR(L475="",N475=""),"",IFERROR((L475-IF(M475="",0,M475))*N475,0))</f>
        <v/>
      </c>
      <c r="V475">
        <f>IF(L475="","",L475-IF(M475="",0,M475)-IF(Q475="",0,Q475)-IF(T475="",0,T475))</f>
        <v/>
      </c>
      <c r="Y475">
        <f>IF(W475="IC","OUI",IF(W475="HC","OUI",IF(W475="HR","NON","A_CONTROLER")))</f>
        <v/>
      </c>
      <c r="Z475">
        <f>IF(W475="IC","OUI",IF(W475="HC","NON",IF(W475="HR","NON","A_CONTROLER")))</f>
        <v/>
      </c>
    </row>
    <row r="476">
      <c r="B476">
        <f>IF(A476="","",A476&amp;"|"&amp;D476&amp;"|"&amp;F476&amp;"|"&amp;G476&amp;"|"&amp;TEXT(I476,"YYYYMMDD")&amp;"|"&amp;TEXT(L476,"0.00"))</f>
        <v/>
      </c>
      <c r="C476">
        <f>IF(I476="","",TEXT(I476,"YYYY-MM"))</f>
        <v/>
      </c>
      <c r="K476">
        <f>IF(OR(I476="",J476=""),"",J476-I476)</f>
        <v/>
      </c>
      <c r="N476">
        <f>IF(F476="","",IFERROR(VLOOKUP(F476,lst_PropTauxLookup,2,0),""))</f>
        <v/>
      </c>
      <c r="O476">
        <f>IF(F476="","",IF(ISNUMBER(IFERROR(VLOOKUP(F476,lst_PropTauxLookup,2,0),"")),"REF_PROPRIETAIRE","A_CONTROLER"))</f>
        <v/>
      </c>
      <c r="Q476">
        <f>IF(OR(L476="",N476=""),"",IFERROR((L476-IF(M476="",0,M476))*N476,0))</f>
        <v/>
      </c>
      <c r="V476">
        <f>IF(L476="","",L476-IF(M476="",0,M476)-IF(Q476="",0,Q476)-IF(T476="",0,T476))</f>
        <v/>
      </c>
      <c r="Y476">
        <f>IF(W476="IC","OUI",IF(W476="HC","OUI",IF(W476="HR","NON","A_CONTROLER")))</f>
        <v/>
      </c>
      <c r="Z476">
        <f>IF(W476="IC","OUI",IF(W476="HC","NON",IF(W476="HR","NON","A_CONTROLER")))</f>
        <v/>
      </c>
    </row>
    <row r="477">
      <c r="B477">
        <f>IF(A477="","",A477&amp;"|"&amp;D477&amp;"|"&amp;F477&amp;"|"&amp;G477&amp;"|"&amp;TEXT(I477,"YYYYMMDD")&amp;"|"&amp;TEXT(L477,"0.00"))</f>
        <v/>
      </c>
      <c r="C477">
        <f>IF(I477="","",TEXT(I477,"YYYY-MM"))</f>
        <v/>
      </c>
      <c r="K477">
        <f>IF(OR(I477="",J477=""),"",J477-I477)</f>
        <v/>
      </c>
      <c r="N477">
        <f>IF(F477="","",IFERROR(VLOOKUP(F477,lst_PropTauxLookup,2,0),""))</f>
        <v/>
      </c>
      <c r="O477">
        <f>IF(F477="","",IF(ISNUMBER(IFERROR(VLOOKUP(F477,lst_PropTauxLookup,2,0),"")),"REF_PROPRIETAIRE","A_CONTROLER"))</f>
        <v/>
      </c>
      <c r="Q477">
        <f>IF(OR(L477="",N477=""),"",IFERROR((L477-IF(M477="",0,M477))*N477,0))</f>
        <v/>
      </c>
      <c r="V477">
        <f>IF(L477="","",L477-IF(M477="",0,M477)-IF(Q477="",0,Q477)-IF(T477="",0,T477))</f>
        <v/>
      </c>
      <c r="Y477">
        <f>IF(W477="IC","OUI",IF(W477="HC","OUI",IF(W477="HR","NON","A_CONTROLER")))</f>
        <v/>
      </c>
      <c r="Z477">
        <f>IF(W477="IC","OUI",IF(W477="HC","NON",IF(W477="HR","NON","A_CONTROLER")))</f>
        <v/>
      </c>
    </row>
    <row r="478">
      <c r="B478">
        <f>IF(A478="","",A478&amp;"|"&amp;D478&amp;"|"&amp;F478&amp;"|"&amp;G478&amp;"|"&amp;TEXT(I478,"YYYYMMDD")&amp;"|"&amp;TEXT(L478,"0.00"))</f>
        <v/>
      </c>
      <c r="C478">
        <f>IF(I478="","",TEXT(I478,"YYYY-MM"))</f>
        <v/>
      </c>
      <c r="K478">
        <f>IF(OR(I478="",J478=""),"",J478-I478)</f>
        <v/>
      </c>
      <c r="N478">
        <f>IF(F478="","",IFERROR(VLOOKUP(F478,lst_PropTauxLookup,2,0),""))</f>
        <v/>
      </c>
      <c r="O478">
        <f>IF(F478="","",IF(ISNUMBER(IFERROR(VLOOKUP(F478,lst_PropTauxLookup,2,0),"")),"REF_PROPRIETAIRE","A_CONTROLER"))</f>
        <v/>
      </c>
      <c r="Q478">
        <f>IF(OR(L478="",N478=""),"",IFERROR((L478-IF(M478="",0,M478))*N478,0))</f>
        <v/>
      </c>
      <c r="V478">
        <f>IF(L478="","",L478-IF(M478="",0,M478)-IF(Q478="",0,Q478)-IF(T478="",0,T478))</f>
        <v/>
      </c>
      <c r="Y478">
        <f>IF(W478="IC","OUI",IF(W478="HC","OUI",IF(W478="HR","NON","A_CONTROLER")))</f>
        <v/>
      </c>
      <c r="Z478">
        <f>IF(W478="IC","OUI",IF(W478="HC","NON",IF(W478="HR","NON","A_CONTROLER")))</f>
        <v/>
      </c>
    </row>
    <row r="479">
      <c r="B479">
        <f>IF(A479="","",A479&amp;"|"&amp;D479&amp;"|"&amp;F479&amp;"|"&amp;G479&amp;"|"&amp;TEXT(I479,"YYYYMMDD")&amp;"|"&amp;TEXT(L479,"0.00"))</f>
        <v/>
      </c>
      <c r="C479">
        <f>IF(I479="","",TEXT(I479,"YYYY-MM"))</f>
        <v/>
      </c>
      <c r="K479">
        <f>IF(OR(I479="",J479=""),"",J479-I479)</f>
        <v/>
      </c>
      <c r="N479">
        <f>IF(F479="","",IFERROR(VLOOKUP(F479,lst_PropTauxLookup,2,0),""))</f>
        <v/>
      </c>
      <c r="O479">
        <f>IF(F479="","",IF(ISNUMBER(IFERROR(VLOOKUP(F479,lst_PropTauxLookup,2,0),"")),"REF_PROPRIETAIRE","A_CONTROLER"))</f>
        <v/>
      </c>
      <c r="Q479">
        <f>IF(OR(L479="",N479=""),"",IFERROR((L479-IF(M479="",0,M479))*N479,0))</f>
        <v/>
      </c>
      <c r="V479">
        <f>IF(L479="","",L479-IF(M479="",0,M479)-IF(Q479="",0,Q479)-IF(T479="",0,T479))</f>
        <v/>
      </c>
      <c r="Y479">
        <f>IF(W479="IC","OUI",IF(W479="HC","OUI",IF(W479="HR","NON","A_CONTROLER")))</f>
        <v/>
      </c>
      <c r="Z479">
        <f>IF(W479="IC","OUI",IF(W479="HC","NON",IF(W479="HR","NON","A_CONTROLER")))</f>
        <v/>
      </c>
    </row>
    <row r="480">
      <c r="B480">
        <f>IF(A480="","",A480&amp;"|"&amp;D480&amp;"|"&amp;F480&amp;"|"&amp;G480&amp;"|"&amp;TEXT(I480,"YYYYMMDD")&amp;"|"&amp;TEXT(L480,"0.00"))</f>
        <v/>
      </c>
      <c r="C480">
        <f>IF(I480="","",TEXT(I480,"YYYY-MM"))</f>
        <v/>
      </c>
      <c r="K480">
        <f>IF(OR(I480="",J480=""),"",J480-I480)</f>
        <v/>
      </c>
      <c r="N480">
        <f>IF(F480="","",IFERROR(VLOOKUP(F480,lst_PropTauxLookup,2,0),""))</f>
        <v/>
      </c>
      <c r="O480">
        <f>IF(F480="","",IF(ISNUMBER(IFERROR(VLOOKUP(F480,lst_PropTauxLookup,2,0),"")),"REF_PROPRIETAIRE","A_CONTROLER"))</f>
        <v/>
      </c>
      <c r="Q480">
        <f>IF(OR(L480="",N480=""),"",IFERROR((L480-IF(M480="",0,M480))*N480,0))</f>
        <v/>
      </c>
      <c r="V480">
        <f>IF(L480="","",L480-IF(M480="",0,M480)-IF(Q480="",0,Q480)-IF(T480="",0,T480))</f>
        <v/>
      </c>
      <c r="Y480">
        <f>IF(W480="IC","OUI",IF(W480="HC","OUI",IF(W480="HR","NON","A_CONTROLER")))</f>
        <v/>
      </c>
      <c r="Z480">
        <f>IF(W480="IC","OUI",IF(W480="HC","NON",IF(W480="HR","NON","A_CONTROLER")))</f>
        <v/>
      </c>
    </row>
    <row r="481">
      <c r="B481">
        <f>IF(A481="","",A481&amp;"|"&amp;D481&amp;"|"&amp;F481&amp;"|"&amp;G481&amp;"|"&amp;TEXT(I481,"YYYYMMDD")&amp;"|"&amp;TEXT(L481,"0.00"))</f>
        <v/>
      </c>
      <c r="C481">
        <f>IF(I481="","",TEXT(I481,"YYYY-MM"))</f>
        <v/>
      </c>
      <c r="K481">
        <f>IF(OR(I481="",J481=""),"",J481-I481)</f>
        <v/>
      </c>
      <c r="N481">
        <f>IF(F481="","",IFERROR(VLOOKUP(F481,lst_PropTauxLookup,2,0),""))</f>
        <v/>
      </c>
      <c r="O481">
        <f>IF(F481="","",IF(ISNUMBER(IFERROR(VLOOKUP(F481,lst_PropTauxLookup,2,0),"")),"REF_PROPRIETAIRE","A_CONTROLER"))</f>
        <v/>
      </c>
      <c r="Q481">
        <f>IF(OR(L481="",N481=""),"",IFERROR((L481-IF(M481="",0,M481))*N481,0))</f>
        <v/>
      </c>
      <c r="V481">
        <f>IF(L481="","",L481-IF(M481="",0,M481)-IF(Q481="",0,Q481)-IF(T481="",0,T481))</f>
        <v/>
      </c>
      <c r="Y481">
        <f>IF(W481="IC","OUI",IF(W481="HC","OUI",IF(W481="HR","NON","A_CONTROLER")))</f>
        <v/>
      </c>
      <c r="Z481">
        <f>IF(W481="IC","OUI",IF(W481="HC","NON",IF(W481="HR","NON","A_CONTROLER")))</f>
        <v/>
      </c>
    </row>
    <row r="482">
      <c r="B482">
        <f>IF(A482="","",A482&amp;"|"&amp;D482&amp;"|"&amp;F482&amp;"|"&amp;G482&amp;"|"&amp;TEXT(I482,"YYYYMMDD")&amp;"|"&amp;TEXT(L482,"0.00"))</f>
        <v/>
      </c>
      <c r="C482">
        <f>IF(I482="","",TEXT(I482,"YYYY-MM"))</f>
        <v/>
      </c>
      <c r="K482">
        <f>IF(OR(I482="",J482=""),"",J482-I482)</f>
        <v/>
      </c>
      <c r="N482">
        <f>IF(F482="","",IFERROR(VLOOKUP(F482,lst_PropTauxLookup,2,0),""))</f>
        <v/>
      </c>
      <c r="O482">
        <f>IF(F482="","",IF(ISNUMBER(IFERROR(VLOOKUP(F482,lst_PropTauxLookup,2,0),"")),"REF_PROPRIETAIRE","A_CONTROLER"))</f>
        <v/>
      </c>
      <c r="Q482">
        <f>IF(OR(L482="",N482=""),"",IFERROR((L482-IF(M482="",0,M482))*N482,0))</f>
        <v/>
      </c>
      <c r="V482">
        <f>IF(L482="","",L482-IF(M482="",0,M482)-IF(Q482="",0,Q482)-IF(T482="",0,T482))</f>
        <v/>
      </c>
      <c r="Y482">
        <f>IF(W482="IC","OUI",IF(W482="HC","OUI",IF(W482="HR","NON","A_CONTROLER")))</f>
        <v/>
      </c>
      <c r="Z482">
        <f>IF(W482="IC","OUI",IF(W482="HC","NON",IF(W482="HR","NON","A_CONTROLER")))</f>
        <v/>
      </c>
    </row>
    <row r="483">
      <c r="B483">
        <f>IF(A483="","",A483&amp;"|"&amp;D483&amp;"|"&amp;F483&amp;"|"&amp;G483&amp;"|"&amp;TEXT(I483,"YYYYMMDD")&amp;"|"&amp;TEXT(L483,"0.00"))</f>
        <v/>
      </c>
      <c r="C483">
        <f>IF(I483="","",TEXT(I483,"YYYY-MM"))</f>
        <v/>
      </c>
      <c r="K483">
        <f>IF(OR(I483="",J483=""),"",J483-I483)</f>
        <v/>
      </c>
      <c r="N483">
        <f>IF(F483="","",IFERROR(VLOOKUP(F483,lst_PropTauxLookup,2,0),""))</f>
        <v/>
      </c>
      <c r="O483">
        <f>IF(F483="","",IF(ISNUMBER(IFERROR(VLOOKUP(F483,lst_PropTauxLookup,2,0),"")),"REF_PROPRIETAIRE","A_CONTROLER"))</f>
        <v/>
      </c>
      <c r="Q483">
        <f>IF(OR(L483="",N483=""),"",IFERROR((L483-IF(M483="",0,M483))*N483,0))</f>
        <v/>
      </c>
      <c r="V483">
        <f>IF(L483="","",L483-IF(M483="",0,M483)-IF(Q483="",0,Q483)-IF(T483="",0,T483))</f>
        <v/>
      </c>
      <c r="Y483">
        <f>IF(W483="IC","OUI",IF(W483="HC","OUI",IF(W483="HR","NON","A_CONTROLER")))</f>
        <v/>
      </c>
      <c r="Z483">
        <f>IF(W483="IC","OUI",IF(W483="HC","NON",IF(W483="HR","NON","A_CONTROLER")))</f>
        <v/>
      </c>
    </row>
    <row r="484">
      <c r="B484">
        <f>IF(A484="","",A484&amp;"|"&amp;D484&amp;"|"&amp;F484&amp;"|"&amp;G484&amp;"|"&amp;TEXT(I484,"YYYYMMDD")&amp;"|"&amp;TEXT(L484,"0.00"))</f>
        <v/>
      </c>
      <c r="C484">
        <f>IF(I484="","",TEXT(I484,"YYYY-MM"))</f>
        <v/>
      </c>
      <c r="K484">
        <f>IF(OR(I484="",J484=""),"",J484-I484)</f>
        <v/>
      </c>
      <c r="N484">
        <f>IF(F484="","",IFERROR(VLOOKUP(F484,lst_PropTauxLookup,2,0),""))</f>
        <v/>
      </c>
      <c r="O484">
        <f>IF(F484="","",IF(ISNUMBER(IFERROR(VLOOKUP(F484,lst_PropTauxLookup,2,0),"")),"REF_PROPRIETAIRE","A_CONTROLER"))</f>
        <v/>
      </c>
      <c r="Q484">
        <f>IF(OR(L484="",N484=""),"",IFERROR((L484-IF(M484="",0,M484))*N484,0))</f>
        <v/>
      </c>
      <c r="V484">
        <f>IF(L484="","",L484-IF(M484="",0,M484)-IF(Q484="",0,Q484)-IF(T484="",0,T484))</f>
        <v/>
      </c>
      <c r="Y484">
        <f>IF(W484="IC","OUI",IF(W484="HC","OUI",IF(W484="HR","NON","A_CONTROLER")))</f>
        <v/>
      </c>
      <c r="Z484">
        <f>IF(W484="IC","OUI",IF(W484="HC","NON",IF(W484="HR","NON","A_CONTROLER")))</f>
        <v/>
      </c>
    </row>
    <row r="485">
      <c r="B485">
        <f>IF(A485="","",A485&amp;"|"&amp;D485&amp;"|"&amp;F485&amp;"|"&amp;G485&amp;"|"&amp;TEXT(I485,"YYYYMMDD")&amp;"|"&amp;TEXT(L485,"0.00"))</f>
        <v/>
      </c>
      <c r="C485">
        <f>IF(I485="","",TEXT(I485,"YYYY-MM"))</f>
        <v/>
      </c>
      <c r="K485">
        <f>IF(OR(I485="",J485=""),"",J485-I485)</f>
        <v/>
      </c>
      <c r="N485">
        <f>IF(F485="","",IFERROR(VLOOKUP(F485,lst_PropTauxLookup,2,0),""))</f>
        <v/>
      </c>
      <c r="O485">
        <f>IF(F485="","",IF(ISNUMBER(IFERROR(VLOOKUP(F485,lst_PropTauxLookup,2,0),"")),"REF_PROPRIETAIRE","A_CONTROLER"))</f>
        <v/>
      </c>
      <c r="Q485">
        <f>IF(OR(L485="",N485=""),"",IFERROR((L485-IF(M485="",0,M485))*N485,0))</f>
        <v/>
      </c>
      <c r="V485">
        <f>IF(L485="","",L485-IF(M485="",0,M485)-IF(Q485="",0,Q485)-IF(T485="",0,T485))</f>
        <v/>
      </c>
      <c r="Y485">
        <f>IF(W485="IC","OUI",IF(W485="HC","OUI",IF(W485="HR","NON","A_CONTROLER")))</f>
        <v/>
      </c>
      <c r="Z485">
        <f>IF(W485="IC","OUI",IF(W485="HC","NON",IF(W485="HR","NON","A_CONTROLER")))</f>
        <v/>
      </c>
    </row>
    <row r="486">
      <c r="B486">
        <f>IF(A486="","",A486&amp;"|"&amp;D486&amp;"|"&amp;F486&amp;"|"&amp;G486&amp;"|"&amp;TEXT(I486,"YYYYMMDD")&amp;"|"&amp;TEXT(L486,"0.00"))</f>
        <v/>
      </c>
      <c r="C486">
        <f>IF(I486="","",TEXT(I486,"YYYY-MM"))</f>
        <v/>
      </c>
      <c r="K486">
        <f>IF(OR(I486="",J486=""),"",J486-I486)</f>
        <v/>
      </c>
      <c r="N486">
        <f>IF(F486="","",IFERROR(VLOOKUP(F486,lst_PropTauxLookup,2,0),""))</f>
        <v/>
      </c>
      <c r="O486">
        <f>IF(F486="","",IF(ISNUMBER(IFERROR(VLOOKUP(F486,lst_PropTauxLookup,2,0),"")),"REF_PROPRIETAIRE","A_CONTROLER"))</f>
        <v/>
      </c>
      <c r="Q486">
        <f>IF(OR(L486="",N486=""),"",IFERROR((L486-IF(M486="",0,M486))*N486,0))</f>
        <v/>
      </c>
      <c r="V486">
        <f>IF(L486="","",L486-IF(M486="",0,M486)-IF(Q486="",0,Q486)-IF(T486="",0,T486))</f>
        <v/>
      </c>
      <c r="Y486">
        <f>IF(W486="IC","OUI",IF(W486="HC","OUI",IF(W486="HR","NON","A_CONTROLER")))</f>
        <v/>
      </c>
      <c r="Z486">
        <f>IF(W486="IC","OUI",IF(W486="HC","NON",IF(W486="HR","NON","A_CONTROLER")))</f>
        <v/>
      </c>
    </row>
    <row r="487">
      <c r="B487">
        <f>IF(A487="","",A487&amp;"|"&amp;D487&amp;"|"&amp;F487&amp;"|"&amp;G487&amp;"|"&amp;TEXT(I487,"YYYYMMDD")&amp;"|"&amp;TEXT(L487,"0.00"))</f>
        <v/>
      </c>
      <c r="C487">
        <f>IF(I487="","",TEXT(I487,"YYYY-MM"))</f>
        <v/>
      </c>
      <c r="K487">
        <f>IF(OR(I487="",J487=""),"",J487-I487)</f>
        <v/>
      </c>
      <c r="N487">
        <f>IF(F487="","",IFERROR(VLOOKUP(F487,lst_PropTauxLookup,2,0),""))</f>
        <v/>
      </c>
      <c r="O487">
        <f>IF(F487="","",IF(ISNUMBER(IFERROR(VLOOKUP(F487,lst_PropTauxLookup,2,0),"")),"REF_PROPRIETAIRE","A_CONTROLER"))</f>
        <v/>
      </c>
      <c r="Q487">
        <f>IF(OR(L487="",N487=""),"",IFERROR((L487-IF(M487="",0,M487))*N487,0))</f>
        <v/>
      </c>
      <c r="V487">
        <f>IF(L487="","",L487-IF(M487="",0,M487)-IF(Q487="",0,Q487)-IF(T487="",0,T487))</f>
        <v/>
      </c>
      <c r="Y487">
        <f>IF(W487="IC","OUI",IF(W487="HC","OUI",IF(W487="HR","NON","A_CONTROLER")))</f>
        <v/>
      </c>
      <c r="Z487">
        <f>IF(W487="IC","OUI",IF(W487="HC","NON",IF(W487="HR","NON","A_CONTROLER")))</f>
        <v/>
      </c>
    </row>
    <row r="488">
      <c r="B488">
        <f>IF(A488="","",A488&amp;"|"&amp;D488&amp;"|"&amp;F488&amp;"|"&amp;G488&amp;"|"&amp;TEXT(I488,"YYYYMMDD")&amp;"|"&amp;TEXT(L488,"0.00"))</f>
        <v/>
      </c>
      <c r="C488">
        <f>IF(I488="","",TEXT(I488,"YYYY-MM"))</f>
        <v/>
      </c>
      <c r="K488">
        <f>IF(OR(I488="",J488=""),"",J488-I488)</f>
        <v/>
      </c>
      <c r="N488">
        <f>IF(F488="","",IFERROR(VLOOKUP(F488,lst_PropTauxLookup,2,0),""))</f>
        <v/>
      </c>
      <c r="O488">
        <f>IF(F488="","",IF(ISNUMBER(IFERROR(VLOOKUP(F488,lst_PropTauxLookup,2,0),"")),"REF_PROPRIETAIRE","A_CONTROLER"))</f>
        <v/>
      </c>
      <c r="Q488">
        <f>IF(OR(L488="",N488=""),"",IFERROR((L488-IF(M488="",0,M488))*N488,0))</f>
        <v/>
      </c>
      <c r="V488">
        <f>IF(L488="","",L488-IF(M488="",0,M488)-IF(Q488="",0,Q488)-IF(T488="",0,T488))</f>
        <v/>
      </c>
      <c r="Y488">
        <f>IF(W488="IC","OUI",IF(W488="HC","OUI",IF(W488="HR","NON","A_CONTROLER")))</f>
        <v/>
      </c>
      <c r="Z488">
        <f>IF(W488="IC","OUI",IF(W488="HC","NON",IF(W488="HR","NON","A_CONTROLER")))</f>
        <v/>
      </c>
    </row>
    <row r="489">
      <c r="B489">
        <f>IF(A489="","",A489&amp;"|"&amp;D489&amp;"|"&amp;F489&amp;"|"&amp;G489&amp;"|"&amp;TEXT(I489,"YYYYMMDD")&amp;"|"&amp;TEXT(L489,"0.00"))</f>
        <v/>
      </c>
      <c r="C489">
        <f>IF(I489="","",TEXT(I489,"YYYY-MM"))</f>
        <v/>
      </c>
      <c r="K489">
        <f>IF(OR(I489="",J489=""),"",J489-I489)</f>
        <v/>
      </c>
      <c r="N489">
        <f>IF(F489="","",IFERROR(VLOOKUP(F489,lst_PropTauxLookup,2,0),""))</f>
        <v/>
      </c>
      <c r="O489">
        <f>IF(F489="","",IF(ISNUMBER(IFERROR(VLOOKUP(F489,lst_PropTauxLookup,2,0),"")),"REF_PROPRIETAIRE","A_CONTROLER"))</f>
        <v/>
      </c>
      <c r="Q489">
        <f>IF(OR(L489="",N489=""),"",IFERROR((L489-IF(M489="",0,M489))*N489,0))</f>
        <v/>
      </c>
      <c r="V489">
        <f>IF(L489="","",L489-IF(M489="",0,M489)-IF(Q489="",0,Q489)-IF(T489="",0,T489))</f>
        <v/>
      </c>
      <c r="Y489">
        <f>IF(W489="IC","OUI",IF(W489="HC","OUI",IF(W489="HR","NON","A_CONTROLER")))</f>
        <v/>
      </c>
      <c r="Z489">
        <f>IF(W489="IC","OUI",IF(W489="HC","NON",IF(W489="HR","NON","A_CONTROLER")))</f>
        <v/>
      </c>
    </row>
    <row r="490">
      <c r="B490">
        <f>IF(A490="","",A490&amp;"|"&amp;D490&amp;"|"&amp;F490&amp;"|"&amp;G490&amp;"|"&amp;TEXT(I490,"YYYYMMDD")&amp;"|"&amp;TEXT(L490,"0.00"))</f>
        <v/>
      </c>
      <c r="C490">
        <f>IF(I490="","",TEXT(I490,"YYYY-MM"))</f>
        <v/>
      </c>
      <c r="K490">
        <f>IF(OR(I490="",J490=""),"",J490-I490)</f>
        <v/>
      </c>
      <c r="N490">
        <f>IF(F490="","",IFERROR(VLOOKUP(F490,lst_PropTauxLookup,2,0),""))</f>
        <v/>
      </c>
      <c r="O490">
        <f>IF(F490="","",IF(ISNUMBER(IFERROR(VLOOKUP(F490,lst_PropTauxLookup,2,0),"")),"REF_PROPRIETAIRE","A_CONTROLER"))</f>
        <v/>
      </c>
      <c r="Q490">
        <f>IF(OR(L490="",N490=""),"",IFERROR((L490-IF(M490="",0,M490))*N490,0))</f>
        <v/>
      </c>
      <c r="V490">
        <f>IF(L490="","",L490-IF(M490="",0,M490)-IF(Q490="",0,Q490)-IF(T490="",0,T490))</f>
        <v/>
      </c>
      <c r="Y490">
        <f>IF(W490="IC","OUI",IF(W490="HC","OUI",IF(W490="HR","NON","A_CONTROLER")))</f>
        <v/>
      </c>
      <c r="Z490">
        <f>IF(W490="IC","OUI",IF(W490="HC","NON",IF(W490="HR","NON","A_CONTROLER")))</f>
        <v/>
      </c>
    </row>
    <row r="491">
      <c r="B491">
        <f>IF(A491="","",A491&amp;"|"&amp;D491&amp;"|"&amp;F491&amp;"|"&amp;G491&amp;"|"&amp;TEXT(I491,"YYYYMMDD")&amp;"|"&amp;TEXT(L491,"0.00"))</f>
        <v/>
      </c>
      <c r="C491">
        <f>IF(I491="","",TEXT(I491,"YYYY-MM"))</f>
        <v/>
      </c>
      <c r="K491">
        <f>IF(OR(I491="",J491=""),"",J491-I491)</f>
        <v/>
      </c>
      <c r="N491">
        <f>IF(F491="","",IFERROR(VLOOKUP(F491,lst_PropTauxLookup,2,0),""))</f>
        <v/>
      </c>
      <c r="O491">
        <f>IF(F491="","",IF(ISNUMBER(IFERROR(VLOOKUP(F491,lst_PropTauxLookup,2,0),"")),"REF_PROPRIETAIRE","A_CONTROLER"))</f>
        <v/>
      </c>
      <c r="Q491">
        <f>IF(OR(L491="",N491=""),"",IFERROR((L491-IF(M491="",0,M491))*N491,0))</f>
        <v/>
      </c>
      <c r="V491">
        <f>IF(L491="","",L491-IF(M491="",0,M491)-IF(Q491="",0,Q491)-IF(T491="",0,T491))</f>
        <v/>
      </c>
      <c r="Y491">
        <f>IF(W491="IC","OUI",IF(W491="HC","OUI",IF(W491="HR","NON","A_CONTROLER")))</f>
        <v/>
      </c>
      <c r="Z491">
        <f>IF(W491="IC","OUI",IF(W491="HC","NON",IF(W491="HR","NON","A_CONTROLER")))</f>
        <v/>
      </c>
    </row>
    <row r="492">
      <c r="B492">
        <f>IF(A492="","",A492&amp;"|"&amp;D492&amp;"|"&amp;F492&amp;"|"&amp;G492&amp;"|"&amp;TEXT(I492,"YYYYMMDD")&amp;"|"&amp;TEXT(L492,"0.00"))</f>
        <v/>
      </c>
      <c r="C492">
        <f>IF(I492="","",TEXT(I492,"YYYY-MM"))</f>
        <v/>
      </c>
      <c r="K492">
        <f>IF(OR(I492="",J492=""),"",J492-I492)</f>
        <v/>
      </c>
      <c r="N492">
        <f>IF(F492="","",IFERROR(VLOOKUP(F492,lst_PropTauxLookup,2,0),""))</f>
        <v/>
      </c>
      <c r="O492">
        <f>IF(F492="","",IF(ISNUMBER(IFERROR(VLOOKUP(F492,lst_PropTauxLookup,2,0),"")),"REF_PROPRIETAIRE","A_CONTROLER"))</f>
        <v/>
      </c>
      <c r="Q492">
        <f>IF(OR(L492="",N492=""),"",IFERROR((L492-IF(M492="",0,M492))*N492,0))</f>
        <v/>
      </c>
      <c r="V492">
        <f>IF(L492="","",L492-IF(M492="",0,M492)-IF(Q492="",0,Q492)-IF(T492="",0,T492))</f>
        <v/>
      </c>
      <c r="Y492">
        <f>IF(W492="IC","OUI",IF(W492="HC","OUI",IF(W492="HR","NON","A_CONTROLER")))</f>
        <v/>
      </c>
      <c r="Z492">
        <f>IF(W492="IC","OUI",IF(W492="HC","NON",IF(W492="HR","NON","A_CONTROLER")))</f>
        <v/>
      </c>
    </row>
    <row r="493">
      <c r="B493">
        <f>IF(A493="","",A493&amp;"|"&amp;D493&amp;"|"&amp;F493&amp;"|"&amp;G493&amp;"|"&amp;TEXT(I493,"YYYYMMDD")&amp;"|"&amp;TEXT(L493,"0.00"))</f>
        <v/>
      </c>
      <c r="C493">
        <f>IF(I493="","",TEXT(I493,"YYYY-MM"))</f>
        <v/>
      </c>
      <c r="K493">
        <f>IF(OR(I493="",J493=""),"",J493-I493)</f>
        <v/>
      </c>
      <c r="N493">
        <f>IF(F493="","",IFERROR(VLOOKUP(F493,lst_PropTauxLookup,2,0),""))</f>
        <v/>
      </c>
      <c r="O493">
        <f>IF(F493="","",IF(ISNUMBER(IFERROR(VLOOKUP(F493,lst_PropTauxLookup,2,0),"")),"REF_PROPRIETAIRE","A_CONTROLER"))</f>
        <v/>
      </c>
      <c r="Q493">
        <f>IF(OR(L493="",N493=""),"",IFERROR((L493-IF(M493="",0,M493))*N493,0))</f>
        <v/>
      </c>
      <c r="V493">
        <f>IF(L493="","",L493-IF(M493="",0,M493)-IF(Q493="",0,Q493)-IF(T493="",0,T493))</f>
        <v/>
      </c>
      <c r="Y493">
        <f>IF(W493="IC","OUI",IF(W493="HC","OUI",IF(W493="HR","NON","A_CONTROLER")))</f>
        <v/>
      </c>
      <c r="Z493">
        <f>IF(W493="IC","OUI",IF(W493="HC","NON",IF(W493="HR","NON","A_CONTROLER")))</f>
        <v/>
      </c>
    </row>
    <row r="494">
      <c r="B494">
        <f>IF(A494="","",A494&amp;"|"&amp;D494&amp;"|"&amp;F494&amp;"|"&amp;G494&amp;"|"&amp;TEXT(I494,"YYYYMMDD")&amp;"|"&amp;TEXT(L494,"0.00"))</f>
        <v/>
      </c>
      <c r="C494">
        <f>IF(I494="","",TEXT(I494,"YYYY-MM"))</f>
        <v/>
      </c>
      <c r="K494">
        <f>IF(OR(I494="",J494=""),"",J494-I494)</f>
        <v/>
      </c>
      <c r="N494">
        <f>IF(F494="","",IFERROR(VLOOKUP(F494,lst_PropTauxLookup,2,0),""))</f>
        <v/>
      </c>
      <c r="O494">
        <f>IF(F494="","",IF(ISNUMBER(IFERROR(VLOOKUP(F494,lst_PropTauxLookup,2,0),"")),"REF_PROPRIETAIRE","A_CONTROLER"))</f>
        <v/>
      </c>
      <c r="Q494">
        <f>IF(OR(L494="",N494=""),"",IFERROR((L494-IF(M494="",0,M494))*N494,0))</f>
        <v/>
      </c>
      <c r="V494">
        <f>IF(L494="","",L494-IF(M494="",0,M494)-IF(Q494="",0,Q494)-IF(T494="",0,T494))</f>
        <v/>
      </c>
      <c r="Y494">
        <f>IF(W494="IC","OUI",IF(W494="HC","OUI",IF(W494="HR","NON","A_CONTROLER")))</f>
        <v/>
      </c>
      <c r="Z494">
        <f>IF(W494="IC","OUI",IF(W494="HC","NON",IF(W494="HR","NON","A_CONTROLER")))</f>
        <v/>
      </c>
    </row>
    <row r="495">
      <c r="B495">
        <f>IF(A495="","",A495&amp;"|"&amp;D495&amp;"|"&amp;F495&amp;"|"&amp;G495&amp;"|"&amp;TEXT(I495,"YYYYMMDD")&amp;"|"&amp;TEXT(L495,"0.00"))</f>
        <v/>
      </c>
      <c r="C495">
        <f>IF(I495="","",TEXT(I495,"YYYY-MM"))</f>
        <v/>
      </c>
      <c r="K495">
        <f>IF(OR(I495="",J495=""),"",J495-I495)</f>
        <v/>
      </c>
      <c r="N495">
        <f>IF(F495="","",IFERROR(VLOOKUP(F495,lst_PropTauxLookup,2,0),""))</f>
        <v/>
      </c>
      <c r="O495">
        <f>IF(F495="","",IF(ISNUMBER(IFERROR(VLOOKUP(F495,lst_PropTauxLookup,2,0),"")),"REF_PROPRIETAIRE","A_CONTROLER"))</f>
        <v/>
      </c>
      <c r="Q495">
        <f>IF(OR(L495="",N495=""),"",IFERROR((L495-IF(M495="",0,M495))*N495,0))</f>
        <v/>
      </c>
      <c r="V495">
        <f>IF(L495="","",L495-IF(M495="",0,M495)-IF(Q495="",0,Q495)-IF(T495="",0,T495))</f>
        <v/>
      </c>
      <c r="Y495">
        <f>IF(W495="IC","OUI",IF(W495="HC","OUI",IF(W495="HR","NON","A_CONTROLER")))</f>
        <v/>
      </c>
      <c r="Z495">
        <f>IF(W495="IC","OUI",IF(W495="HC","NON",IF(W495="HR","NON","A_CONTROLER")))</f>
        <v/>
      </c>
    </row>
    <row r="496">
      <c r="B496">
        <f>IF(A496="","",A496&amp;"|"&amp;D496&amp;"|"&amp;F496&amp;"|"&amp;G496&amp;"|"&amp;TEXT(I496,"YYYYMMDD")&amp;"|"&amp;TEXT(L496,"0.00"))</f>
        <v/>
      </c>
      <c r="C496">
        <f>IF(I496="","",TEXT(I496,"YYYY-MM"))</f>
        <v/>
      </c>
      <c r="K496">
        <f>IF(OR(I496="",J496=""),"",J496-I496)</f>
        <v/>
      </c>
      <c r="N496">
        <f>IF(F496="","",IFERROR(VLOOKUP(F496,lst_PropTauxLookup,2,0),""))</f>
        <v/>
      </c>
      <c r="O496">
        <f>IF(F496="","",IF(ISNUMBER(IFERROR(VLOOKUP(F496,lst_PropTauxLookup,2,0),"")),"REF_PROPRIETAIRE","A_CONTROLER"))</f>
        <v/>
      </c>
      <c r="Q496">
        <f>IF(OR(L496="",N496=""),"",IFERROR((L496-IF(M496="",0,M496))*N496,0))</f>
        <v/>
      </c>
      <c r="V496">
        <f>IF(L496="","",L496-IF(M496="",0,M496)-IF(Q496="",0,Q496)-IF(T496="",0,T496))</f>
        <v/>
      </c>
      <c r="Y496">
        <f>IF(W496="IC","OUI",IF(W496="HC","OUI",IF(W496="HR","NON","A_CONTROLER")))</f>
        <v/>
      </c>
      <c r="Z496">
        <f>IF(W496="IC","OUI",IF(W496="HC","NON",IF(W496="HR","NON","A_CONTROLER")))</f>
        <v/>
      </c>
    </row>
    <row r="497">
      <c r="B497">
        <f>IF(A497="","",A497&amp;"|"&amp;D497&amp;"|"&amp;F497&amp;"|"&amp;G497&amp;"|"&amp;TEXT(I497,"YYYYMMDD")&amp;"|"&amp;TEXT(L497,"0.00"))</f>
        <v/>
      </c>
      <c r="C497">
        <f>IF(I497="","",TEXT(I497,"YYYY-MM"))</f>
        <v/>
      </c>
      <c r="K497">
        <f>IF(OR(I497="",J497=""),"",J497-I497)</f>
        <v/>
      </c>
      <c r="N497">
        <f>IF(F497="","",IFERROR(VLOOKUP(F497,lst_PropTauxLookup,2,0),""))</f>
        <v/>
      </c>
      <c r="O497">
        <f>IF(F497="","",IF(ISNUMBER(IFERROR(VLOOKUP(F497,lst_PropTauxLookup,2,0),"")),"REF_PROPRIETAIRE","A_CONTROLER"))</f>
        <v/>
      </c>
      <c r="Q497">
        <f>IF(OR(L497="",N497=""),"",IFERROR((L497-IF(M497="",0,M497))*N497,0))</f>
        <v/>
      </c>
      <c r="V497">
        <f>IF(L497="","",L497-IF(M497="",0,M497)-IF(Q497="",0,Q497)-IF(T497="",0,T497))</f>
        <v/>
      </c>
      <c r="Y497">
        <f>IF(W497="IC","OUI",IF(W497="HC","OUI",IF(W497="HR","NON","A_CONTROLER")))</f>
        <v/>
      </c>
      <c r="Z497">
        <f>IF(W497="IC","OUI",IF(W497="HC","NON",IF(W497="HR","NON","A_CONTROLER")))</f>
        <v/>
      </c>
    </row>
    <row r="498">
      <c r="B498">
        <f>IF(A498="","",A498&amp;"|"&amp;D498&amp;"|"&amp;F498&amp;"|"&amp;G498&amp;"|"&amp;TEXT(I498,"YYYYMMDD")&amp;"|"&amp;TEXT(L498,"0.00"))</f>
        <v/>
      </c>
      <c r="C498">
        <f>IF(I498="","",TEXT(I498,"YYYY-MM"))</f>
        <v/>
      </c>
      <c r="K498">
        <f>IF(OR(I498="",J498=""),"",J498-I498)</f>
        <v/>
      </c>
      <c r="N498">
        <f>IF(F498="","",IFERROR(VLOOKUP(F498,lst_PropTauxLookup,2,0),""))</f>
        <v/>
      </c>
      <c r="O498">
        <f>IF(F498="","",IF(ISNUMBER(IFERROR(VLOOKUP(F498,lst_PropTauxLookup,2,0),"")),"REF_PROPRIETAIRE","A_CONTROLER"))</f>
        <v/>
      </c>
      <c r="Q498">
        <f>IF(OR(L498="",N498=""),"",IFERROR((L498-IF(M498="",0,M498))*N498,0))</f>
        <v/>
      </c>
      <c r="V498">
        <f>IF(L498="","",L498-IF(M498="",0,M498)-IF(Q498="",0,Q498)-IF(T498="",0,T498))</f>
        <v/>
      </c>
      <c r="Y498">
        <f>IF(W498="IC","OUI",IF(W498="HC","OUI",IF(W498="HR","NON","A_CONTROLER")))</f>
        <v/>
      </c>
      <c r="Z498">
        <f>IF(W498="IC","OUI",IF(W498="HC","NON",IF(W498="HR","NON","A_CONTROLER")))</f>
        <v/>
      </c>
    </row>
    <row r="499">
      <c r="B499">
        <f>IF(A499="","",A499&amp;"|"&amp;D499&amp;"|"&amp;F499&amp;"|"&amp;G499&amp;"|"&amp;TEXT(I499,"YYYYMMDD")&amp;"|"&amp;TEXT(L499,"0.00"))</f>
        <v/>
      </c>
      <c r="C499">
        <f>IF(I499="","",TEXT(I499,"YYYY-MM"))</f>
        <v/>
      </c>
      <c r="K499">
        <f>IF(OR(I499="",J499=""),"",J499-I499)</f>
        <v/>
      </c>
      <c r="N499">
        <f>IF(F499="","",IFERROR(VLOOKUP(F499,lst_PropTauxLookup,2,0),""))</f>
        <v/>
      </c>
      <c r="O499">
        <f>IF(F499="","",IF(ISNUMBER(IFERROR(VLOOKUP(F499,lst_PropTauxLookup,2,0),"")),"REF_PROPRIETAIRE","A_CONTROLER"))</f>
        <v/>
      </c>
      <c r="Q499">
        <f>IF(OR(L499="",N499=""),"",IFERROR((L499-IF(M499="",0,M499))*N499,0))</f>
        <v/>
      </c>
      <c r="V499">
        <f>IF(L499="","",L499-IF(M499="",0,M499)-IF(Q499="",0,Q499)-IF(T499="",0,T499))</f>
        <v/>
      </c>
      <c r="Y499">
        <f>IF(W499="IC","OUI",IF(W499="HC","OUI",IF(W499="HR","NON","A_CONTROLER")))</f>
        <v/>
      </c>
      <c r="Z499">
        <f>IF(W499="IC","OUI",IF(W499="HC","NON",IF(W499="HR","NON","A_CONTROLER")))</f>
        <v/>
      </c>
    </row>
    <row r="500">
      <c r="B500">
        <f>IF(A500="","",A500&amp;"|"&amp;D500&amp;"|"&amp;F500&amp;"|"&amp;G500&amp;"|"&amp;TEXT(I500,"YYYYMMDD")&amp;"|"&amp;TEXT(L500,"0.00"))</f>
        <v/>
      </c>
      <c r="C500">
        <f>IF(I500="","",TEXT(I500,"YYYY-MM"))</f>
        <v/>
      </c>
      <c r="K500">
        <f>IF(OR(I500="",J500=""),"",J500-I500)</f>
        <v/>
      </c>
      <c r="N500">
        <f>IF(F500="","",IFERROR(VLOOKUP(F500,lst_PropTauxLookup,2,0),""))</f>
        <v/>
      </c>
      <c r="O500">
        <f>IF(F500="","",IF(ISNUMBER(IFERROR(VLOOKUP(F500,lst_PropTauxLookup,2,0),"")),"REF_PROPRIETAIRE","A_CONTROLER"))</f>
        <v/>
      </c>
      <c r="Q500">
        <f>IF(OR(L500="",N500=""),"",IFERROR((L500-IF(M500="",0,M500))*N500,0))</f>
        <v/>
      </c>
      <c r="V500">
        <f>IF(L500="","",L500-IF(M500="",0,M500)-IF(Q500="",0,Q500)-IF(T500="",0,T500))</f>
        <v/>
      </c>
      <c r="Y500">
        <f>IF(W500="IC","OUI",IF(W500="HC","OUI",IF(W500="HR","NON","A_CONTROLER")))</f>
        <v/>
      </c>
      <c r="Z500">
        <f>IF(W500="IC","OUI",IF(W500="HC","NON",IF(W500="HR","NON","A_CONTROLER")))</f>
        <v/>
      </c>
    </row>
    <row r="501">
      <c r="B501">
        <f>IF(A501="","",A501&amp;"|"&amp;D501&amp;"|"&amp;F501&amp;"|"&amp;G501&amp;"|"&amp;TEXT(I501,"YYYYMMDD")&amp;"|"&amp;TEXT(L501,"0.00"))</f>
        <v/>
      </c>
      <c r="C501">
        <f>IF(I501="","",TEXT(I501,"YYYY-MM"))</f>
        <v/>
      </c>
      <c r="K501">
        <f>IF(OR(I501="",J501=""),"",J501-I501)</f>
        <v/>
      </c>
      <c r="N501">
        <f>IF(F501="","",IFERROR(VLOOKUP(F501,lst_PropTauxLookup,2,0),""))</f>
        <v/>
      </c>
      <c r="O501">
        <f>IF(F501="","",IF(ISNUMBER(IFERROR(VLOOKUP(F501,lst_PropTauxLookup,2,0),"")),"REF_PROPRIETAIRE","A_CONTROLER"))</f>
        <v/>
      </c>
      <c r="Q501">
        <f>IF(OR(L501="",N501=""),"",IFERROR((L501-IF(M501="",0,M501))*N501,0))</f>
        <v/>
      </c>
      <c r="V501">
        <f>IF(L501="","",L501-IF(M501="",0,M501)-IF(Q501="",0,Q501)-IF(T501="",0,T501))</f>
        <v/>
      </c>
      <c r="Y501">
        <f>IF(W501="IC","OUI",IF(W501="HC","OUI",IF(W501="HR","NON","A_CONTROLER")))</f>
        <v/>
      </c>
      <c r="Z501">
        <f>IF(W501="IC","OUI",IF(W501="HC","NON",IF(W501="HR","NON","A_CONTROLER")))</f>
        <v/>
      </c>
    </row>
  </sheetData>
  <conditionalFormatting sqref="A2:AD501">
    <cfRule type="expression" priority="1" dxfId="0">
      <formula>$AB2="BLOQUANT"</formula>
    </cfRule>
    <cfRule type="expression" priority="2" dxfId="1">
      <formula>$AB2="A_CONTROLER"</formula>
    </cfRule>
  </conditionalFormatting>
  <dataValidations count="11">
    <dataValidation sqref="D2:D501" showDropDown="0" showInputMessage="0" showErrorMessage="1" allowBlank="1" errorTitle="Valeur invalide" error="Valeur hors liste. Utiliser la liste deroulante." type="list">
      <formula1>lst_Canaux</formula1>
    </dataValidation>
    <dataValidation sqref="E2:E501" showDropDown="0" showInputMessage="0" showErrorMessage="1" allowBlank="1" errorTitle="Valeur invalide" error="Valeur hors liste. Utiliser la liste deroulante." type="list">
      <formula1>lst_Source_Financiere</formula1>
    </dataValidation>
    <dataValidation sqref="F2:F501" showDropDown="0" showInputMessage="0" showErrorMessage="1" allowBlank="1" errorTitle="Valeur invalide" error="Valeur hors liste. Utiliser la liste deroulante." type="list">
      <formula1>lst_Proprietaires</formula1>
    </dataValidation>
    <dataValidation sqref="G2:G501" showDropDown="0" showInputMessage="0" showErrorMessage="1" allowBlank="1" errorTitle="Valeur invalide" error="Valeur hors liste. Utiliser la liste deroulante." type="list">
      <formula1>lst_Logements</formula1>
    </dataValidation>
    <dataValidation sqref="O2:O501" showDropDown="0" showInputMessage="0" showErrorMessage="1" allowBlank="1" errorTitle="Valeur invalide" error="Valeur hors liste. Utiliser la liste deroulante." type="list">
      <formula1>lst_TauxCommissionSource</formula1>
    </dataValidation>
    <dataValidation sqref="S2:S501" showDropDown="0" showInputMessage="0" showErrorMessage="1" allowBlank="1" errorTitle="Valeur invalide" error="Valeur hors liste. Utiliser la liste deroulante." type="list">
      <formula1>lst_Associes</formula1>
    </dataValidation>
    <dataValidation sqref="U2:U501" showDropDown="0" showInputMessage="0" showErrorMessage="1" allowBlank="1" errorTitle="Valeur invalide" error="Valeur hors liste. Utiliser la liste deroulante." type="list">
      <formula1>lst_ModesPaiement</formula1>
    </dataValidation>
    <dataValidation sqref="W2:W501" showDropDown="0" showInputMessage="0" showErrorMessage="1" allowBlank="1" errorTitle="Valeur invalide" error="Valeur hors liste. Utiliser la liste deroulante." type="list">
      <formula1>lst_Codes_Impact</formula1>
    </dataValidation>
    <dataValidation sqref="X2:X501" showDropDown="0" showInputMessage="0" showErrorMessage="1" allowBlank="1" errorTitle="Valeur invalide" error="Valeur hors liste. Utiliser la liste deroulante." type="list">
      <formula1>lst_Comptabilisation</formula1>
    </dataValidation>
    <dataValidation sqref="AA2:AA501" showDropDown="0" showInputMessage="0" showErrorMessage="1" allowBlank="1" errorTitle="Valeur invalide" error="Valeur hors liste. Utiliser la liste deroulante." type="list">
      <formula1>lst_Statuts_Controle</formula1>
    </dataValidation>
    <dataValidation sqref="AB2:AB501" showDropDown="0" showInputMessage="0" showErrorMessage="1" allowBlank="1" errorTitle="Valeur invalide" error="Valeur hors liste. Utiliser la liste deroulante." type="list">
      <formula1>lst_Niveau_Anomalie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4" customWidth="1" min="4" max="4"/>
    <col width="19" customWidth="1" min="5" max="5"/>
    <col width="23" customWidth="1" min="6" max="6"/>
    <col width="26" customWidth="1" min="7" max="7"/>
    <col width="18" customWidth="1" min="8" max="8"/>
    <col width="22" customWidth="1" min="9" max="9"/>
    <col width="22" customWidth="1" min="10" max="10"/>
    <col width="21" customWidth="1" min="11" max="11"/>
  </cols>
  <sheetData>
    <row r="1">
      <c r="A1" s="11" t="inlineStr">
        <is>
          <t>lst_Canaux</t>
        </is>
      </c>
      <c r="B1" s="11" t="inlineStr">
        <is>
          <t>lst_Proprietaires</t>
        </is>
      </c>
      <c r="C1" s="11" t="inlineStr">
        <is>
          <t>lst_Logements</t>
        </is>
      </c>
      <c r="D1" s="11" t="inlineStr">
        <is>
          <t>lst_Associes</t>
        </is>
      </c>
      <c r="E1" s="11" t="inlineStr">
        <is>
          <t>lst_ModesPaiement</t>
        </is>
      </c>
      <c r="F1" s="11" t="inlineStr">
        <is>
          <t>lst_Source_Financiere</t>
        </is>
      </c>
      <c r="G1" s="11" t="inlineStr">
        <is>
          <t>lst_TauxCommissionSource</t>
        </is>
      </c>
      <c r="H1" s="11" t="inlineStr">
        <is>
          <t>lst_Codes_Impact</t>
        </is>
      </c>
      <c r="I1" s="11" t="inlineStr">
        <is>
          <t>lst_Comptabilisation</t>
        </is>
      </c>
      <c r="J1" s="11" t="inlineStr">
        <is>
          <t>lst_Statuts_Controle</t>
        </is>
      </c>
      <c r="K1" s="11" t="inlineStr">
        <is>
          <t>lst_Niveau_Anomalie</t>
        </is>
      </c>
      <c r="M1" s="12" t="inlineStr">
        <is>
          <t>prop_taux_id</t>
        </is>
      </c>
      <c r="N1" s="12" t="inlineStr">
        <is>
          <t>prop_taux_val</t>
        </is>
      </c>
    </row>
    <row r="2">
      <c r="A2" t="inlineStr">
        <is>
          <t>CANAL_001</t>
        </is>
      </c>
      <c r="B2" t="inlineStr">
        <is>
          <t>PROP_0001</t>
        </is>
      </c>
      <c r="C2" t="inlineStr">
        <is>
          <t>LOG_0001</t>
        </is>
      </c>
      <c r="D2" t="inlineStr">
        <is>
          <t>PERS_EWAN</t>
        </is>
      </c>
      <c r="E2" t="inlineStr">
        <is>
          <t>PAY_001</t>
        </is>
      </c>
      <c r="F2" t="inlineStr">
        <is>
          <t>SAISIE_MANUELLE</t>
        </is>
      </c>
      <c r="G2" t="inlineStr">
        <is>
          <t>REF_PROPRIETAIRE</t>
        </is>
      </c>
      <c r="H2" t="inlineStr">
        <is>
          <t>HC</t>
        </is>
      </c>
      <c r="I2" t="inlineStr">
        <is>
          <t>OUI</t>
        </is>
      </c>
      <c r="J2" t="inlineStr">
        <is>
          <t>VALIDE</t>
        </is>
      </c>
      <c r="K2" t="inlineStr">
        <is>
          <t>INFO</t>
        </is>
      </c>
      <c r="M2" t="inlineStr">
        <is>
          <t>PROP_0001</t>
        </is>
      </c>
      <c r="N2" t="n">
        <v>0.18</v>
      </c>
    </row>
    <row r="3">
      <c r="A3" t="inlineStr">
        <is>
          <t>CANAL_002</t>
        </is>
      </c>
      <c r="B3" t="inlineStr">
        <is>
          <t>PROP_0002</t>
        </is>
      </c>
      <c r="C3" t="inlineStr">
        <is>
          <t>LOG_0002</t>
        </is>
      </c>
      <c r="D3" t="inlineStr">
        <is>
          <t>PERS_WAFA</t>
        </is>
      </c>
      <c r="E3" t="inlineStr">
        <is>
          <t>PAY_002</t>
        </is>
      </c>
      <c r="F3" t="inlineStr">
        <is>
          <t>HOSTAWAY_REFERENCE</t>
        </is>
      </c>
      <c r="G3" t="inlineStr">
        <is>
          <t>REF_LOGEMENT</t>
        </is>
      </c>
      <c r="H3" t="inlineStr">
        <is>
          <t>IC</t>
        </is>
      </c>
      <c r="I3" t="inlineStr">
        <is>
          <t>NON</t>
        </is>
      </c>
      <c r="J3" t="inlineStr">
        <is>
          <t>A_CONTROLER</t>
        </is>
      </c>
      <c r="K3" t="inlineStr">
        <is>
          <t>A_CONTROLER</t>
        </is>
      </c>
      <c r="M3" t="inlineStr">
        <is>
          <t>PROP_0002</t>
        </is>
      </c>
      <c r="N3" t="n">
        <v>0.15</v>
      </c>
    </row>
    <row r="4">
      <c r="A4" t="inlineStr">
        <is>
          <t>CANAL_003</t>
        </is>
      </c>
      <c r="B4" t="inlineStr">
        <is>
          <t>PROP_0003</t>
        </is>
      </c>
      <c r="C4" t="inlineStr">
        <is>
          <t>LOG_0004</t>
        </is>
      </c>
      <c r="E4" t="inlineStr">
        <is>
          <t>PAY_003</t>
        </is>
      </c>
      <c r="F4" t="inlineStr">
        <is>
          <t>VRBO_UNKNOWN</t>
        </is>
      </c>
      <c r="G4" t="inlineStr">
        <is>
          <t>SAISIE_MANUELLE</t>
        </is>
      </c>
      <c r="H4" t="inlineStr">
        <is>
          <t>HR</t>
        </is>
      </c>
      <c r="J4" t="inlineStr">
        <is>
          <t>EXCLU_RESULTAT</t>
        </is>
      </c>
      <c r="K4" t="inlineStr">
        <is>
          <t>BLOQUANT</t>
        </is>
      </c>
      <c r="M4" t="inlineStr">
        <is>
          <t>PROP_0003</t>
        </is>
      </c>
      <c r="N4" t="n">
        <v>0.15</v>
      </c>
    </row>
    <row r="5">
      <c r="A5" t="inlineStr">
        <is>
          <t>CANAL_004</t>
        </is>
      </c>
      <c r="B5" t="inlineStr">
        <is>
          <t>PROP_0004</t>
        </is>
      </c>
      <c r="C5" t="inlineStr">
        <is>
          <t>LOG_0005</t>
        </is>
      </c>
      <c r="E5" t="inlineStr">
        <is>
          <t>PAY_004</t>
        </is>
      </c>
      <c r="F5" t="inlineStr">
        <is>
          <t>DIRECT_HA_PAYANT</t>
        </is>
      </c>
      <c r="G5" t="inlineStr">
        <is>
          <t>A_CONTROLER</t>
        </is>
      </c>
      <c r="J5" t="inlineStr">
        <is>
          <t>A_VENTILER</t>
        </is>
      </c>
      <c r="M5" t="inlineStr">
        <is>
          <t>PROP_0004</t>
        </is>
      </c>
      <c r="N5" t="n">
        <v>0.15</v>
      </c>
    </row>
    <row r="6">
      <c r="A6" t="inlineStr">
        <is>
          <t>CANAL_005</t>
        </is>
      </c>
      <c r="B6" t="inlineStr">
        <is>
          <t>PROP_0005</t>
        </is>
      </c>
      <c r="C6" t="inlineStr">
        <is>
          <t>LOG_0006</t>
        </is>
      </c>
      <c r="E6" t="inlineStr">
        <is>
          <t>PAY_005</t>
        </is>
      </c>
      <c r="F6" t="inlineStr">
        <is>
          <t>A_CONTROLER</t>
        </is>
      </c>
      <c r="M6" t="inlineStr">
        <is>
          <t>PROP_0005</t>
        </is>
      </c>
      <c r="N6" t="n">
        <v>0.19</v>
      </c>
    </row>
    <row r="7">
      <c r="B7" t="inlineStr">
        <is>
          <t>PROP_0006</t>
        </is>
      </c>
      <c r="C7" t="inlineStr">
        <is>
          <t>LOG_0007</t>
        </is>
      </c>
      <c r="M7" t="inlineStr">
        <is>
          <t>PROP_0006</t>
        </is>
      </c>
      <c r="N7" t="n">
        <v>0.15</v>
      </c>
    </row>
    <row r="8">
      <c r="B8" t="inlineStr">
        <is>
          <t>PROP_0007</t>
        </is>
      </c>
      <c r="C8" t="inlineStr">
        <is>
          <t>LOG_0008</t>
        </is>
      </c>
      <c r="M8" t="inlineStr">
        <is>
          <t>PROP_0007</t>
        </is>
      </c>
      <c r="N8" t="n">
        <v>0.19</v>
      </c>
    </row>
    <row r="9">
      <c r="B9" t="inlineStr">
        <is>
          <t>PROP_0008</t>
        </is>
      </c>
      <c r="C9" t="inlineStr">
        <is>
          <t>LOG_0009</t>
        </is>
      </c>
      <c r="M9" t="inlineStr">
        <is>
          <t>PROP_0008</t>
        </is>
      </c>
      <c r="N9" t="n">
        <v>0.19</v>
      </c>
    </row>
    <row r="10">
      <c r="B10" t="inlineStr">
        <is>
          <t>PROP_0009</t>
        </is>
      </c>
      <c r="C10" t="inlineStr">
        <is>
          <t>LOG_0010</t>
        </is>
      </c>
      <c r="M10" t="inlineStr">
        <is>
          <t>PROP_0009</t>
        </is>
      </c>
      <c r="N10" t="n">
        <v>0.18</v>
      </c>
    </row>
    <row r="11">
      <c r="B11" t="inlineStr">
        <is>
          <t>PROP_0010</t>
        </is>
      </c>
      <c r="C11" t="inlineStr">
        <is>
          <t>LOG_0011</t>
        </is>
      </c>
      <c r="M11" t="inlineStr">
        <is>
          <t>PROP_0010</t>
        </is>
      </c>
      <c r="N11" t="n">
        <v>0.19</v>
      </c>
    </row>
    <row r="12">
      <c r="B12" t="inlineStr">
        <is>
          <t>PROP_0011</t>
        </is>
      </c>
      <c r="C12" t="inlineStr">
        <is>
          <t>LOG_0012</t>
        </is>
      </c>
      <c r="M12" t="inlineStr">
        <is>
          <t>PROP_0011</t>
        </is>
      </c>
      <c r="N12" t="n">
        <v>0.15</v>
      </c>
    </row>
    <row r="13">
      <c r="B13" t="inlineStr">
        <is>
          <t>PROP_0012</t>
        </is>
      </c>
      <c r="C13" t="inlineStr">
        <is>
          <t>LOG_0013</t>
        </is>
      </c>
      <c r="M13" t="inlineStr">
        <is>
          <t>PROP_0012</t>
        </is>
      </c>
      <c r="N13" t="n">
        <v>0.12</v>
      </c>
    </row>
    <row r="14">
      <c r="C14" t="inlineStr">
        <is>
          <t>LOG_0014</t>
        </is>
      </c>
    </row>
    <row r="15">
      <c r="C15" t="inlineStr">
        <is>
          <t>LOG_0015</t>
        </is>
      </c>
    </row>
    <row r="16">
      <c r="C16" t="inlineStr">
        <is>
          <t>LOG_0016</t>
        </is>
      </c>
    </row>
    <row r="17">
      <c r="C17" t="inlineStr">
        <is>
          <t>LOG_0017</t>
        </is>
      </c>
    </row>
    <row r="18">
      <c r="C18" t="inlineStr">
        <is>
          <t>APPARTEMENT_DIVERS</t>
        </is>
      </c>
    </row>
    <row r="19">
      <c r="C19" t="inlineStr">
        <is>
          <t>LOGEMENT_DIVERS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65" customWidth="1" min="3" max="3"/>
    <col width="22" customWidth="1" min="4" max="4"/>
    <col width="55" customWidth="1" min="5" max="5"/>
  </cols>
  <sheetData>
    <row r="1">
      <c r="A1" s="11" t="inlineStr">
        <is>
          <t>Code</t>
        </is>
      </c>
      <c r="B1" s="11" t="inlineStr">
        <is>
          <t>Libelle</t>
        </is>
      </c>
      <c r="C1" s="11" t="inlineStr">
        <is>
          <t>Valeur</t>
        </is>
      </c>
      <c r="D1" s="11" t="inlineStr">
        <is>
          <t>Seuil</t>
        </is>
      </c>
      <c r="E1" s="11" t="inlineStr">
        <is>
          <t>Note</t>
        </is>
      </c>
    </row>
    <row r="2">
      <c r="A2" t="inlineStr">
        <is>
          <t>CTR-L4-01</t>
        </is>
      </c>
      <c r="B2" t="inlineStr">
        <is>
          <t>Lignes saisies (reservation_hh_id renseigne)</t>
        </is>
      </c>
      <c r="C2">
        <f>MAX(0,COUNTA(SAISIE!A:A)-1)</f>
        <v/>
      </c>
      <c r="D2" t="inlineStr">
        <is>
          <t>INFO</t>
        </is>
      </c>
    </row>
    <row r="3">
      <c r="A3" t="inlineStr">
        <is>
          <t>CTR-L4-02</t>
        </is>
      </c>
      <c r="B3" t="inlineStr">
        <is>
          <t>Lignes VALIDE (statut_controle)</t>
        </is>
      </c>
      <c r="C3">
        <f>COUNTIF(SAISIE!AA:AA,"VALIDE")</f>
        <v/>
      </c>
      <c r="D3" t="inlineStr">
        <is>
          <t>INFO</t>
        </is>
      </c>
    </row>
    <row r="4">
      <c r="A4" t="inlineStr">
        <is>
          <t>CTR-L4-03</t>
        </is>
      </c>
      <c r="B4" t="inlineStr">
        <is>
          <t>Lignes A_CONTROLER (statut_controle)</t>
        </is>
      </c>
      <c r="C4">
        <f>COUNTIF(SAISIE!AA:AA,"A_CONTROLER")</f>
        <v/>
      </c>
      <c r="D4" t="inlineStr">
        <is>
          <t>ATTENTION si &gt; 0</t>
        </is>
      </c>
    </row>
    <row r="5">
      <c r="A5" t="inlineStr">
        <is>
          <t>CTR-L4-04</t>
        </is>
      </c>
      <c r="B5" t="inlineStr">
        <is>
          <t>Lignes EXCLU_RESULTAT</t>
        </is>
      </c>
      <c r="C5">
        <f>COUNTIF(SAISIE!AA:AA,"EXCLU_RESULTAT")</f>
        <v/>
      </c>
      <c r="D5" t="inlineStr">
        <is>
          <t>INFO</t>
        </is>
      </c>
    </row>
    <row r="6">
      <c r="A6" t="inlineStr">
        <is>
          <t>CTR-L4-05</t>
        </is>
      </c>
      <c r="B6" t="inlineStr">
        <is>
          <t>Lignes A_VENTILER</t>
        </is>
      </c>
      <c r="C6">
        <f>COUNTIF(SAISIE!AA:AA,"A_VENTILER")</f>
        <v/>
      </c>
      <c r="D6" t="inlineStr">
        <is>
          <t>ATTENTION si &gt; 0</t>
        </is>
      </c>
    </row>
    <row r="7">
      <c r="A7" t="inlineStr">
        <is>
          <t>CTR-L4-06</t>
        </is>
      </c>
      <c r="B7" t="inlineStr">
        <is>
          <t>Lignes BLOQUANT (niveau_anomalie)</t>
        </is>
      </c>
      <c r="C7">
        <f>COUNTIF(SAISIE!AB:AB,"BLOQUANT")</f>
        <v/>
      </c>
      <c r="D7" t="inlineStr">
        <is>
          <t>BLOQUANT si &gt; 0</t>
        </is>
      </c>
      <c r="E7" t="inlineStr">
        <is>
          <t>Doit etre 0 avant livraison vers MASTER</t>
        </is>
      </c>
    </row>
    <row r="8">
      <c r="A8" t="inlineStr">
        <is>
          <t>CTR-L4-07</t>
        </is>
      </c>
      <c r="B8" t="inlineStr">
        <is>
          <t>reservation_hh_id dupliques</t>
        </is>
      </c>
      <c r="C8">
        <f>SUMPRODUCT((COUNTIF(SAISIE!A2:A501,SAISIE!A2:A501)-1)*(SAISIE!A2:A501&lt;&gt;""))</f>
        <v/>
      </c>
      <c r="D8" t="inlineStr">
        <is>
          <t>BLOQUANT si &gt; 0</t>
        </is>
      </c>
      <c r="E8" t="inlineStr">
        <is>
          <t>PK unique obligatoire — RESH_DOUBLON_HH_ID</t>
        </is>
      </c>
    </row>
    <row r="9">
      <c r="A9" t="inlineStr">
        <is>
          <t>CTR-L4-08</t>
        </is>
      </c>
      <c r="B9" t="inlineStr">
        <is>
          <t>Proprietaire manquant (ligne renseignee)</t>
        </is>
      </c>
      <c r="C9">
        <f>COUNTIFS(SAISIE!A2:A501,"&lt;&gt;",SAISIE!F2:F501,"")</f>
        <v/>
      </c>
      <c r="D9" t="inlineStr">
        <is>
          <t>BLOQUANT si &gt; 0</t>
        </is>
      </c>
      <c r="E9" t="inlineStr">
        <is>
          <t>RESH_PROPRIETAIRE_MANQUANT</t>
        </is>
      </c>
    </row>
    <row r="10">
      <c r="A10" t="inlineStr">
        <is>
          <t>CTR-L4-09</t>
        </is>
      </c>
      <c r="B10" t="inlineStr">
        <is>
          <t>Logement manquant (ligne renseignee)</t>
        </is>
      </c>
      <c r="C10">
        <f>COUNTIFS(SAISIE!A2:A501,"&lt;&gt;",SAISIE!G2:G501,"")</f>
        <v/>
      </c>
      <c r="D10" t="inlineStr">
        <is>
          <t>BLOQUANT si &gt; 0</t>
        </is>
      </c>
      <c r="E10" t="inlineStr">
        <is>
          <t>RESH_LOGEMENT_MANQUANT</t>
        </is>
      </c>
    </row>
    <row r="11">
      <c r="A11" t="inlineStr">
        <is>
          <t>CTR-L4-10</t>
        </is>
      </c>
      <c r="B11" t="inlineStr">
        <is>
          <t>Canal manquant (ligne renseignee)</t>
        </is>
      </c>
      <c r="C11">
        <f>COUNTIFS(SAISIE!A2:A501,"&lt;&gt;",SAISIE!D2:D501,"")</f>
        <v/>
      </c>
      <c r="D11" t="inlineStr">
        <is>
          <t>BLOQUANT si &gt; 0</t>
        </is>
      </c>
      <c r="E11" t="inlineStr">
        <is>
          <t>RESH_CANAL_MANQUANT</t>
        </is>
      </c>
    </row>
    <row r="12">
      <c r="A12" t="inlineStr">
        <is>
          <t>CTR-L4-11</t>
        </is>
      </c>
      <c r="B12" t="inlineStr">
        <is>
          <t>Source financiere manquante (ligne renseignee)</t>
        </is>
      </c>
      <c r="C12">
        <f>COUNTIFS(SAISIE!A2:A501,"&lt;&gt;",SAISIE!E2:E501,"")</f>
        <v/>
      </c>
      <c r="D12" t="inlineStr">
        <is>
          <t>BLOQUANT si &gt; 0</t>
        </is>
      </c>
      <c r="E12" t="inlineStr">
        <is>
          <t>RESH_SOURCE_FINANCIERE_MANQUANTE</t>
        </is>
      </c>
    </row>
    <row r="13">
      <c r="A13" t="inlineStr">
        <is>
          <t>CTR-L4-12</t>
        </is>
      </c>
      <c r="B13" t="inlineStr">
        <is>
          <t>Acompte facture negatif</t>
        </is>
      </c>
      <c r="C13">
        <f>COUNTIF(SAISIE!V2:V501,"&lt;0")</f>
        <v/>
      </c>
      <c r="D13" t="inlineStr">
        <is>
          <t>BLOQUANT si &gt; 0</t>
        </is>
      </c>
      <c r="E13" t="inlineStr">
        <is>
          <t>RESH_ACOMPTE_NEGATIF — verifier la formule</t>
        </is>
      </c>
    </row>
    <row r="14">
      <c r="A14" t="inlineStr">
        <is>
          <t>CTR-L4-13</t>
        </is>
      </c>
      <c r="B14" t="inlineStr">
        <is>
          <t>VRBO sans montant (VRBO_UNKNOWN + total_percu vide)</t>
        </is>
      </c>
      <c r="C14">
        <f>COUNTIFS(SAISIE!E2:E501,"VRBO_UNKNOWN",SAISIE!L2:L501,"")</f>
        <v/>
      </c>
      <c r="D14" t="inlineStr">
        <is>
          <t>A_CONTROLER si &gt; 0</t>
        </is>
      </c>
      <c r="E14" t="inlineStr">
        <is>
          <t>ANO-004 — saisir le montant VRBO reel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SAISIE_ReservationsHorsHostaway.xlsx — Guide de saisie (Lot 4)</t>
        </is>
      </c>
    </row>
    <row r="2">
      <c r="A2" s="14" t="inlineStr"/>
    </row>
    <row r="3">
      <c r="A3" s="13" t="inlineStr">
        <is>
          <t>PERIMETRE</t>
        </is>
      </c>
    </row>
    <row r="4">
      <c r="A4" s="14" t="inlineStr">
        <is>
          <t>Reservations non gerees financierement par Hostaway.</t>
        </is>
      </c>
    </row>
    <row r="5">
      <c r="A5" s="14" t="inlineStr">
        <is>
          <t xml:space="preserve">  - 29 VRBO paymentStatus=Unknown (ANO-004) : source_financiere=VRBO_UNKNOWN</t>
        </is>
      </c>
    </row>
    <row r="6">
      <c r="A6" s="14" t="inlineStr">
        <is>
          <t xml:space="preserve">  - 13 Direct Hostaway totalPrice&gt;0 dont la verite financiere est ici : source_financiere=DIRECT_HA_PAYANT</t>
        </is>
      </c>
    </row>
    <row r="7">
      <c r="A7" s="14" t="inlineStr">
        <is>
          <t xml:space="preserve">  - Reservations absentes de Hostaway : source_financiere=SAISIE_MANUELLE</t>
        </is>
      </c>
    </row>
    <row r="8">
      <c r="A8" s="14" t="inlineStr">
        <is>
          <t>EXCLUT : ownerStay (montant 0). IK/avantages (Lot 7). Acomptes proprietaires (Lot 5).</t>
        </is>
      </c>
    </row>
    <row r="9">
      <c r="A9" s="14" t="inlineStr"/>
    </row>
    <row r="10">
      <c r="A10" s="13" t="inlineStr">
        <is>
          <t>REGLES OBLIGATOIRES</t>
        </is>
      </c>
    </row>
    <row r="11">
      <c r="A11" s="14" t="inlineStr">
        <is>
          <t>1. reservation_hh_id : PK unique. Format : RESHH-AAAA-MM-NNN (NNN reset a 001 chaque mois).</t>
        </is>
      </c>
    </row>
    <row r="12">
      <c r="A12" s="14" t="inlineStr">
        <is>
          <t xml:space="preserve">   Exemple : RESHH-2026-05-001 / RESHH-2026-06-001.</t>
        </is>
      </c>
    </row>
    <row r="13">
      <c r="A13" s="14" t="inlineStr">
        <is>
          <t xml:space="preserve">   SAISIR comme valeur fixe (taper en dur ou Coller valeur seule). NE PAS utiliser de formule.</t>
        </is>
      </c>
    </row>
    <row r="14">
      <c r="A14" s="14" t="inlineStr">
        <is>
          <t xml:space="preserve">   La cle ne doit jamais etre regeneree automatiquement apres saisie initiale.</t>
        </is>
      </c>
    </row>
    <row r="15">
      <c r="A15" s="14" t="inlineStr">
        <is>
          <t>2. canal_id : obligatoire. VRBO=CANAL_003 / Direct=CANAL_004 / Autre=CANAL_005.</t>
        </is>
      </c>
    </row>
    <row r="16">
      <c r="A16" s="14" t="inlineStr">
        <is>
          <t>3. source_financiere : obligatoire (voir tableau ci-dessous).</t>
        </is>
      </c>
    </row>
    <row r="17">
      <c r="A17" s="14" t="inlineStr">
        <is>
          <t>4. reservation_id_hostaway : obligatoire si source_financiere IN</t>
        </is>
      </c>
    </row>
    <row r="18">
      <c r="A18" s="14" t="inlineStr">
        <is>
          <t xml:space="preserve">   {VRBO_UNKNOWN, DIRECT_HA_PAYANT, HOSTAWAY_REFERENCE}.</t>
        </is>
      </c>
    </row>
    <row r="19">
      <c r="A19" s="14" t="inlineStr">
        <is>
          <t>5. taux_commission : resolu en aval depuis REF_Taux_Commission ; ne pas saisir de taux non date.</t>
        </is>
      </c>
    </row>
    <row r="20">
      <c r="A20" s="14" t="inlineStr">
        <is>
          <t xml:space="preserve">   Si la formule renvoie vide → taux absent du referentiel.</t>
        </is>
      </c>
    </row>
    <row r="21">
      <c r="A21" s="14" t="inlineStr">
        <is>
          <t xml:space="preserve">   Dans ce cas : saisir le taux manuellement ET changer taux_commission_source a SAISIE_MANUELLE.</t>
        </is>
      </c>
    </row>
    <row r="22">
      <c r="A22" s="14" t="inlineStr">
        <is>
          <t>6. acompte_facture = total_percu - menage - commission - montant_reverse_proprietaire (calcule, col V).</t>
        </is>
      </c>
    </row>
    <row r="23">
      <c r="A23" s="14" t="inlineStr">
        <is>
          <t xml:space="preserve">   Si negatif → BLOQUANT. Verifier coherence des montants saisis.</t>
        </is>
      </c>
    </row>
    <row r="24">
      <c r="A24" s="14" t="inlineStr">
        <is>
          <t>7. Si une charge est payee avec le montant recupere par un associe :</t>
        </is>
      </c>
    </row>
    <row r="25">
      <c r="A25" s="14" t="inlineStr">
        <is>
          <t xml:space="preserve">   → saisir la charge dans SAISIE_Charges_Flux.xlsx (Lot 3),</t>
        </is>
      </c>
    </row>
    <row r="26">
      <c r="A26" s="14" t="inlineStr">
        <is>
          <t xml:space="preserve">     champ paye_avec_montant_recupere = reservation_hh_id de cette ligne.</t>
        </is>
      </c>
    </row>
    <row r="27">
      <c r="A27" s="14" t="inlineStr">
        <is>
          <t xml:space="preserve">   → NE PAS compenser dans ce fichier.</t>
        </is>
      </c>
    </row>
    <row r="28">
      <c r="A28" s="14" t="inlineStr">
        <is>
          <t>8. Passer statut_controle a VALIDE avant integration dans MASTER (D029).</t>
        </is>
      </c>
    </row>
    <row r="29">
      <c r="A29" s="14" t="inlineStr"/>
    </row>
    <row r="30">
      <c r="A30" s="13" t="inlineStr">
        <is>
          <t>TABLE source_financiere</t>
        </is>
      </c>
    </row>
    <row r="31">
      <c r="A31" s="14" t="inlineStr">
        <is>
          <t xml:space="preserve">  VRBO_UNKNOWN        : VRBO dans Hostaway, paymentStatus=Unknown — montant saisi ici.</t>
        </is>
      </c>
    </row>
    <row r="32">
      <c r="A32" s="14" t="inlineStr">
        <is>
          <t xml:space="preserve">  DIRECT_HA_PAYANT    : Direct Hostaway avec totalPrice&gt;0, verite financiere = Lot 4.</t>
        </is>
      </c>
    </row>
    <row r="33">
      <c r="A33" s="14" t="inlineStr">
        <is>
          <t xml:space="preserve">  SAISIE_MANUELLE     : Reservation absente de Hostaway, saisie integrale.</t>
        </is>
      </c>
    </row>
    <row r="34">
      <c r="A34" s="14" t="inlineStr">
        <is>
          <t xml:space="preserve">  HOSTAWAY_REFERENCE  : Hostaway sert de reference non financiere uniquement.</t>
        </is>
      </c>
    </row>
    <row r="35">
      <c r="A35" s="14" t="inlineStr">
        <is>
          <t xml:space="preserve">  A_CONTROLER         : Source non clairement identifiable.</t>
        </is>
      </c>
    </row>
    <row r="36">
      <c r="A36" s="14" t="inlineStr"/>
    </row>
    <row r="37">
      <c r="A37" s="13" t="inlineStr">
        <is>
          <t>DOUBLON ANTI-COMPTAGE (Lot 4bis)</t>
        </is>
      </c>
    </row>
    <row r="38">
      <c r="A38" s="14" t="inlineStr">
        <is>
          <t>Les lignes DIRECT_HA_PAYANT seront reconciliees vs Hostaway direct via reservation_id_hostaway.</t>
        </is>
      </c>
    </row>
    <row r="39">
      <c r="A39" s="14" t="inlineStr">
        <is>
          <t>Chaque reservation n alimente MASTER_CALC_Flux qu une seule fois (TC2 — REGLES_METIER §10).</t>
        </is>
      </c>
    </row>
    <row r="40">
      <c r="A40" s="14" t="inlineStr"/>
    </row>
    <row r="41">
      <c r="A41" s="13" t="inlineStr">
        <is>
          <t>ONGLETS</t>
        </is>
      </c>
    </row>
    <row r="42">
      <c r="A42" s="14" t="inlineStr">
        <is>
          <t xml:space="preserve">  SAISIE             : 30 colonnes, 11 DV, MFC rouge=BLOQUANT / orange=A_CONTROLER</t>
        </is>
      </c>
    </row>
    <row r="43">
      <c r="A43" s="14" t="inlineStr">
        <is>
          <t xml:space="preserve">  REF_LOCALE         : 11 listes + lookup taux commission (ne pas modifier manuellement)</t>
        </is>
      </c>
    </row>
    <row r="44">
      <c r="A44" s="14" t="inlineStr">
        <is>
          <t xml:space="preserve">  CONTROLES_SAISIE   : 13 controles automatiques — verifier avant chaque livraison</t>
        </is>
      </c>
    </row>
    <row r="45">
      <c r="A45" s="14" t="inlineStr">
        <is>
          <t xml:space="preserve">  README             : ce fichier</t>
        </is>
      </c>
    </row>
    <row r="46">
      <c r="A46" s="14" t="inlineStr"/>
    </row>
    <row r="47">
      <c r="A47" s="13" t="inlineStr">
        <is>
          <t>CONTROLES OBLIGATOIRES AVANT LIVRAISON (D029 — JOURNAL_CONTROLES)</t>
        </is>
      </c>
    </row>
    <row r="48">
      <c r="A48" s="14" t="inlineStr">
        <is>
          <t>CTR-L4-06 = 0  (aucun BLOQUANT dans niveau_anomalie)</t>
        </is>
      </c>
    </row>
    <row r="49">
      <c r="A49" s="14" t="inlineStr">
        <is>
          <t>CTR-L4-07 = 0  (aucun reservation_hh_id duplique)</t>
        </is>
      </c>
    </row>
    <row r="50">
      <c r="A50" s="14" t="inlineStr">
        <is>
          <t>CTR-L4-08 = 0  (aucun proprietaire manquant)</t>
        </is>
      </c>
    </row>
    <row r="51">
      <c r="A51" s="14" t="inlineStr">
        <is>
          <t>CTR-L4-09 = 0  (aucun logement manquant)</t>
        </is>
      </c>
    </row>
    <row r="52">
      <c r="A52" s="14" t="inlineStr">
        <is>
          <t>CTR-L4-10 = 0  (aucun canal manquant)</t>
        </is>
      </c>
    </row>
    <row r="53">
      <c r="A53" s="14" t="inlineStr">
        <is>
          <t>CTR-L4-11 = 0  (aucune source_financiere manquante)</t>
        </is>
      </c>
    </row>
    <row r="54">
      <c r="A54" s="14" t="inlineStr">
        <is>
          <t>CTR-L4-12 = 0  (aucun acompte_facture negatif)</t>
        </is>
      </c>
    </row>
    <row r="55">
      <c r="A55" s="14" t="inlineStr">
        <is>
          <t>CTR-L4-13 : noter le nombre de VRBO sans montant restants (ANO-004)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2026-06-09T00:32:45Z</dcterms:created>
  <dcterms:modified xmlns:dcterms="http://purl.org/dc/terms/" xmlns:xsi="http://www.w3.org/2001/XMLSchema-instance" xsi:type="dcterms:W3CDTF">2026-06-28T19:49:09Z</dcterms:modified>
</cp:coreProperties>
</file>
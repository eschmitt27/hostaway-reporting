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VUE_ACTIVE" sheetId="2" state="visible" r:id="rId2"/>
    <sheet name="POWER_QUERY_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</font>
    <font>
      <b val="1"/>
      <color rgb="001F497D"/>
      <sz val="12"/>
    </font>
    <font>
      <i val="1"/>
      <color rgb="00595959"/>
      <sz val="10"/>
    </font>
    <font>
      <sz val="9"/>
    </font>
    <font>
      <b val="1"/>
      <color rgb="007030A0"/>
      <sz val="10"/>
    </font>
    <font>
      <name val="Courier New"/>
      <color rgb="00262626"/>
      <sz val="9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974706"/>
        <bgColor rgb="00974706"/>
      </patternFill>
    </fill>
    <fill>
      <patternFill patternType="solid">
        <fgColor rgb="00C55A11"/>
        <bgColor rgb="00C55A11"/>
      </patternFill>
    </fill>
    <fill>
      <patternFill patternType="solid">
        <fgColor rgb="00833C00"/>
        <bgColor rgb="00833C00"/>
      </patternFill>
    </fill>
    <fill>
      <patternFill patternType="solid">
        <fgColor rgb="00C00000"/>
        <bgColor rgb="00C00000"/>
      </patternFill>
    </fill>
    <fill>
      <patternFill patternType="solid">
        <fgColor rgb="007B0000"/>
        <bgColor rgb="007B0000"/>
      </patternFill>
    </fill>
    <fill>
      <patternFill patternType="solid">
        <fgColor rgb="00595959"/>
        <bgColor rgb="00595959"/>
      </patternFill>
    </fill>
    <fill>
      <patternFill patternType="solid">
        <fgColor rgb="00404040"/>
        <b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9" customWidth="1" min="5" max="5"/>
    <col width="17" customWidth="1" min="6" max="6"/>
    <col width="14" customWidth="1" min="7" max="7"/>
    <col width="2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24" customWidth="1" min="15" max="15"/>
    <col width="29" customWidth="1" min="16" max="16"/>
    <col width="14" customWidth="1" min="17" max="17"/>
    <col width="18" customWidth="1" min="18" max="18"/>
    <col width="25" customWidth="1" min="19" max="19"/>
    <col width="30" customWidth="1" min="20" max="20"/>
    <col width="18" customWidth="1" min="21" max="21"/>
    <col width="17" customWidth="1" min="22" max="22"/>
    <col width="14" customWidth="1" min="23" max="23"/>
    <col width="18" customWidth="1" min="24" max="24"/>
    <col width="22" customWidth="1" min="25" max="25"/>
    <col width="27" customWidth="1" min="26" max="26"/>
    <col width="17" customWidth="1" min="27" max="27"/>
    <col width="17" customWidth="1" min="28" max="28"/>
    <col width="15" customWidth="1" min="29" max="29"/>
    <col width="14" customWidth="1" min="30" max="30"/>
    <col width="15" customWidth="1" min="31" max="31"/>
    <col width="14" customWidth="1" min="32" max="32"/>
    <col width="14" customWidth="1" min="33" max="33"/>
    <col width="18" customWidth="1" min="34" max="34"/>
  </cols>
  <sheetData>
    <row r="1" ht="42" customHeight="1">
      <c r="A1" s="1" t="inlineStr">
        <is>
          <t>reservation_hh_id</t>
        </is>
      </c>
      <c r="B1" s="1" t="inlineStr">
        <is>
          <t>ROW_HASH</t>
        </is>
      </c>
      <c r="C1" s="2" t="inlineStr">
        <is>
          <t>mois</t>
        </is>
      </c>
      <c r="D1" s="2" t="inlineStr">
        <is>
          <t>canal_id</t>
        </is>
      </c>
      <c r="E1" s="2" t="inlineStr">
        <is>
          <t>source_financiere</t>
        </is>
      </c>
      <c r="F1" s="2" t="inlineStr">
        <is>
          <t>proprietaire_id</t>
        </is>
      </c>
      <c r="G1" s="2" t="inlineStr">
        <is>
          <t>logement_id</t>
        </is>
      </c>
      <c r="H1" s="2" t="inlineStr">
        <is>
          <t>reservation_id_hostaway</t>
        </is>
      </c>
      <c r="I1" s="3" t="inlineStr">
        <is>
          <t>date_arrivee</t>
        </is>
      </c>
      <c r="J1" s="3" t="inlineStr">
        <is>
          <t>date_depart</t>
        </is>
      </c>
      <c r="K1" s="3" t="inlineStr">
        <is>
          <t>nuits</t>
        </is>
      </c>
      <c r="L1" s="4" t="inlineStr">
        <is>
          <t>total_percu</t>
        </is>
      </c>
      <c r="M1" s="4" t="inlineStr">
        <is>
          <t>menage</t>
        </is>
      </c>
      <c r="N1" s="4" t="inlineStr">
        <is>
          <t>taux_commission</t>
        </is>
      </c>
      <c r="O1" s="4" t="inlineStr">
        <is>
          <t>taux_commission_source</t>
        </is>
      </c>
      <c r="P1" s="4" t="inlineStr">
        <is>
          <t>commentaire_taux_commission</t>
        </is>
      </c>
      <c r="Q1" s="4" t="inlineStr">
        <is>
          <t>commission</t>
        </is>
      </c>
      <c r="R1" s="5" t="inlineStr">
        <is>
          <t>montant_recupere</t>
        </is>
      </c>
      <c r="S1" s="5" t="inlineStr">
        <is>
          <t>associe_id_recuperateur</t>
        </is>
      </c>
      <c r="T1" s="6" t="inlineStr">
        <is>
          <t>montant_reverse_proprietaire</t>
        </is>
      </c>
      <c r="U1" s="6" t="inlineStr">
        <is>
          <t>mode_paiement_id</t>
        </is>
      </c>
      <c r="V1" s="7" t="inlineStr">
        <is>
          <t>acompte_facture</t>
        </is>
      </c>
      <c r="W1" s="8" t="inlineStr">
        <is>
          <t>code_impact</t>
        </is>
      </c>
      <c r="X1" s="8" t="inlineStr">
        <is>
          <t>comptabilisation</t>
        </is>
      </c>
      <c r="Y1" s="8" t="inlineStr">
        <is>
          <t>impact_resultat_reel</t>
        </is>
      </c>
      <c r="Z1" s="8" t="inlineStr">
        <is>
          <t>impact_resultat_comptable</t>
        </is>
      </c>
      <c r="AA1" s="9" t="inlineStr">
        <is>
          <t>statut_controle</t>
        </is>
      </c>
      <c r="AB1" s="9" t="inlineStr">
        <is>
          <t>niveau_anomalie</t>
        </is>
      </c>
      <c r="AC1" s="9" t="inlineStr">
        <is>
          <t>code_anomalie</t>
        </is>
      </c>
      <c r="AD1" s="10" t="inlineStr">
        <is>
          <t>commentaire</t>
        </is>
      </c>
      <c r="AE1" s="11" t="inlineStr">
        <is>
          <t>source_module</t>
        </is>
      </c>
      <c r="AF1" s="11" t="inlineStr">
        <is>
          <t>source_table</t>
        </is>
      </c>
      <c r="AG1" s="11" t="inlineStr">
        <is>
          <t>source_pk</t>
        </is>
      </c>
      <c r="AH1" s="11" t="inlineStr">
        <is>
          <t>date_integration</t>
        </is>
      </c>
    </row>
    <row r="2">
      <c r="A2" s="12" t="inlineStr">
        <is>
          <t>[Charge par Power Query — requete MASTER_FACT_MAN_ReservationsHorsHostaway]</t>
        </is>
      </c>
    </row>
    <row r="3">
      <c r="A3" t="inlineStr">
        <is>
          <t>RESHH-2026-05-001</t>
        </is>
      </c>
      <c r="C3" t="inlineStr">
        <is>
          <t>2026-05</t>
        </is>
      </c>
      <c r="D3" t="inlineStr">
        <is>
          <t>CANAL_004</t>
        </is>
      </c>
      <c r="E3" t="inlineStr">
        <is>
          <t>DIRECT_HA_PAYANT</t>
        </is>
      </c>
      <c r="F3" t="inlineStr">
        <is>
          <t>PROP_0003</t>
        </is>
      </c>
      <c r="G3" t="inlineStr">
        <is>
          <t>LOG_0009</t>
        </is>
      </c>
      <c r="H3" t="n">
        <v>60559486</v>
      </c>
      <c r="I3" t="inlineStr">
        <is>
          <t>2026-05-25</t>
        </is>
      </c>
      <c r="J3" t="inlineStr">
        <is>
          <t>2026-07-19</t>
        </is>
      </c>
      <c r="K3" t="n">
        <v>55</v>
      </c>
      <c r="L3" t="n">
        <v>2343.48</v>
      </c>
      <c r="M3" t="n">
        <v>55</v>
      </c>
      <c r="N3" t="n">
        <v>0.15</v>
      </c>
      <c r="O3" t="inlineStr">
        <is>
          <t>REF_PROPRIETAIRE</t>
        </is>
      </c>
      <c r="W3" t="inlineStr">
        <is>
          <t>HC</t>
        </is>
      </c>
      <c r="X3" t="inlineStr">
        <is>
          <t>NON</t>
        </is>
      </c>
      <c r="Y3" t="inlineStr">
        <is>
          <t>OUI</t>
        </is>
      </c>
      <c r="Z3" t="inlineStr">
        <is>
          <t>NON</t>
        </is>
      </c>
      <c r="AA3" t="inlineStr">
        <is>
          <t>VALIDE</t>
        </is>
      </c>
      <c r="AB3" t="inlineStr">
        <is>
          <t>INFO</t>
        </is>
      </c>
      <c r="AD3" t="inlineStr">
        <is>
          <t>Reservation directe Hostaway 60559486 integree (decision humaine 2026-06-15). Menage standard T3 deduit pour assiette commission.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9" customWidth="1" min="5" max="5"/>
    <col width="17" customWidth="1" min="6" max="6"/>
    <col width="14" customWidth="1" min="7" max="7"/>
    <col width="2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24" customWidth="1" min="15" max="15"/>
    <col width="29" customWidth="1" min="16" max="16"/>
    <col width="14" customWidth="1" min="17" max="17"/>
    <col width="18" customWidth="1" min="18" max="18"/>
    <col width="25" customWidth="1" min="19" max="19"/>
    <col width="30" customWidth="1" min="20" max="20"/>
    <col width="18" customWidth="1" min="21" max="21"/>
    <col width="17" customWidth="1" min="22" max="22"/>
    <col width="14" customWidth="1" min="23" max="23"/>
    <col width="18" customWidth="1" min="24" max="24"/>
    <col width="22" customWidth="1" min="25" max="25"/>
    <col width="27" customWidth="1" min="26" max="26"/>
    <col width="17" customWidth="1" min="27" max="27"/>
    <col width="17" customWidth="1" min="28" max="28"/>
    <col width="15" customWidth="1" min="29" max="29"/>
    <col width="14" customWidth="1" min="30" max="30"/>
    <col width="15" customWidth="1" min="31" max="31"/>
    <col width="14" customWidth="1" min="32" max="32"/>
    <col width="14" customWidth="1" min="33" max="33"/>
    <col width="18" customWidth="1" min="34" max="34"/>
  </cols>
  <sheetData>
    <row r="1" ht="42" customHeight="1">
      <c r="A1" s="1" t="inlineStr">
        <is>
          <t>reservation_hh_id</t>
        </is>
      </c>
      <c r="B1" s="1" t="inlineStr">
        <is>
          <t>ROW_HASH</t>
        </is>
      </c>
      <c r="C1" s="2" t="inlineStr">
        <is>
          <t>mois</t>
        </is>
      </c>
      <c r="D1" s="2" t="inlineStr">
        <is>
          <t>canal_id</t>
        </is>
      </c>
      <c r="E1" s="2" t="inlineStr">
        <is>
          <t>source_financiere</t>
        </is>
      </c>
      <c r="F1" s="2" t="inlineStr">
        <is>
          <t>proprietaire_id</t>
        </is>
      </c>
      <c r="G1" s="2" t="inlineStr">
        <is>
          <t>logement_id</t>
        </is>
      </c>
      <c r="H1" s="2" t="inlineStr">
        <is>
          <t>reservation_id_hostaway</t>
        </is>
      </c>
      <c r="I1" s="3" t="inlineStr">
        <is>
          <t>date_arrivee</t>
        </is>
      </c>
      <c r="J1" s="3" t="inlineStr">
        <is>
          <t>date_depart</t>
        </is>
      </c>
      <c r="K1" s="3" t="inlineStr">
        <is>
          <t>nuits</t>
        </is>
      </c>
      <c r="L1" s="4" t="inlineStr">
        <is>
          <t>total_percu</t>
        </is>
      </c>
      <c r="M1" s="4" t="inlineStr">
        <is>
          <t>menage</t>
        </is>
      </c>
      <c r="N1" s="4" t="inlineStr">
        <is>
          <t>taux_commission</t>
        </is>
      </c>
      <c r="O1" s="4" t="inlineStr">
        <is>
          <t>taux_commission_source</t>
        </is>
      </c>
      <c r="P1" s="4" t="inlineStr">
        <is>
          <t>commentaire_taux_commission</t>
        </is>
      </c>
      <c r="Q1" s="4" t="inlineStr">
        <is>
          <t>commission</t>
        </is>
      </c>
      <c r="R1" s="5" t="inlineStr">
        <is>
          <t>montant_recupere</t>
        </is>
      </c>
      <c r="S1" s="5" t="inlineStr">
        <is>
          <t>associe_id_recuperateur</t>
        </is>
      </c>
      <c r="T1" s="6" t="inlineStr">
        <is>
          <t>montant_reverse_proprietaire</t>
        </is>
      </c>
      <c r="U1" s="6" t="inlineStr">
        <is>
          <t>mode_paiement_id</t>
        </is>
      </c>
      <c r="V1" s="7" t="inlineStr">
        <is>
          <t>acompte_facture</t>
        </is>
      </c>
      <c r="W1" s="8" t="inlineStr">
        <is>
          <t>code_impact</t>
        </is>
      </c>
      <c r="X1" s="8" t="inlineStr">
        <is>
          <t>comptabilisation</t>
        </is>
      </c>
      <c r="Y1" s="8" t="inlineStr">
        <is>
          <t>impact_resultat_reel</t>
        </is>
      </c>
      <c r="Z1" s="8" t="inlineStr">
        <is>
          <t>impact_resultat_comptable</t>
        </is>
      </c>
      <c r="AA1" s="9" t="inlineStr">
        <is>
          <t>statut_controle</t>
        </is>
      </c>
      <c r="AB1" s="9" t="inlineStr">
        <is>
          <t>niveau_anomalie</t>
        </is>
      </c>
      <c r="AC1" s="9" t="inlineStr">
        <is>
          <t>code_anomalie</t>
        </is>
      </c>
      <c r="AD1" s="10" t="inlineStr">
        <is>
          <t>commentaire</t>
        </is>
      </c>
      <c r="AE1" s="11" t="inlineStr">
        <is>
          <t>source_module</t>
        </is>
      </c>
      <c r="AF1" s="11" t="inlineStr">
        <is>
          <t>source_table</t>
        </is>
      </c>
      <c r="AG1" s="11" t="inlineStr">
        <is>
          <t>source_pk</t>
        </is>
      </c>
      <c r="AH1" s="11" t="inlineStr">
        <is>
          <t>date_integration</t>
        </is>
      </c>
    </row>
    <row r="2">
      <c r="A2" s="12" t="inlineStr">
        <is>
          <t>[Vue par Power Query — requete VUE_ACTIVE_ReservationsHH — filtre statut_controle=VALIDE]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36" customWidth="1" min="1" max="1"/>
    <col width="112" customWidth="1" min="3" max="3"/>
  </cols>
  <sheetData>
    <row r="1">
      <c r="A1" s="13" t="inlineStr">
        <is>
          <t>POWER QUERY M-CODE — MASTER_FACT_MAN_ReservationsHorsHostaway</t>
        </is>
      </c>
    </row>
    <row r="2">
      <c r="A2" s="14" t="inlineStr">
        <is>
          <t>Ne pas modifier — reference uniquement</t>
        </is>
      </c>
    </row>
    <row r="4">
      <c r="A4" s="15" t="inlineStr">
        <is>
          <t>INSTRUCTIONS POWER QUERY — MASTER_FACT_MAN_ReservationsHorsHostaway.xlsx</t>
        </is>
      </c>
    </row>
    <row r="5">
      <c r="A5" s="15">
        <f>==========================================================================</f>
        <v/>
      </c>
    </row>
    <row r="6">
      <c r="A6" s="15" t="inlineStr">
        <is>
          <t>34 colonnes = 30 colonnes SAISIE_ReservationsHorsHostaway + 4 colonnes PQ :</t>
        </is>
      </c>
    </row>
    <row r="7">
      <c r="A7" s="15" t="inlineStr">
        <is>
          <t xml:space="preserve">  source_module, source_table, source_pk, date_integration</t>
        </is>
      </c>
    </row>
    <row r="8">
      <c r="A8" s="15" t="inlineStr"/>
    </row>
    <row r="9">
      <c r="A9" s="15" t="inlineStr">
        <is>
          <t>1. Ouvrir MASTER_FACT_MAN_ReservationsHorsHostaway.xlsx dans Excel.</t>
        </is>
      </c>
    </row>
    <row r="10">
      <c r="A10" s="15" t="inlineStr">
        <is>
          <t>2. Onglet Donnees &gt; Obtenir des donnees &gt; Editeur Power Query.</t>
        </is>
      </c>
    </row>
    <row r="11">
      <c r="A11" s="15" t="inlineStr"/>
    </row>
    <row r="12">
      <c r="A12" s="15" t="inlineStr">
        <is>
          <t>CREER 3 REQUETES dans cet ordre exact :</t>
        </is>
      </c>
    </row>
    <row r="13">
      <c r="A13" s="15" t="inlineStr"/>
    </row>
    <row r="14">
      <c r="A14" s="15" t="inlineStr">
        <is>
          <t>Req 1 : SAISIE_HH_Source</t>
        </is>
      </c>
    </row>
    <row r="15">
      <c r="A15" s="15" t="inlineStr">
        <is>
          <t xml:space="preserve">  Donnees &gt; Requete vide &gt; coller M-code REQUETE 1</t>
        </is>
      </c>
    </row>
    <row r="16">
      <c r="A16" s="15" t="inlineStr">
        <is>
          <t xml:space="preserve">  Mode : Connexion uniquement (ne PAS charger dans une feuille)</t>
        </is>
      </c>
    </row>
    <row r="17">
      <c r="A17" s="15" t="inlineStr"/>
    </row>
    <row r="18">
      <c r="A18" s="15" t="inlineStr">
        <is>
          <t>Req 2 : MASTER_FACT_MAN_ReservationsHorsHostaway</t>
        </is>
      </c>
    </row>
    <row r="19">
      <c r="A19" s="15" t="inlineStr">
        <is>
          <t xml:space="preserve">  Donnees &gt; Requete vide &gt; coller M-code REQUETE 2</t>
        </is>
      </c>
    </row>
    <row r="20">
      <c r="A20" s="15" t="inlineStr">
        <is>
          <t xml:space="preserve">  Puis : Clic droit &gt; Charger dans &gt; Table &gt; Feuille MASTER</t>
        </is>
      </c>
    </row>
    <row r="21">
      <c r="A21" s="15" t="inlineStr"/>
    </row>
    <row r="22">
      <c r="A22" s="15" t="inlineStr">
        <is>
          <t>Req 3 : VUE_ACTIVE_ReservationsHH</t>
        </is>
      </c>
    </row>
    <row r="23">
      <c r="A23" s="15" t="inlineStr">
        <is>
          <t xml:space="preserve">  Donnees &gt; Requete vide &gt; coller M-code REQUETE 3</t>
        </is>
      </c>
    </row>
    <row r="24">
      <c r="A24" s="15" t="inlineStr">
        <is>
          <t xml:space="preserve">  Puis : Clic droit &gt; Charger dans &gt; Table &gt; Feuille VUE_ACTIVE</t>
        </is>
      </c>
    </row>
    <row r="25">
      <c r="A25" s="15" t="inlineStr"/>
    </row>
    <row r="26">
      <c r="A26" s="15" t="inlineStr">
        <is>
          <t>NOTES :</t>
        </is>
      </c>
    </row>
    <row r="27">
      <c r="A27" s="15" t="inlineStr">
        <is>
          <t>- Adapter BASE_PATH si le projet change de lecteur ou d utilisateur.</t>
        </is>
      </c>
    </row>
    <row r="28">
      <c r="A28" s="15" t="inlineStr">
        <is>
          <t>- VUE_ACTIVE alimente Lot 4bis (table commune) et Lot 5 (acomptes proprietaires).</t>
        </is>
      </c>
    </row>
    <row r="29">
      <c r="A29" s="15" t="inlineStr">
        <is>
          <t>- Ne pas inclure les lignes statut_controle=A_CONTROLER dans le flux — elles restent en attente.</t>
        </is>
      </c>
    </row>
    <row r="32">
      <c r="A32" s="16" t="inlineStr">
        <is>
          <t>REQUETE 1 : SAISIE_HH_Source</t>
        </is>
      </c>
    </row>
    <row r="33" ht="14" customHeight="1">
      <c r="C33" s="17" t="inlineStr">
        <is>
          <t>// Requete : SAISIE_HH_Source</t>
        </is>
      </c>
    </row>
    <row r="34" ht="14" customHeight="1">
      <c r="C34" s="17" t="inlineStr">
        <is>
          <t>// Lit SAISIE_ReservationsHorsHostaway.xlsx, typage fort, filtre lignes vides</t>
        </is>
      </c>
    </row>
    <row r="35" ht="14" customHeight="1">
      <c r="C35" s="17" t="inlineStr">
        <is>
          <t>// Mode : Connexion uniquement (ne pas charger dans une feuille)</t>
        </is>
      </c>
    </row>
    <row r="36" ht="14" customHeight="1">
      <c r="C36" s="17" t="inlineStr"/>
    </row>
    <row r="37" ht="14" customHeight="1">
      <c r="C37" s="17" t="inlineStr">
        <is>
          <t>let</t>
        </is>
      </c>
    </row>
    <row r="38" ht="14" customHeight="1">
      <c r="C38" s="17" t="inlineStr">
        <is>
          <t xml:space="preserve">    BASE_PATH = "C:\Users\Ewan\OneDrive\Documents\Conciergerie\Pilotage_Conciergerie\",</t>
        </is>
      </c>
    </row>
    <row r="39" ht="14" customHeight="1">
      <c r="C39" s="17" t="inlineStr">
        <is>
          <t xml:space="preserve">    Source = Excel.Workbook(</t>
        </is>
      </c>
    </row>
    <row r="40" ht="14" customHeight="1">
      <c r="C40" s="17" t="inlineStr">
        <is>
          <t xml:space="preserve">        File.Contents(BASE_PATH &amp; "01_SOURCES_BRUTES\ReservationsHH\SAISIE_ReservationsHorsHostaway.xlsx"),</t>
        </is>
      </c>
    </row>
    <row r="41" ht="14" customHeight="1">
      <c r="C41" s="17" t="inlineStr">
        <is>
          <t xml:space="preserve">        null, true</t>
        </is>
      </c>
    </row>
    <row r="42" ht="14" customHeight="1">
      <c r="C42" s="17" t="inlineStr">
        <is>
          <t xml:space="preserve">    ),</t>
        </is>
      </c>
    </row>
    <row r="43" ht="14" customHeight="1">
      <c r="C43" s="17" t="inlineStr">
        <is>
          <t xml:space="preserve">    SAISIE_Sheet = Source{[Item="SAISIE",Kind="Sheet"]}[Data],</t>
        </is>
      </c>
    </row>
    <row r="44" ht="14" customHeight="1">
      <c r="C44" s="17" t="inlineStr">
        <is>
          <t xml:space="preserve">    Promoted = Table.PromoteHeaders(SAISIE_Sheet, [PromoteAllScalars=true]),</t>
        </is>
      </c>
    </row>
    <row r="45" ht="14" customHeight="1">
      <c r="C45" s="17" t="inlineStr">
        <is>
          <t xml:space="preserve">    Typed = Table.TransformColumnTypes(Promoted, {</t>
        </is>
      </c>
    </row>
    <row r="46" ht="14" customHeight="1">
      <c r="C46" s="17" t="inlineStr">
        <is>
          <t xml:space="preserve">        {"reservation_hh_id",            type text},</t>
        </is>
      </c>
    </row>
    <row r="47" ht="14" customHeight="1">
      <c r="C47" s="17" t="inlineStr">
        <is>
          <t xml:space="preserve">        {"ROW_HASH",                     type text},</t>
        </is>
      </c>
    </row>
    <row r="48" ht="14" customHeight="1">
      <c r="C48" s="17" t="inlineStr">
        <is>
          <t xml:space="preserve">        {"mois",                         type text},</t>
        </is>
      </c>
    </row>
    <row r="49" ht="14" customHeight="1">
      <c r="C49" s="17" t="inlineStr">
        <is>
          <t xml:space="preserve">        {"canal_id",                     type text},</t>
        </is>
      </c>
    </row>
    <row r="50" ht="14" customHeight="1">
      <c r="C50" s="17" t="inlineStr">
        <is>
          <t xml:space="preserve">        {"source_financiere",            type text},</t>
        </is>
      </c>
    </row>
    <row r="51" ht="14" customHeight="1">
      <c r="C51" s="17" t="inlineStr">
        <is>
          <t xml:space="preserve">        {"proprietaire_id",              type text},</t>
        </is>
      </c>
    </row>
    <row r="52" ht="14" customHeight="1">
      <c r="C52" s="17" t="inlineStr">
        <is>
          <t xml:space="preserve">        {"logement_id",                  type text},</t>
        </is>
      </c>
    </row>
    <row r="53" ht="14" customHeight="1">
      <c r="C53" s="17" t="inlineStr">
        <is>
          <t xml:space="preserve">        {"reservation_id_hostaway",      type text},</t>
        </is>
      </c>
    </row>
    <row r="54" ht="14" customHeight="1">
      <c r="C54" s="17" t="inlineStr">
        <is>
          <t xml:space="preserve">        {"date_arrivee",                 type date},</t>
        </is>
      </c>
    </row>
    <row r="55" ht="14" customHeight="1">
      <c r="C55" s="17" t="inlineStr">
        <is>
          <t xml:space="preserve">        {"date_depart",                  type date},</t>
        </is>
      </c>
    </row>
    <row r="56" ht="14" customHeight="1">
      <c r="C56" s="17" t="inlineStr">
        <is>
          <t xml:space="preserve">        {"nuits",                        type number},</t>
        </is>
      </c>
    </row>
    <row r="57" ht="14" customHeight="1">
      <c r="C57" s="17" t="inlineStr">
        <is>
          <t xml:space="preserve">        {"total_percu",                  type number},</t>
        </is>
      </c>
    </row>
    <row r="58" ht="14" customHeight="1">
      <c r="C58" s="17" t="inlineStr">
        <is>
          <t xml:space="preserve">        {"menage",                       type number},</t>
        </is>
      </c>
    </row>
    <row r="59" ht="14" customHeight="1">
      <c r="C59" s="17" t="inlineStr">
        <is>
          <t xml:space="preserve">        {"taux_commission",              type number},</t>
        </is>
      </c>
    </row>
    <row r="60" ht="14" customHeight="1">
      <c r="C60" s="17" t="inlineStr">
        <is>
          <t xml:space="preserve">        {"taux_commission_source",       type text},</t>
        </is>
      </c>
    </row>
    <row r="61" ht="14" customHeight="1">
      <c r="C61" s="17" t="inlineStr">
        <is>
          <t xml:space="preserve">        {"commentaire_taux_commission",  type text},</t>
        </is>
      </c>
    </row>
    <row r="62" ht="14" customHeight="1">
      <c r="C62" s="17" t="inlineStr">
        <is>
          <t xml:space="preserve">        {"commission",                   type number},</t>
        </is>
      </c>
    </row>
    <row r="63" ht="14" customHeight="1">
      <c r="C63" s="17" t="inlineStr">
        <is>
          <t xml:space="preserve">        {"montant_recupere",             type number},</t>
        </is>
      </c>
    </row>
    <row r="64" ht="14" customHeight="1">
      <c r="C64" s="17" t="inlineStr">
        <is>
          <t xml:space="preserve">        {"associe_id_recuperateur",      type text},</t>
        </is>
      </c>
    </row>
    <row r="65" ht="14" customHeight="1">
      <c r="C65" s="17" t="inlineStr">
        <is>
          <t xml:space="preserve">        {"montant_reverse_proprietaire", type number},</t>
        </is>
      </c>
    </row>
    <row r="66" ht="14" customHeight="1">
      <c r="C66" s="17" t="inlineStr">
        <is>
          <t xml:space="preserve">        {"mode_paiement_id",             type text},</t>
        </is>
      </c>
    </row>
    <row r="67" ht="14" customHeight="1">
      <c r="C67" s="17" t="inlineStr">
        <is>
          <t xml:space="preserve">        {"acompte_facture",              type number},</t>
        </is>
      </c>
    </row>
    <row r="68" ht="14" customHeight="1">
      <c r="C68" s="17" t="inlineStr">
        <is>
          <t xml:space="preserve">        {"code_impact",                  type text},</t>
        </is>
      </c>
    </row>
    <row r="69" ht="14" customHeight="1">
      <c r="C69" s="17" t="inlineStr">
        <is>
          <t xml:space="preserve">        {"comptabilisation",             type text},</t>
        </is>
      </c>
    </row>
    <row r="70" ht="14" customHeight="1">
      <c r="C70" s="17" t="inlineStr">
        <is>
          <t xml:space="preserve">        {"impact_resultat_reel",         type text},</t>
        </is>
      </c>
    </row>
    <row r="71" ht="14" customHeight="1">
      <c r="C71" s="17" t="inlineStr">
        <is>
          <t xml:space="preserve">        {"impact_resultat_comptable",    type text},</t>
        </is>
      </c>
    </row>
    <row r="72" ht="14" customHeight="1">
      <c r="C72" s="17" t="inlineStr">
        <is>
          <t xml:space="preserve">        {"statut_controle",              type text},</t>
        </is>
      </c>
    </row>
    <row r="73" ht="14" customHeight="1">
      <c r="C73" s="17" t="inlineStr">
        <is>
          <t xml:space="preserve">        {"niveau_anomalie",              type text},</t>
        </is>
      </c>
    </row>
    <row r="74" ht="14" customHeight="1">
      <c r="C74" s="17" t="inlineStr">
        <is>
          <t xml:space="preserve">        {"code_anomalie",                type text},</t>
        </is>
      </c>
    </row>
    <row r="75" ht="14" customHeight="1">
      <c r="C75" s="17" t="inlineStr">
        <is>
          <t xml:space="preserve">        {"commentaire",                  type text}</t>
        </is>
      </c>
    </row>
    <row r="76" ht="14" customHeight="1">
      <c r="C76" s="17" t="inlineStr">
        <is>
          <t xml:space="preserve">    }),</t>
        </is>
      </c>
    </row>
    <row r="77" ht="14" customHeight="1">
      <c r="C77" s="17" t="inlineStr">
        <is>
          <t xml:space="preserve">    Filtered = Table.SelectRows(Typed, each</t>
        </is>
      </c>
    </row>
    <row r="78" ht="14" customHeight="1">
      <c r="C78" s="17" t="inlineStr">
        <is>
          <t xml:space="preserve">        [reservation_hh_id] &lt;&gt; null and [reservation_hh_id] &lt;&gt; ""</t>
        </is>
      </c>
    </row>
    <row r="79" ht="14" customHeight="1">
      <c r="C79" s="17" t="inlineStr">
        <is>
          <t xml:space="preserve">    )</t>
        </is>
      </c>
    </row>
    <row r="80" ht="14" customHeight="1">
      <c r="C80" s="17" t="inlineStr">
        <is>
          <t>in</t>
        </is>
      </c>
    </row>
    <row r="81" ht="14" customHeight="1">
      <c r="C81" s="17" t="inlineStr">
        <is>
          <t xml:space="preserve">    Filtered</t>
        </is>
      </c>
    </row>
    <row r="84">
      <c r="A84" s="16" t="inlineStr">
        <is>
          <t>REQUETE 2 : MASTER_FACT_MAN_ReservationsHorsHostaway</t>
        </is>
      </c>
    </row>
    <row r="85" ht="14" customHeight="1">
      <c r="C85" s="17" t="inlineStr">
        <is>
          <t>// Requete : MASTER_FACT_MAN_ReservationsHorsHostaway</t>
        </is>
      </c>
    </row>
    <row r="86" ht="14" customHeight="1">
      <c r="C86" s="17" t="inlineStr">
        <is>
          <t>// 34 colonnes = 30 SAISIE + 4 colonnes PQ</t>
        </is>
      </c>
    </row>
    <row r="87" ht="14" customHeight="1">
      <c r="C87" s="17" t="inlineStr">
        <is>
          <t>// Charger dans : onglet MASTER (Clic droit &gt; Charger dans &gt; Table &gt; feuille MASTER)</t>
        </is>
      </c>
    </row>
    <row r="88" ht="14" customHeight="1">
      <c r="C88" s="17" t="inlineStr"/>
    </row>
    <row r="89" ht="14" customHeight="1">
      <c r="C89" s="17" t="inlineStr">
        <is>
          <t>let</t>
        </is>
      </c>
    </row>
    <row r="90" ht="14" customHeight="1">
      <c r="C90" s="17" t="inlineStr">
        <is>
          <t xml:space="preserve">    Source = SAISIE_HH_Source,</t>
        </is>
      </c>
    </row>
    <row r="91" ht="14" customHeight="1">
      <c r="C91" s="17" t="inlineStr"/>
    </row>
    <row r="92" ht="14" customHeight="1">
      <c r="C92" s="17" t="inlineStr">
        <is>
          <t xml:space="preserve">    // Colonnes systeme d integration PQ</t>
        </is>
      </c>
    </row>
    <row r="93" ht="14" customHeight="1">
      <c r="C93" s="17" t="inlineStr">
        <is>
          <t xml:space="preserve">    AddSourceModule = Table.AddColumn(Source,          "source_module",    each "LOT4_HH",                          type text),</t>
        </is>
      </c>
    </row>
    <row r="94" ht="14" customHeight="1">
      <c r="C94" s="17" t="inlineStr">
        <is>
          <t xml:space="preserve">    AddSourceTable  = Table.AddColumn(AddSourceModule, "source_table",     each "SAISIE_ReservationsHorsHostaway",  type text),</t>
        </is>
      </c>
    </row>
    <row r="95" ht="14" customHeight="1">
      <c r="C95" s="17" t="inlineStr">
        <is>
          <t xml:space="preserve">    AddSourcePK     = Table.AddColumn(AddSourceTable,  "source_pk",        each [reservation_hh_id],                type text),</t>
        </is>
      </c>
    </row>
    <row r="96" ht="14" customHeight="1">
      <c r="C96" s="17" t="inlineStr">
        <is>
          <t xml:space="preserve">    AddDateInteg    = Table.AddColumn(AddSourcePK,     "date_integration", each DateTime.LocalNow(),                type datetime),</t>
        </is>
      </c>
    </row>
    <row r="97" ht="14" customHeight="1">
      <c r="C97" s="17" t="inlineStr"/>
    </row>
    <row r="98" ht="14" customHeight="1">
      <c r="C98" s="17" t="inlineStr">
        <is>
          <t xml:space="preserve">    // Reordonnement final — 34 colonnes</t>
        </is>
      </c>
    </row>
    <row r="99" ht="14" customHeight="1">
      <c r="C99" s="17" t="inlineStr">
        <is>
          <t xml:space="preserve">    Reordered = Table.ReorderColumns(AddDateInteg, {</t>
        </is>
      </c>
    </row>
    <row r="100" ht="14" customHeight="1">
      <c r="C100" s="17" t="inlineStr">
        <is>
          <t xml:space="preserve">        "reservation_hh_id", "ROW_HASH",</t>
        </is>
      </c>
    </row>
    <row r="101" ht="14" customHeight="1">
      <c r="C101" s="17" t="inlineStr">
        <is>
          <t xml:space="preserve">        "mois", "canal_id", "source_financiere",</t>
        </is>
      </c>
    </row>
    <row r="102" ht="14" customHeight="1">
      <c r="C102" s="17" t="inlineStr">
        <is>
          <t xml:space="preserve">        "proprietaire_id", "logement_id", "reservation_id_hostaway",</t>
        </is>
      </c>
    </row>
    <row r="103" ht="14" customHeight="1">
      <c r="C103" s="17" t="inlineStr">
        <is>
          <t xml:space="preserve">        "date_arrivee", "date_depart", "nuits",</t>
        </is>
      </c>
    </row>
    <row r="104" ht="14" customHeight="1">
      <c r="C104" s="17" t="inlineStr">
        <is>
          <t xml:space="preserve">        "total_percu", "menage", "taux_commission", "taux_commission_source",</t>
        </is>
      </c>
    </row>
    <row r="105" ht="14" customHeight="1">
      <c r="C105" s="17" t="inlineStr">
        <is>
          <t xml:space="preserve">        "commentaire_taux_commission", "commission",</t>
        </is>
      </c>
    </row>
    <row r="106" ht="14" customHeight="1">
      <c r="C106" s="17" t="inlineStr">
        <is>
          <t xml:space="preserve">        "montant_recupere", "associe_id_recuperateur",</t>
        </is>
      </c>
    </row>
    <row r="107" ht="14" customHeight="1">
      <c r="C107" s="17" t="inlineStr">
        <is>
          <t xml:space="preserve">        "montant_reverse_proprietaire", "mode_paiement_id",</t>
        </is>
      </c>
    </row>
    <row r="108" ht="14" customHeight="1">
      <c r="C108" s="17" t="inlineStr">
        <is>
          <t xml:space="preserve">        "acompte_facture",</t>
        </is>
      </c>
    </row>
    <row r="109" ht="14" customHeight="1">
      <c r="C109" s="17" t="inlineStr">
        <is>
          <t xml:space="preserve">        "code_impact", "comptabilisation",</t>
        </is>
      </c>
    </row>
    <row r="110" ht="14" customHeight="1">
      <c r="C110" s="17" t="inlineStr">
        <is>
          <t xml:space="preserve">        "impact_resultat_reel", "impact_resultat_comptable",</t>
        </is>
      </c>
    </row>
    <row r="111" ht="14" customHeight="1">
      <c r="C111" s="17" t="inlineStr">
        <is>
          <t xml:space="preserve">        "statut_controle", "niveau_anomalie", "code_anomalie",</t>
        </is>
      </c>
    </row>
    <row r="112" ht="14" customHeight="1">
      <c r="C112" s="17" t="inlineStr">
        <is>
          <t xml:space="preserve">        "commentaire",</t>
        </is>
      </c>
    </row>
    <row r="113" ht="14" customHeight="1">
      <c r="C113" s="17" t="inlineStr">
        <is>
          <t xml:space="preserve">        "source_module", "source_table", "source_pk", "date_integration"</t>
        </is>
      </c>
    </row>
    <row r="114" ht="14" customHeight="1">
      <c r="C114" s="17" t="inlineStr">
        <is>
          <t xml:space="preserve">    })</t>
        </is>
      </c>
    </row>
    <row r="115" ht="14" customHeight="1">
      <c r="C115" s="17" t="inlineStr">
        <is>
          <t>in</t>
        </is>
      </c>
    </row>
    <row r="116" ht="14" customHeight="1">
      <c r="C116" s="17" t="inlineStr">
        <is>
          <t xml:space="preserve">    Reordered</t>
        </is>
      </c>
    </row>
    <row r="119">
      <c r="A119" s="16" t="inlineStr">
        <is>
          <t>REQUETE 3 : VUE_ACTIVE_ReservationsHH</t>
        </is>
      </c>
    </row>
    <row r="120" ht="14" customHeight="1">
      <c r="C120" s="17" t="inlineStr">
        <is>
          <t>// Requete : VUE_ACTIVE_ReservationsHH</t>
        </is>
      </c>
    </row>
    <row r="121" ht="14" customHeight="1">
      <c r="C121" s="17" t="inlineStr">
        <is>
          <t>// Filtre MASTER : statut_controle=VALIDE — 34 colonnes identiques</t>
        </is>
      </c>
    </row>
    <row r="122" ht="14" customHeight="1">
      <c r="C122" s="17" t="inlineStr">
        <is>
          <t>// Charger dans : onglet VUE_ACTIVE (Clic droit &gt; Charger dans &gt; Table &gt; feuille VUE_ACTIVE)</t>
        </is>
      </c>
    </row>
    <row r="123" ht="14" customHeight="1">
      <c r="C123" s="17" t="inlineStr">
        <is>
          <t>// Alimente : Lot 4bis (MASTER_CALC_Reservations) et Lot 5 (acomptes proprietaires)</t>
        </is>
      </c>
    </row>
    <row r="124" ht="14" customHeight="1">
      <c r="C124" s="17" t="inlineStr"/>
    </row>
    <row r="125" ht="14" customHeight="1">
      <c r="C125" s="17" t="inlineStr">
        <is>
          <t>let</t>
        </is>
      </c>
    </row>
    <row r="126" ht="14" customHeight="1">
      <c r="C126" s="17" t="inlineStr">
        <is>
          <t xml:space="preserve">    Source = MASTER_FACT_MAN_ReservationsHorsHostaway,</t>
        </is>
      </c>
    </row>
    <row r="127" ht="14" customHeight="1">
      <c r="C127" s="17" t="inlineStr">
        <is>
          <t xml:space="preserve">    Filtre = Table.SelectRows(Source, each</t>
        </is>
      </c>
    </row>
    <row r="128" ht="14" customHeight="1">
      <c r="C128" s="17" t="inlineStr">
        <is>
          <t xml:space="preserve">        [statut_controle] = "VALIDE"</t>
        </is>
      </c>
    </row>
    <row r="129" ht="14" customHeight="1">
      <c r="C129" s="17" t="inlineStr">
        <is>
          <t xml:space="preserve">    )</t>
        </is>
      </c>
    </row>
    <row r="130" ht="14" customHeight="1">
      <c r="C130" s="17" t="inlineStr">
        <is>
          <t>in</t>
        </is>
      </c>
    </row>
    <row r="131" ht="14" customHeight="1">
      <c r="C131" s="17" t="inlineStr">
        <is>
          <t xml:space="preserve">    Filtre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2026-06-09T00:32:46Z</dcterms:created>
  <dcterms:modified xsi:type="dcterms:W3CDTF">2026-06-15T11:46:46Z</dcterms:modified>
</cp:coreProperties>
</file>
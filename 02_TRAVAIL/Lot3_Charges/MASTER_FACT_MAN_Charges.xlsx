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VUE_MENAGE" sheetId="2" state="visible" r:id="rId2"/>
    <sheet name="POWER_QUERY_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</font>
    <font>
      <b val="1"/>
      <color rgb="001F497D"/>
      <sz val="12"/>
    </font>
    <font>
      <i val="1"/>
      <color rgb="00595959"/>
      <sz val="10"/>
    </font>
    <font>
      <sz val="9"/>
    </font>
    <font>
      <b val="1"/>
      <color rgb="007030A0"/>
      <sz val="10"/>
    </font>
    <font>
      <name val="Courier New"/>
      <color rgb="00262626"/>
      <sz val="9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974706"/>
        <bgColor rgb="00974706"/>
      </patternFill>
    </fill>
    <fill>
      <patternFill patternType="solid">
        <fgColor rgb="001F3864"/>
        <bgColor rgb="001F3864"/>
      </patternFill>
    </fill>
    <fill>
      <patternFill patternType="solid">
        <fgColor rgb="00833C00"/>
        <bgColor rgb="00833C00"/>
      </patternFill>
    </fill>
    <fill>
      <patternFill patternType="solid">
        <fgColor rgb="00595959"/>
        <bgColor rgb="00595959"/>
      </patternFill>
    </fill>
    <fill>
      <patternFill patternType="solid">
        <fgColor rgb="007B0000"/>
        <bgColor rgb="007B0000"/>
      </patternFill>
    </fill>
    <fill>
      <patternFill patternType="solid">
        <fgColor rgb="00262626"/>
        <bgColor rgb="00262626"/>
      </patternFill>
    </fill>
    <fill>
      <patternFill patternType="solid">
        <fgColor rgb="00404040"/>
        <b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9" customWidth="1" min="8" max="8"/>
    <col width="14" customWidth="1" min="9" max="9"/>
    <col width="14" customWidth="1" min="10" max="10"/>
    <col width="22" customWidth="1" min="11" max="11"/>
    <col width="27" customWidth="1" min="12" max="12"/>
    <col width="17" customWidth="1" min="13" max="13"/>
    <col width="14" customWidth="1" min="14" max="14"/>
    <col width="18" customWidth="1" min="15" max="15"/>
    <col width="14" customWidth="1" min="16" max="16"/>
    <col width="18" customWidth="1" min="17" max="17"/>
    <col width="14" customWidth="1" min="18" max="18"/>
    <col width="17" customWidth="1" min="19" max="19"/>
    <col width="16" customWidth="1" min="20" max="20"/>
    <col width="14" customWidth="1" min="21" max="21"/>
    <col width="14" customWidth="1" min="22" max="22"/>
    <col width="20" customWidth="1" min="23" max="23"/>
    <col width="28" customWidth="1" min="24" max="24"/>
    <col width="22" customWidth="1" min="25" max="25"/>
    <col width="17" customWidth="1" min="26" max="26"/>
    <col width="17" customWidth="1" min="27" max="27"/>
    <col width="15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4" customWidth="1" min="35" max="35"/>
    <col width="14" customWidth="1" min="36" max="36"/>
    <col width="18" customWidth="1" min="37" max="37"/>
  </cols>
  <sheetData>
    <row r="1" ht="40" customHeight="1">
      <c r="A1" s="1" t="inlineStr">
        <is>
          <t>charge_id</t>
        </is>
      </c>
      <c r="B1" s="1" t="inlineStr">
        <is>
          <t>date_charge</t>
        </is>
      </c>
      <c r="C1" s="1" t="inlineStr">
        <is>
          <t>mois</t>
        </is>
      </c>
      <c r="D1" s="2" t="inlineStr">
        <is>
          <t>montant</t>
        </is>
      </c>
      <c r="E1" s="2" t="inlineStr">
        <is>
          <t>sens_flux</t>
        </is>
      </c>
      <c r="F1" s="2" t="inlineStr">
        <is>
          <t>sens</t>
        </is>
      </c>
      <c r="G1" s="3" t="inlineStr">
        <is>
          <t>categorie_charge_id</t>
        </is>
      </c>
      <c r="H1" s="3" t="inlineStr">
        <is>
          <t>filtre_vue_menage</t>
        </is>
      </c>
      <c r="I1" s="3" t="inlineStr">
        <is>
          <t>type_flux_id</t>
        </is>
      </c>
      <c r="J1" s="4" t="inlineStr">
        <is>
          <t>code_impact</t>
        </is>
      </c>
      <c r="K1" s="4" t="inlineStr">
        <is>
          <t>impact_resultat_reel</t>
        </is>
      </c>
      <c r="L1" s="4" t="inlineStr">
        <is>
          <t>impact_resultat_comptable</t>
        </is>
      </c>
      <c r="M1" s="4" t="inlineStr">
        <is>
          <t>prise_en_compta</t>
        </is>
      </c>
      <c r="N1" s="5" t="inlineStr">
        <is>
          <t>associe_id</t>
        </is>
      </c>
      <c r="O1" s="5" t="inlineStr">
        <is>
          <t>mode_paiement_id</t>
        </is>
      </c>
      <c r="P1" s="5" t="inlineStr">
        <is>
          <t>carte_id</t>
        </is>
      </c>
      <c r="Q1" s="6" t="inlineStr">
        <is>
          <t>affectation_type</t>
        </is>
      </c>
      <c r="R1" s="6" t="inlineStr">
        <is>
          <t>logement_id</t>
        </is>
      </c>
      <c r="S1" s="6" t="inlineStr">
        <is>
          <t>proprietaire_id</t>
        </is>
      </c>
      <c r="T1" s="7" t="inlineStr">
        <is>
          <t>reservation_id</t>
        </is>
      </c>
      <c r="U1" s="7" t="inlineStr">
        <is>
          <t>refacturable</t>
        </is>
      </c>
      <c r="V1" s="8" t="inlineStr">
        <is>
          <t>source_flux</t>
        </is>
      </c>
      <c r="W1" s="8" t="inlineStr">
        <is>
          <t>methode_traitement</t>
        </is>
      </c>
      <c r="X1" s="8" t="inlineStr">
        <is>
          <t>paye_avec_montant_recupere</t>
        </is>
      </c>
      <c r="Y1" s="8" t="inlineStr">
        <is>
          <t>lien_virement_banque</t>
        </is>
      </c>
      <c r="Z1" s="9" t="inlineStr">
        <is>
          <t>statut_controle</t>
        </is>
      </c>
      <c r="AA1" s="9" t="inlineStr">
        <is>
          <t>niveau_anomalie</t>
        </is>
      </c>
      <c r="AB1" s="9" t="inlineStr">
        <is>
          <t>code_anomalie</t>
        </is>
      </c>
      <c r="AC1" s="9" t="inlineStr">
        <is>
          <t>statut_rapprochement</t>
        </is>
      </c>
      <c r="AD1" s="8" t="inlineStr">
        <is>
          <t>justificatif</t>
        </is>
      </c>
      <c r="AE1" s="8" t="inlineStr">
        <is>
          <t>commentaire</t>
        </is>
      </c>
      <c r="AF1" s="10" t="inlineStr">
        <is>
          <t>ROW_HASH</t>
        </is>
      </c>
      <c r="AG1" s="10" t="inlineStr">
        <is>
          <t>date_saisie</t>
        </is>
      </c>
      <c r="AH1" s="11" t="inlineStr">
        <is>
          <t>source_module</t>
        </is>
      </c>
      <c r="AI1" s="11" t="inlineStr">
        <is>
          <t>source_table</t>
        </is>
      </c>
      <c r="AJ1" s="11" t="inlineStr">
        <is>
          <t>source_pk</t>
        </is>
      </c>
      <c r="AK1" s="11" t="inlineStr">
        <is>
          <t>date_integration</t>
        </is>
      </c>
    </row>
    <row r="2">
      <c r="A2" s="12" t="inlineStr">
        <is>
          <t>[Charge par Power Query — requete MASTER_FACT_MAN_Charges]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9" customWidth="1" min="8" max="8"/>
    <col width="14" customWidth="1" min="9" max="9"/>
    <col width="14" customWidth="1" min="10" max="10"/>
    <col width="22" customWidth="1" min="11" max="11"/>
    <col width="27" customWidth="1" min="12" max="12"/>
    <col width="17" customWidth="1" min="13" max="13"/>
    <col width="14" customWidth="1" min="14" max="14"/>
    <col width="18" customWidth="1" min="15" max="15"/>
    <col width="14" customWidth="1" min="16" max="16"/>
    <col width="18" customWidth="1" min="17" max="17"/>
    <col width="14" customWidth="1" min="18" max="18"/>
    <col width="17" customWidth="1" min="19" max="19"/>
    <col width="16" customWidth="1" min="20" max="20"/>
    <col width="14" customWidth="1" min="21" max="21"/>
    <col width="14" customWidth="1" min="22" max="22"/>
    <col width="20" customWidth="1" min="23" max="23"/>
    <col width="28" customWidth="1" min="24" max="24"/>
    <col width="22" customWidth="1" min="25" max="25"/>
    <col width="17" customWidth="1" min="26" max="26"/>
    <col width="17" customWidth="1" min="27" max="27"/>
    <col width="15" customWidth="1" min="28" max="28"/>
    <col width="22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4" customWidth="1" min="35" max="35"/>
    <col width="14" customWidth="1" min="36" max="36"/>
    <col width="18" customWidth="1" min="37" max="37"/>
  </cols>
  <sheetData>
    <row r="1" ht="40" customHeight="1">
      <c r="A1" s="1" t="inlineStr">
        <is>
          <t>charge_id</t>
        </is>
      </c>
      <c r="B1" s="1" t="inlineStr">
        <is>
          <t>date_charge</t>
        </is>
      </c>
      <c r="C1" s="1" t="inlineStr">
        <is>
          <t>mois</t>
        </is>
      </c>
      <c r="D1" s="2" t="inlineStr">
        <is>
          <t>montant</t>
        </is>
      </c>
      <c r="E1" s="2" t="inlineStr">
        <is>
          <t>sens_flux</t>
        </is>
      </c>
      <c r="F1" s="2" t="inlineStr">
        <is>
          <t>sens</t>
        </is>
      </c>
      <c r="G1" s="3" t="inlineStr">
        <is>
          <t>categorie_charge_id</t>
        </is>
      </c>
      <c r="H1" s="3" t="inlineStr">
        <is>
          <t>filtre_vue_menage</t>
        </is>
      </c>
      <c r="I1" s="3" t="inlineStr">
        <is>
          <t>type_flux_id</t>
        </is>
      </c>
      <c r="J1" s="4" t="inlineStr">
        <is>
          <t>code_impact</t>
        </is>
      </c>
      <c r="K1" s="4" t="inlineStr">
        <is>
          <t>impact_resultat_reel</t>
        </is>
      </c>
      <c r="L1" s="4" t="inlineStr">
        <is>
          <t>impact_resultat_comptable</t>
        </is>
      </c>
      <c r="M1" s="4" t="inlineStr">
        <is>
          <t>prise_en_compta</t>
        </is>
      </c>
      <c r="N1" s="5" t="inlineStr">
        <is>
          <t>associe_id</t>
        </is>
      </c>
      <c r="O1" s="5" t="inlineStr">
        <is>
          <t>mode_paiement_id</t>
        </is>
      </c>
      <c r="P1" s="5" t="inlineStr">
        <is>
          <t>carte_id</t>
        </is>
      </c>
      <c r="Q1" s="6" t="inlineStr">
        <is>
          <t>affectation_type</t>
        </is>
      </c>
      <c r="R1" s="6" t="inlineStr">
        <is>
          <t>logement_id</t>
        </is>
      </c>
      <c r="S1" s="6" t="inlineStr">
        <is>
          <t>proprietaire_id</t>
        </is>
      </c>
      <c r="T1" s="7" t="inlineStr">
        <is>
          <t>reservation_id</t>
        </is>
      </c>
      <c r="U1" s="7" t="inlineStr">
        <is>
          <t>refacturable</t>
        </is>
      </c>
      <c r="V1" s="8" t="inlineStr">
        <is>
          <t>source_flux</t>
        </is>
      </c>
      <c r="W1" s="8" t="inlineStr">
        <is>
          <t>methode_traitement</t>
        </is>
      </c>
      <c r="X1" s="8" t="inlineStr">
        <is>
          <t>paye_avec_montant_recupere</t>
        </is>
      </c>
      <c r="Y1" s="8" t="inlineStr">
        <is>
          <t>lien_virement_banque</t>
        </is>
      </c>
      <c r="Z1" s="9" t="inlineStr">
        <is>
          <t>statut_controle</t>
        </is>
      </c>
      <c r="AA1" s="9" t="inlineStr">
        <is>
          <t>niveau_anomalie</t>
        </is>
      </c>
      <c r="AB1" s="9" t="inlineStr">
        <is>
          <t>code_anomalie</t>
        </is>
      </c>
      <c r="AC1" s="9" t="inlineStr">
        <is>
          <t>statut_rapprochement</t>
        </is>
      </c>
      <c r="AD1" s="8" t="inlineStr">
        <is>
          <t>justificatif</t>
        </is>
      </c>
      <c r="AE1" s="8" t="inlineStr">
        <is>
          <t>commentaire</t>
        </is>
      </c>
      <c r="AF1" s="10" t="inlineStr">
        <is>
          <t>ROW_HASH</t>
        </is>
      </c>
      <c r="AG1" s="10" t="inlineStr">
        <is>
          <t>date_saisie</t>
        </is>
      </c>
      <c r="AH1" s="11" t="inlineStr">
        <is>
          <t>source_module</t>
        </is>
      </c>
      <c r="AI1" s="11" t="inlineStr">
        <is>
          <t>source_table</t>
        </is>
      </c>
      <c r="AJ1" s="11" t="inlineStr">
        <is>
          <t>source_pk</t>
        </is>
      </c>
      <c r="AK1" s="11" t="inlineStr">
        <is>
          <t>date_integration</t>
        </is>
      </c>
    </row>
    <row r="2">
      <c r="A2" s="12" t="inlineStr">
        <is>
          <t>[Vue par Power Query — requete VUE_ACHATS_MENAGE_VALIDES — filtre_vue_menage=OUI ET statut_controle=VALIDE]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3" max="3"/>
  </cols>
  <sheetData>
    <row r="1">
      <c r="A1" s="13" t="inlineStr">
        <is>
          <t>POWER QUERY M-CODE — MASTER_FACT_MAN_Charges</t>
        </is>
      </c>
    </row>
    <row r="2">
      <c r="A2" s="14" t="inlineStr">
        <is>
          <t>Ne pas modifier — reference uniquement</t>
        </is>
      </c>
    </row>
    <row r="4">
      <c r="A4" s="15" t="inlineStr">
        <is>
          <t>INSTRUCTIONS POWER QUERY — MASTER_FACT_MAN_Charges.xlsx</t>
        </is>
      </c>
    </row>
    <row r="5">
      <c r="A5" s="15">
        <f>=========================================================</f>
        <v/>
      </c>
    </row>
    <row r="6">
      <c r="A6" s="15" t="inlineStr">
        <is>
          <t>37 colonnes = 31 colonnes SAISIE_Charges_Flux + 6 colonnes PQ :</t>
        </is>
      </c>
    </row>
    <row r="7">
      <c r="A7" s="15" t="inlineStr">
        <is>
          <t xml:space="preserve">  sens, filtre_vue_menage, source_module, source_table, source_pk, date_integration</t>
        </is>
      </c>
    </row>
    <row r="8">
      <c r="A8" s="15" t="inlineStr"/>
    </row>
    <row r="9">
      <c r="A9" s="15" t="inlineStr">
        <is>
          <t>1. Ouvrir MASTER_FACT_MAN_Charges.xlsx dans Excel</t>
        </is>
      </c>
    </row>
    <row r="10">
      <c r="A10" s="15" t="inlineStr">
        <is>
          <t>2. Onglet Donnees &gt; Obtenir des donnees &gt; Editeur Power Query</t>
        </is>
      </c>
    </row>
    <row r="11">
      <c r="A11" s="15" t="inlineStr"/>
    </row>
    <row r="12">
      <c r="A12" s="15" t="inlineStr">
        <is>
          <t>CREER 4 REQUETES dans cet ordre exact :</t>
        </is>
      </c>
    </row>
    <row r="13">
      <c r="A13" s="15" t="inlineStr"/>
    </row>
    <row r="14">
      <c r="A14" s="15" t="inlineStr">
        <is>
          <t>Req 1 : SAISIE_Source</t>
        </is>
      </c>
    </row>
    <row r="15">
      <c r="A15" s="15" t="inlineStr">
        <is>
          <t xml:space="preserve">  Donnees &gt; Requete vide &gt; coller le M-code ci-dessous</t>
        </is>
      </c>
    </row>
    <row r="16">
      <c r="A16" s="15" t="inlineStr">
        <is>
          <t xml:space="preserve">  Mode : Connexion uniquement (ne pas charger dans une feuille)</t>
        </is>
      </c>
    </row>
    <row r="17">
      <c r="A17" s="15" t="inlineStr"/>
    </row>
    <row r="18">
      <c r="A18" s="15" t="inlineStr">
        <is>
          <t>Req 2 : REF_Categories_Source</t>
        </is>
      </c>
    </row>
    <row r="19">
      <c r="A19" s="15" t="inlineStr">
        <is>
          <t xml:space="preserve">  Donnees &gt; Requete vide &gt; coller le M-code ci-dessous</t>
        </is>
      </c>
    </row>
    <row r="20">
      <c r="A20" s="15" t="inlineStr">
        <is>
          <t xml:space="preserve">  Mode : Connexion uniquement</t>
        </is>
      </c>
    </row>
    <row r="21">
      <c r="A21" s="15" t="inlineStr"/>
    </row>
    <row r="22">
      <c r="A22" s="15" t="inlineStr">
        <is>
          <t>Req 3 : MASTER_FACT_MAN_Charges</t>
        </is>
      </c>
    </row>
    <row r="23">
      <c r="A23" s="15" t="inlineStr">
        <is>
          <t xml:space="preserve">  Donnees &gt; Requete vide &gt; coller le M-code ci-dessous</t>
        </is>
      </c>
    </row>
    <row r="24">
      <c r="A24" s="15" t="inlineStr">
        <is>
          <t xml:space="preserve">  Puis : Clic droit &gt; Charger dans &gt; Table &gt; Feuille MASTER</t>
        </is>
      </c>
    </row>
    <row r="25">
      <c r="A25" s="15" t="inlineStr"/>
    </row>
    <row r="26">
      <c r="A26" s="15" t="inlineStr">
        <is>
          <t>Req 4 : VUE_ACHATS_MENAGE_VALIDES</t>
        </is>
      </c>
    </row>
    <row r="27">
      <c r="A27" s="15" t="inlineStr">
        <is>
          <t xml:space="preserve">  Donnees &gt; Requete vide &gt; coller le M-code ci-dessous</t>
        </is>
      </c>
    </row>
    <row r="28">
      <c r="A28" s="15" t="inlineStr">
        <is>
          <t xml:space="preserve">  Puis : Clic droit &gt; Charger dans &gt; Table &gt; Feuille VUE_MENAGE</t>
        </is>
      </c>
    </row>
    <row r="29">
      <c r="A29" s="15" t="inlineStr"/>
    </row>
    <row r="30">
      <c r="A30" s="15" t="inlineStr">
        <is>
          <t>NOTE : adapter BASE_PATH si le projet change de lecteur ou d'utilisateur.</t>
        </is>
      </c>
    </row>
    <row r="33">
      <c r="A33" s="16" t="inlineStr">
        <is>
          <t>REQUETE 1 : SAISIE_Source</t>
        </is>
      </c>
    </row>
    <row r="34" ht="14" customHeight="1">
      <c r="C34" s="17" t="inlineStr">
        <is>
          <t>// Requete : SAISIE_Source</t>
        </is>
      </c>
    </row>
    <row r="35" ht="14" customHeight="1">
      <c r="C35" s="17" t="inlineStr">
        <is>
          <t>// Lit SAISIE_Charges_Flux.xlsx, typage fort, filtre lignes vides</t>
        </is>
      </c>
    </row>
    <row r="36" ht="14" customHeight="1">
      <c r="C36" s="17" t="inlineStr"/>
    </row>
    <row r="37" ht="14" customHeight="1">
      <c r="C37" s="17" t="inlineStr">
        <is>
          <t>let</t>
        </is>
      </c>
    </row>
    <row r="38" ht="14" customHeight="1">
      <c r="C38" s="17" t="inlineStr">
        <is>
          <t xml:space="preserve">    BASE_PATH = "C:\Users\Ewan\OneDrive\Documents\Conciergerie\Pilotage_Conciergerie\",</t>
        </is>
      </c>
    </row>
    <row r="39" ht="14" customHeight="1">
      <c r="C39" s="17" t="inlineStr">
        <is>
          <t xml:space="preserve">    Source = Excel.Workbook(</t>
        </is>
      </c>
    </row>
    <row r="40" ht="14" customHeight="1">
      <c r="C40" s="17" t="inlineStr">
        <is>
          <t xml:space="preserve">        File.Contents(BASE_PATH &amp; "01_SOURCES_BRUTES\Charges\SAISIE_Charges_Flux.xlsx"),</t>
        </is>
      </c>
    </row>
    <row r="41" ht="14" customHeight="1">
      <c r="C41" s="17" t="inlineStr">
        <is>
          <t xml:space="preserve">        null, true</t>
        </is>
      </c>
    </row>
    <row r="42" ht="14" customHeight="1">
      <c r="C42" s="17" t="inlineStr">
        <is>
          <t xml:space="preserve">    ),</t>
        </is>
      </c>
    </row>
    <row r="43" ht="14" customHeight="1">
      <c r="C43" s="17" t="inlineStr">
        <is>
          <t xml:space="preserve">    SAISIE_Sheet = Source{[Item="SAISIE",Kind="Sheet"]}[Data],</t>
        </is>
      </c>
    </row>
    <row r="44" ht="14" customHeight="1">
      <c r="C44" s="17" t="inlineStr">
        <is>
          <t xml:space="preserve">    Promoted = Table.PromoteHeaders(SAISIE_Sheet, [PromoteAllScalars=true]),</t>
        </is>
      </c>
    </row>
    <row r="45" ht="14" customHeight="1">
      <c r="C45" s="17" t="inlineStr">
        <is>
          <t xml:space="preserve">    Typed = Table.TransformColumnTypes(Promoted, {</t>
        </is>
      </c>
    </row>
    <row r="46" ht="14" customHeight="1">
      <c r="C46" s="17" t="inlineStr">
        <is>
          <t xml:space="preserve">        {"charge_id",                  type text},</t>
        </is>
      </c>
    </row>
    <row r="47" ht="14" customHeight="1">
      <c r="C47" s="17" t="inlineStr">
        <is>
          <t xml:space="preserve">        {"date_charge",                type date},</t>
        </is>
      </c>
    </row>
    <row r="48" ht="14" customHeight="1">
      <c r="C48" s="17" t="inlineStr">
        <is>
          <t xml:space="preserve">        {"mois",                       type text},</t>
        </is>
      </c>
    </row>
    <row r="49" ht="14" customHeight="1">
      <c r="C49" s="17" t="inlineStr">
        <is>
          <t xml:space="preserve">        {"montant",                    type number},</t>
        </is>
      </c>
    </row>
    <row r="50" ht="14" customHeight="1">
      <c r="C50" s="17" t="inlineStr">
        <is>
          <t xml:space="preserve">        {"sens_flux",                  type text},</t>
        </is>
      </c>
    </row>
    <row r="51" ht="14" customHeight="1">
      <c r="C51" s="17" t="inlineStr">
        <is>
          <t xml:space="preserve">        {"categorie_charge_id",        type text},</t>
        </is>
      </c>
    </row>
    <row r="52" ht="14" customHeight="1">
      <c r="C52" s="17" t="inlineStr">
        <is>
          <t xml:space="preserve">        {"type_flux_id",               type text},</t>
        </is>
      </c>
    </row>
    <row r="53" ht="14" customHeight="1">
      <c r="C53" s="17" t="inlineStr">
        <is>
          <t xml:space="preserve">        {"code_impact",                type text},</t>
        </is>
      </c>
    </row>
    <row r="54" ht="14" customHeight="1">
      <c r="C54" s="17" t="inlineStr">
        <is>
          <t xml:space="preserve">        {"impact_resultat_reel",       type text},</t>
        </is>
      </c>
    </row>
    <row r="55" ht="14" customHeight="1">
      <c r="C55" s="17" t="inlineStr">
        <is>
          <t xml:space="preserve">        {"impact_resultat_comptable",  type text},</t>
        </is>
      </c>
    </row>
    <row r="56" ht="14" customHeight="1">
      <c r="C56" s="17" t="inlineStr">
        <is>
          <t xml:space="preserve">        {"prise_en_compta",            type text},</t>
        </is>
      </c>
    </row>
    <row r="57" ht="14" customHeight="1">
      <c r="C57" s="17" t="inlineStr">
        <is>
          <t xml:space="preserve">        {"associe_id",                 type text},</t>
        </is>
      </c>
    </row>
    <row r="58" ht="14" customHeight="1">
      <c r="C58" s="17" t="inlineStr">
        <is>
          <t xml:space="preserve">        {"mode_paiement_id",           type text},</t>
        </is>
      </c>
    </row>
    <row r="59" ht="14" customHeight="1">
      <c r="C59" s="17" t="inlineStr">
        <is>
          <t xml:space="preserve">        {"carte_id",                   type text},</t>
        </is>
      </c>
    </row>
    <row r="60" ht="14" customHeight="1">
      <c r="C60" s="17" t="inlineStr">
        <is>
          <t xml:space="preserve">        {"affectation_type",           type text},</t>
        </is>
      </c>
    </row>
    <row r="61" ht="14" customHeight="1">
      <c r="C61" s="17" t="inlineStr">
        <is>
          <t xml:space="preserve">        {"logement_id",                type text},</t>
        </is>
      </c>
    </row>
    <row r="62" ht="14" customHeight="1">
      <c r="C62" s="17" t="inlineStr">
        <is>
          <t xml:space="preserve">        {"proprietaire_id",            type text},</t>
        </is>
      </c>
    </row>
    <row r="63" ht="14" customHeight="1">
      <c r="C63" s="17" t="inlineStr">
        <is>
          <t xml:space="preserve">        {"reservation_id",             type text},</t>
        </is>
      </c>
    </row>
    <row r="64" ht="14" customHeight="1">
      <c r="C64" s="17" t="inlineStr">
        <is>
          <t xml:space="preserve">        {"refacturable",               type text},</t>
        </is>
      </c>
    </row>
    <row r="65" ht="14" customHeight="1">
      <c r="C65" s="17" t="inlineStr">
        <is>
          <t xml:space="preserve">        {"source_flux",                type text},</t>
        </is>
      </c>
    </row>
    <row r="66" ht="14" customHeight="1">
      <c r="C66" s="17" t="inlineStr">
        <is>
          <t xml:space="preserve">        {"methode_traitement",         type text},</t>
        </is>
      </c>
    </row>
    <row r="67" ht="14" customHeight="1">
      <c r="C67" s="17" t="inlineStr">
        <is>
          <t xml:space="preserve">        {"paye_avec_montant_recupere", type text},</t>
        </is>
      </c>
    </row>
    <row r="68" ht="14" customHeight="1">
      <c r="C68" s="17" t="inlineStr">
        <is>
          <t xml:space="preserve">        {"lien_virement_banque",       type text},</t>
        </is>
      </c>
    </row>
    <row r="69" ht="14" customHeight="1">
      <c r="C69" s="17" t="inlineStr">
        <is>
          <t xml:space="preserve">        {"statut_controle",            type text},</t>
        </is>
      </c>
    </row>
    <row r="70" ht="14" customHeight="1">
      <c r="C70" s="17" t="inlineStr">
        <is>
          <t xml:space="preserve">        {"niveau_anomalie",            type text},</t>
        </is>
      </c>
    </row>
    <row r="71" ht="14" customHeight="1">
      <c r="C71" s="17" t="inlineStr">
        <is>
          <t xml:space="preserve">        {"code_anomalie",              type text},</t>
        </is>
      </c>
    </row>
    <row r="72" ht="14" customHeight="1">
      <c r="C72" s="17" t="inlineStr">
        <is>
          <t xml:space="preserve">        {"statut_rapprochement",       type text},</t>
        </is>
      </c>
    </row>
    <row r="73" ht="14" customHeight="1">
      <c r="C73" s="17" t="inlineStr">
        <is>
          <t xml:space="preserve">        {"justificatif",               type text},</t>
        </is>
      </c>
    </row>
    <row r="74" ht="14" customHeight="1">
      <c r="C74" s="17" t="inlineStr">
        <is>
          <t xml:space="preserve">        {"commentaire",                type text},</t>
        </is>
      </c>
    </row>
    <row r="75" ht="14" customHeight="1">
      <c r="C75" s="17" t="inlineStr">
        <is>
          <t xml:space="preserve">        {"ROW_HASH",                   type text},</t>
        </is>
      </c>
    </row>
    <row r="76" ht="14" customHeight="1">
      <c r="C76" s="17" t="inlineStr">
        <is>
          <t xml:space="preserve">        {"date_saisie",                type date}</t>
        </is>
      </c>
    </row>
    <row r="77" ht="14" customHeight="1">
      <c r="C77" s="17" t="inlineStr">
        <is>
          <t xml:space="preserve">    }),</t>
        </is>
      </c>
    </row>
    <row r="78" ht="14" customHeight="1">
      <c r="C78" s="17" t="inlineStr">
        <is>
          <t xml:space="preserve">    Filtered = Table.SelectRows(Typed, each</t>
        </is>
      </c>
    </row>
    <row r="79" ht="14" customHeight="1">
      <c r="C79" s="17" t="inlineStr">
        <is>
          <t xml:space="preserve">        [charge_id] &lt;&gt; null and [charge_id] &lt;&gt; ""</t>
        </is>
      </c>
    </row>
    <row r="80" ht="14" customHeight="1">
      <c r="C80" s="17" t="inlineStr">
        <is>
          <t xml:space="preserve">    )</t>
        </is>
      </c>
    </row>
    <row r="81" ht="14" customHeight="1">
      <c r="C81" s="17" t="inlineStr">
        <is>
          <t>in</t>
        </is>
      </c>
    </row>
    <row r="82" ht="14" customHeight="1">
      <c r="C82" s="17" t="inlineStr">
        <is>
          <t xml:space="preserve">    Filtered</t>
        </is>
      </c>
    </row>
    <row r="85">
      <c r="A85" s="16" t="inlineStr">
        <is>
          <t>REQUETE 2 : REF_Categories_Source</t>
        </is>
      </c>
    </row>
    <row r="86" ht="14" customHeight="1">
      <c r="C86" s="17" t="inlineStr">
        <is>
          <t>// Requete : REF_Categories_Source</t>
        </is>
      </c>
    </row>
    <row r="87" ht="14" customHeight="1">
      <c r="C87" s="17" t="inlineStr">
        <is>
          <t>// Lit REF_Categories_Charges depuis REF_Setup.xlsm</t>
        </is>
      </c>
    </row>
    <row r="88" ht="14" customHeight="1">
      <c r="C88" s="17" t="inlineStr">
        <is>
          <t>// Mode : Connexion uniquement (ne pas charger dans une feuille)</t>
        </is>
      </c>
    </row>
    <row r="89" ht="14" customHeight="1">
      <c r="C89" s="17" t="inlineStr"/>
    </row>
    <row r="90" ht="14" customHeight="1">
      <c r="C90" s="17" t="inlineStr">
        <is>
          <t>let</t>
        </is>
      </c>
    </row>
    <row r="91" ht="14" customHeight="1">
      <c r="C91" s="17" t="inlineStr">
        <is>
          <t xml:space="preserve">    BASE_PATH = "C:\Users\Ewan\OneDrive\Documents\Conciergerie\Pilotage_Conciergerie\",</t>
        </is>
      </c>
    </row>
    <row r="92" ht="14" customHeight="1">
      <c r="C92" s="17" t="inlineStr">
        <is>
          <t xml:space="preserve">    Source = Excel.Workbook(</t>
        </is>
      </c>
    </row>
    <row r="93" ht="14" customHeight="1">
      <c r="C93" s="17" t="inlineStr">
        <is>
          <t xml:space="preserve">        File.Contents(BASE_PATH &amp; "01_SOURCES_BRUTES\REF_Setup\REF_Setup.xlsm"),</t>
        </is>
      </c>
    </row>
    <row r="94" ht="14" customHeight="1">
      <c r="C94" s="17" t="inlineStr">
        <is>
          <t xml:space="preserve">        null, true</t>
        </is>
      </c>
    </row>
    <row r="95" ht="14" customHeight="1">
      <c r="C95" s="17" t="inlineStr">
        <is>
          <t xml:space="preserve">    ),</t>
        </is>
      </c>
    </row>
    <row r="96" ht="14" customHeight="1">
      <c r="C96" s="17" t="inlineStr">
        <is>
          <t xml:space="preserve">    Sheet = Source{[Item="REF_Categories_Charges",Kind="Sheet"]}[Data],</t>
        </is>
      </c>
    </row>
    <row r="97" ht="14" customHeight="1">
      <c r="C97" s="17" t="inlineStr">
        <is>
          <t xml:space="preserve">    Promoted = Table.PromoteHeaders(Sheet, [PromoteAllScalars=true]),</t>
        </is>
      </c>
    </row>
    <row r="98" ht="14" customHeight="1">
      <c r="C98" s="17" t="inlineStr">
        <is>
          <t xml:space="preserve">    Selected = Table.SelectColumns(Promoted, {"categorie_charge_id", "filtre_vue_menage"})</t>
        </is>
      </c>
    </row>
    <row r="99" ht="14" customHeight="1">
      <c r="C99" s="17" t="inlineStr">
        <is>
          <t>in</t>
        </is>
      </c>
    </row>
    <row r="100" ht="14" customHeight="1">
      <c r="C100" s="17" t="inlineStr">
        <is>
          <t xml:space="preserve">    Selected</t>
        </is>
      </c>
    </row>
    <row r="103">
      <c r="A103" s="16" t="inlineStr">
        <is>
          <t>REQUETE 3 : MASTER_FACT_MAN_Charges</t>
        </is>
      </c>
    </row>
    <row r="104" ht="14" customHeight="1">
      <c r="C104" s="17" t="inlineStr">
        <is>
          <t>// Requete : MASTER_FACT_MAN_Charges</t>
        </is>
      </c>
    </row>
    <row r="105" ht="14" customHeight="1">
      <c r="C105" s="17" t="inlineStr">
        <is>
          <t>// 37 colonnes = 31 SAISIE + 6 colonnes PQ</t>
        </is>
      </c>
    </row>
    <row r="106" ht="14" customHeight="1">
      <c r="C106" s="17" t="inlineStr">
        <is>
          <t>// Charger dans : onglet MASTER (Load To &gt; Table &gt; feuille existante MASTER)</t>
        </is>
      </c>
    </row>
    <row r="107" ht="14" customHeight="1">
      <c r="C107" s="17" t="inlineStr">
        <is>
          <t>// Mode : Connexion uniquement pour SAISIE_Source et REF_Categories_Source</t>
        </is>
      </c>
    </row>
    <row r="108" ht="14" customHeight="1">
      <c r="C108" s="17" t="inlineStr"/>
    </row>
    <row r="109" ht="14" customHeight="1">
      <c r="C109" s="17" t="inlineStr">
        <is>
          <t>let</t>
        </is>
      </c>
    </row>
    <row r="110" ht="14" customHeight="1">
      <c r="C110" s="17" t="inlineStr">
        <is>
          <t xml:space="preserve">    Source = SAISIE_Source,</t>
        </is>
      </c>
    </row>
    <row r="111" ht="14" customHeight="1">
      <c r="C111" s="17" t="inlineStr"/>
    </row>
    <row r="112" ht="14" customHeight="1">
      <c r="C112" s="17" t="inlineStr">
        <is>
          <t xml:space="preserve">    // (1) LEFT JOIN pour filtre_vue_menage (REF_Categories_Charges)</t>
        </is>
      </c>
    </row>
    <row r="113" ht="14" customHeight="1">
      <c r="C113" s="17" t="inlineStr">
        <is>
          <t xml:space="preserve">    Joined = Table.NestedJoin(</t>
        </is>
      </c>
    </row>
    <row r="114" ht="14" customHeight="1">
      <c r="C114" s="17" t="inlineStr">
        <is>
          <t xml:space="preserve">        Source, {"categorie_charge_id"},</t>
        </is>
      </c>
    </row>
    <row r="115" ht="14" customHeight="1">
      <c r="C115" s="17" t="inlineStr">
        <is>
          <t xml:space="preserve">        REF_Categories_Source, {"categorie_charge_id"},</t>
        </is>
      </c>
    </row>
    <row r="116" ht="14" customHeight="1">
      <c r="C116" s="17" t="inlineStr">
        <is>
          <t xml:space="preserve">        "_REF", JoinKind.LeftOuter</t>
        </is>
      </c>
    </row>
    <row r="117" ht="14" customHeight="1">
      <c r="C117" s="17" t="inlineStr">
        <is>
          <t xml:space="preserve">    ),</t>
        </is>
      </c>
    </row>
    <row r="118" ht="14" customHeight="1">
      <c r="C118" s="17" t="inlineStr">
        <is>
          <t xml:space="preserve">    Expanded = Table.ExpandTableColumn(Joined, "_REF", {"filtre_vue_menage"}),</t>
        </is>
      </c>
    </row>
    <row r="119" ht="14" customHeight="1">
      <c r="C119" s="17" t="inlineStr"/>
    </row>
    <row r="120" ht="14" customHeight="1">
      <c r="C120" s="17" t="inlineStr">
        <is>
          <t xml:space="preserve">    // (2) Colonne 'sens' derivee de 'sens_flux'</t>
        </is>
      </c>
    </row>
    <row r="121" ht="14" customHeight="1">
      <c r="C121" s="17" t="inlineStr">
        <is>
          <t xml:space="preserve">    //     DEPENSE        -&gt; CHARGE</t>
        </is>
      </c>
    </row>
    <row r="122" ht="14" customHeight="1">
      <c r="C122" s="17" t="inlineStr">
        <is>
          <t xml:space="preserve">    //     RECUPERATION   -&gt; PRODUIT</t>
        </is>
      </c>
    </row>
    <row r="123" ht="14" customHeight="1">
      <c r="C123" s="17" t="inlineStr">
        <is>
          <t xml:space="preserve">    //     REMBOURSEMENT  -&gt; NEUTRALISATION</t>
        </is>
      </c>
    </row>
    <row r="124" ht="14" customHeight="1">
      <c r="C124" s="17" t="inlineStr">
        <is>
          <t xml:space="preserve">    //     REFACTURATION  -&gt; CHARGE  (charge avancee puis recuperee sur proprietaire)</t>
        </is>
      </c>
    </row>
    <row r="125" ht="14" customHeight="1">
      <c r="C125" s="17" t="inlineStr">
        <is>
          <t xml:space="preserve">    //     NEUTRE         -&gt; NEUTRALISATION</t>
        </is>
      </c>
    </row>
    <row r="126" ht="14" customHeight="1">
      <c r="C126" s="17" t="inlineStr">
        <is>
          <t xml:space="preserve">    AddSens = Table.AddColumn(Expanded, "sens", each</t>
        </is>
      </c>
    </row>
    <row r="127" ht="14" customHeight="1">
      <c r="C127" s="17" t="inlineStr">
        <is>
          <t xml:space="preserve">        if      [sens_flux] = "DEPENSE"       then "CHARGE"</t>
        </is>
      </c>
    </row>
    <row r="128" ht="14" customHeight="1">
      <c r="C128" s="17" t="inlineStr">
        <is>
          <t xml:space="preserve">        else if [sens_flux] = "RECUPERATION"  then "PRODUIT"</t>
        </is>
      </c>
    </row>
    <row r="129" ht="14" customHeight="1">
      <c r="C129" s="17" t="inlineStr">
        <is>
          <t xml:space="preserve">        else if [sens_flux] = "REMBOURSEMENT" then "NEUTRALISATION"</t>
        </is>
      </c>
    </row>
    <row r="130" ht="14" customHeight="1">
      <c r="C130" s="17" t="inlineStr">
        <is>
          <t xml:space="preserve">        else if [sens_flux] = "REFACTURATION" then "CHARGE"</t>
        </is>
      </c>
    </row>
    <row r="131" ht="14" customHeight="1">
      <c r="C131" s="17" t="inlineStr">
        <is>
          <t xml:space="preserve">        else if [sens_flux] = "NEUTRE"        then "NEUTRALISATION"</t>
        </is>
      </c>
    </row>
    <row r="132" ht="14" customHeight="1">
      <c r="C132" s="17" t="inlineStr">
        <is>
          <t xml:space="preserve">        else null,</t>
        </is>
      </c>
    </row>
    <row r="133" ht="14" customHeight="1">
      <c r="C133" s="17" t="inlineStr">
        <is>
          <t xml:space="preserve">        type text</t>
        </is>
      </c>
    </row>
    <row r="134" ht="14" customHeight="1">
      <c r="C134" s="17" t="inlineStr">
        <is>
          <t xml:space="preserve">    ),</t>
        </is>
      </c>
    </row>
    <row r="135" ht="14" customHeight="1">
      <c r="C135" s="17" t="inlineStr"/>
    </row>
    <row r="136" ht="14" customHeight="1">
      <c r="C136" s="17" t="inlineStr">
        <is>
          <t xml:space="preserve">    // (3) Colonnes systeme d'integration</t>
        </is>
      </c>
    </row>
    <row r="137" ht="14" customHeight="1">
      <c r="C137" s="17" t="inlineStr">
        <is>
          <t xml:space="preserve">    AddSourceModule = Table.AddColumn(AddSens,        "source_module",    each "LOT3_CHARGES",       type text),</t>
        </is>
      </c>
    </row>
    <row r="138" ht="14" customHeight="1">
      <c r="C138" s="17" t="inlineStr">
        <is>
          <t xml:space="preserve">    AddSourceTable  = Table.AddColumn(AddSourceModule, "source_table",     each "SAISIE_Charges_Flux", type text),</t>
        </is>
      </c>
    </row>
    <row r="139" ht="14" customHeight="1">
      <c r="C139" s="17" t="inlineStr">
        <is>
          <t xml:space="preserve">    AddSourcePK     = Table.AddColumn(AddSourceTable,  "source_pk",        each [charge_id],           type text),</t>
        </is>
      </c>
    </row>
    <row r="140" ht="14" customHeight="1">
      <c r="C140" s="17" t="inlineStr">
        <is>
          <t xml:space="preserve">    AddDateInteg    = Table.AddColumn(AddSourcePK,     "date_integration", each DateTime.LocalNow(),   type datetime),</t>
        </is>
      </c>
    </row>
    <row r="141" ht="14" customHeight="1">
      <c r="C141" s="17" t="inlineStr"/>
    </row>
    <row r="142" ht="14" customHeight="1">
      <c r="C142" s="17" t="inlineStr">
        <is>
          <t xml:space="preserve">    // (4) Reordonnement final — 37 colonnes</t>
        </is>
      </c>
    </row>
    <row r="143" ht="14" customHeight="1">
      <c r="C143" s="17" t="inlineStr">
        <is>
          <t xml:space="preserve">    Reordered = Table.ReorderColumns(AddDateInteg, {</t>
        </is>
      </c>
    </row>
    <row r="144" ht="14" customHeight="1">
      <c r="C144" s="17" t="inlineStr">
        <is>
          <t xml:space="preserve">        "charge_id", "date_charge", "mois",</t>
        </is>
      </c>
    </row>
    <row r="145" ht="14" customHeight="1">
      <c r="C145" s="17" t="inlineStr">
        <is>
          <t xml:space="preserve">        "montant", "sens_flux", "sens",</t>
        </is>
      </c>
    </row>
    <row r="146" ht="14" customHeight="1">
      <c r="C146" s="17" t="inlineStr">
        <is>
          <t xml:space="preserve">        "categorie_charge_id", "filtre_vue_menage", "type_flux_id",</t>
        </is>
      </c>
    </row>
    <row r="147" ht="14" customHeight="1">
      <c r="C147" s="17" t="inlineStr">
        <is>
          <t xml:space="preserve">        "code_impact", "impact_resultat_reel", "impact_resultat_comptable",</t>
        </is>
      </c>
    </row>
    <row r="148" ht="14" customHeight="1">
      <c r="C148" s="17" t="inlineStr">
        <is>
          <t xml:space="preserve">        "prise_en_compta",</t>
        </is>
      </c>
    </row>
    <row r="149" ht="14" customHeight="1">
      <c r="C149" s="17" t="inlineStr">
        <is>
          <t xml:space="preserve">        "associe_id", "mode_paiement_id", "carte_id",</t>
        </is>
      </c>
    </row>
    <row r="150" ht="14" customHeight="1">
      <c r="C150" s="17" t="inlineStr">
        <is>
          <t xml:space="preserve">        "affectation_type", "logement_id", "proprietaire_id",</t>
        </is>
      </c>
    </row>
    <row r="151" ht="14" customHeight="1">
      <c r="C151" s="17" t="inlineStr">
        <is>
          <t xml:space="preserve">        "reservation_id", "refacturable",</t>
        </is>
      </c>
    </row>
    <row r="152" ht="14" customHeight="1">
      <c r="C152" s="17" t="inlineStr">
        <is>
          <t xml:space="preserve">        "source_flux", "methode_traitement",</t>
        </is>
      </c>
    </row>
    <row r="153" ht="14" customHeight="1">
      <c r="C153" s="17" t="inlineStr">
        <is>
          <t xml:space="preserve">        "paye_avec_montant_recupere", "lien_virement_banque",</t>
        </is>
      </c>
    </row>
    <row r="154" ht="14" customHeight="1">
      <c r="C154" s="17" t="inlineStr">
        <is>
          <t xml:space="preserve">        "statut_controle", "niveau_anomalie", "code_anomalie", "statut_rapprochement",</t>
        </is>
      </c>
    </row>
    <row r="155" ht="14" customHeight="1">
      <c r="C155" s="17" t="inlineStr">
        <is>
          <t xml:space="preserve">        "justificatif", "commentaire",</t>
        </is>
      </c>
    </row>
    <row r="156" ht="14" customHeight="1">
      <c r="C156" s="17" t="inlineStr">
        <is>
          <t xml:space="preserve">        "ROW_HASH", "date_saisie",</t>
        </is>
      </c>
    </row>
    <row r="157" ht="14" customHeight="1">
      <c r="C157" s="17" t="inlineStr">
        <is>
          <t xml:space="preserve">        "source_module", "source_table", "source_pk", "date_integration"</t>
        </is>
      </c>
    </row>
    <row r="158" ht="14" customHeight="1">
      <c r="C158" s="17" t="inlineStr">
        <is>
          <t xml:space="preserve">    })</t>
        </is>
      </c>
    </row>
    <row r="159" ht="14" customHeight="1">
      <c r="C159" s="17" t="inlineStr">
        <is>
          <t>in</t>
        </is>
      </c>
    </row>
    <row r="160" ht="14" customHeight="1">
      <c r="C160" s="17" t="inlineStr">
        <is>
          <t xml:space="preserve">    Reordered</t>
        </is>
      </c>
    </row>
    <row r="163">
      <c r="A163" s="16" t="inlineStr">
        <is>
          <t>REQUETE 4 : VUE_ACHATS_MENAGE_VALIDES</t>
        </is>
      </c>
    </row>
    <row r="164" ht="14" customHeight="1">
      <c r="C164" s="17" t="inlineStr">
        <is>
          <t>// Requete : VUE_ACHATS_MENAGE_VALIDES</t>
        </is>
      </c>
    </row>
    <row r="165" ht="14" customHeight="1">
      <c r="C165" s="17" t="inlineStr">
        <is>
          <t>// Filtre MASTER : filtre_vue_menage=OUI ET statut_controle=VALIDE</t>
        </is>
      </c>
    </row>
    <row r="166" ht="14" customHeight="1">
      <c r="C166" s="17" t="inlineStr">
        <is>
          <t>// 37 colonnes identiques a MASTER (pas de suppression de colonnes)</t>
        </is>
      </c>
    </row>
    <row r="167" ht="14" customHeight="1">
      <c r="C167" s="17" t="inlineStr">
        <is>
          <t>// Charger dans : onglet VUE_MENAGE (Load To &gt; Table &gt; feuille existante VUE_MENAGE)</t>
        </is>
      </c>
    </row>
    <row r="168" ht="14" customHeight="1">
      <c r="C168" s="17" t="inlineStr">
        <is>
          <t>// Usage : cout complet menage interne — agregation par logement/mois (D028)</t>
        </is>
      </c>
    </row>
    <row r="169" ht="14" customHeight="1">
      <c r="C169" s="17" t="inlineStr">
        <is>
          <t>// Anti-double-comptage : ces lignes NE figurent pas dans M04 (D027/D038)</t>
        </is>
      </c>
    </row>
    <row r="170" ht="14" customHeight="1">
      <c r="C170" s="17" t="inlineStr"/>
    </row>
    <row r="171" ht="14" customHeight="1">
      <c r="C171" s="17" t="inlineStr">
        <is>
          <t>let</t>
        </is>
      </c>
    </row>
    <row r="172" ht="14" customHeight="1">
      <c r="C172" s="17" t="inlineStr">
        <is>
          <t xml:space="preserve">    Source = MASTER_FACT_MAN_Charges,</t>
        </is>
      </c>
    </row>
    <row r="173" ht="14" customHeight="1">
      <c r="C173" s="17" t="inlineStr">
        <is>
          <t xml:space="preserve">    Filtre = Table.SelectRows(Source, each</t>
        </is>
      </c>
    </row>
    <row r="174" ht="14" customHeight="1">
      <c r="C174" s="17" t="inlineStr">
        <is>
          <t xml:space="preserve">        [filtre_vue_menage] = "OUI" and</t>
        </is>
      </c>
    </row>
    <row r="175" ht="14" customHeight="1">
      <c r="C175" s="17" t="inlineStr">
        <is>
          <t xml:space="preserve">        [statut_controle]   = "VALIDE"</t>
        </is>
      </c>
    </row>
    <row r="176" ht="14" customHeight="1">
      <c r="C176" s="17" t="inlineStr">
        <is>
          <t xml:space="preserve">    )</t>
        </is>
      </c>
    </row>
    <row r="177" ht="14" customHeight="1">
      <c r="C177" s="17" t="inlineStr">
        <is>
          <t>in</t>
        </is>
      </c>
    </row>
    <row r="178" ht="14" customHeight="1">
      <c r="C178" s="17" t="inlineStr">
        <is>
          <t xml:space="preserve">    Filtre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2026-06-08T19:10:08Z</dcterms:created>
  <dcterms:modified xsi:type="dcterms:W3CDTF">2026-06-08T19:10:08Z</dcterms:modified>
</cp:coreProperties>
</file>
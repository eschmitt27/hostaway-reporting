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VUE_ACTIVE" sheetId="2" state="visible" r:id="rId2"/>
    <sheet name="POWER_QUERY_C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595959"/>
      <sz val="10"/>
    </font>
    <font>
      <b val="1"/>
      <color rgb="001F497D"/>
      <sz val="13"/>
    </font>
    <font>
      <b val="1"/>
      <color rgb="001F497D"/>
      <sz val="11"/>
    </font>
    <font>
      <name val="Consolas"/>
      <sz val="9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2E75B6"/>
      </patternFill>
    </fill>
    <fill>
      <patternFill patternType="solid">
        <fgColor rgb="007030A0"/>
      </patternFill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B0000"/>
      </patternFill>
    </fill>
    <fill>
      <patternFill patternType="solid">
        <fgColor rgb="00595959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16" customWidth="1" min="4" max="4"/>
    <col width="16" customWidth="1" min="5" max="5"/>
    <col width="24" customWidth="1" min="6" max="6"/>
    <col width="20" customWidth="1" min="7" max="7"/>
    <col width="24" customWidth="1" min="8" max="8"/>
    <col width="16" customWidth="1" min="9" max="9"/>
    <col width="22" customWidth="1" min="10" max="10"/>
    <col width="18" customWidth="1" min="11" max="11"/>
    <col width="12" customWidth="1" min="12" max="12"/>
    <col width="18" customWidth="1" min="13" max="13"/>
    <col width="22" customWidth="1" min="14" max="14"/>
    <col width="18" customWidth="1" min="15" max="15"/>
    <col width="16" customWidth="1" min="16" max="16"/>
    <col width="34" customWidth="1" min="17" max="17"/>
    <col width="42" customWidth="1" min="18" max="18"/>
    <col width="32" customWidth="1" min="19" max="19"/>
    <col width="32" customWidth="1" min="20" max="20"/>
    <col width="24" customWidth="1" min="21" max="21"/>
    <col width="22" customWidth="1" min="22" max="22"/>
  </cols>
  <sheetData>
    <row r="1" ht="22" customHeight="1">
      <c r="A1" s="1" t="inlineStr">
        <is>
          <t>acompte_id</t>
        </is>
      </c>
      <c r="B1" s="1" t="inlineStr">
        <is>
          <t>ROW_HASH</t>
        </is>
      </c>
      <c r="C1" s="2" t="inlineStr">
        <is>
          <t>mois</t>
        </is>
      </c>
      <c r="D1" s="2" t="inlineStr">
        <is>
          <t>proprietaire_id</t>
        </is>
      </c>
      <c r="E1" s="2" t="inlineStr">
        <is>
          <t>logement_id</t>
        </is>
      </c>
      <c r="F1" s="2" t="inlineStr">
        <is>
          <t>facture_ref</t>
        </is>
      </c>
      <c r="G1" s="2" t="inlineStr">
        <is>
          <t>source_acompte</t>
        </is>
      </c>
      <c r="H1" s="2" t="inlineStr">
        <is>
          <t>source_hh_id</t>
        </is>
      </c>
      <c r="I1" s="3" t="inlineStr">
        <is>
          <t>montant_acompte</t>
        </is>
      </c>
      <c r="J1" s="3" t="inlineStr">
        <is>
          <t>report_mois_precedent</t>
        </is>
      </c>
      <c r="K1" s="4" t="inlineStr">
        <is>
          <t>mode_paiement_id</t>
        </is>
      </c>
      <c r="L1" s="5" t="inlineStr">
        <is>
          <t>code_impact</t>
        </is>
      </c>
      <c r="M1" s="5" t="inlineStr">
        <is>
          <t>impact_resultat_reel</t>
        </is>
      </c>
      <c r="N1" s="5" t="inlineStr">
        <is>
          <t>impact_resultat_comptable</t>
        </is>
      </c>
      <c r="O1" s="6" t="inlineStr">
        <is>
          <t>statut_controle</t>
        </is>
      </c>
      <c r="P1" s="6" t="inlineStr">
        <is>
          <t>niveau_anomalie</t>
        </is>
      </c>
      <c r="Q1" s="6" t="inlineStr">
        <is>
          <t>code_anomalie</t>
        </is>
      </c>
      <c r="R1" s="7" t="inlineStr">
        <is>
          <t>commentaire</t>
        </is>
      </c>
      <c r="S1" s="8" t="inlineStr">
        <is>
          <t>source_module</t>
        </is>
      </c>
      <c r="T1" s="8" t="inlineStr">
        <is>
          <t>source_table</t>
        </is>
      </c>
      <c r="U1" s="8" t="inlineStr">
        <is>
          <t>source_pk</t>
        </is>
      </c>
      <c r="V1" s="8" t="inlineStr">
        <is>
          <t>date_integration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16" customWidth="1" min="4" max="4"/>
    <col width="16" customWidth="1" min="5" max="5"/>
    <col width="24" customWidth="1" min="6" max="6"/>
    <col width="20" customWidth="1" min="7" max="7"/>
    <col width="24" customWidth="1" min="8" max="8"/>
    <col width="16" customWidth="1" min="9" max="9"/>
    <col width="22" customWidth="1" min="10" max="10"/>
    <col width="18" customWidth="1" min="11" max="11"/>
    <col width="12" customWidth="1" min="12" max="12"/>
    <col width="18" customWidth="1" min="13" max="13"/>
    <col width="22" customWidth="1" min="14" max="14"/>
    <col width="18" customWidth="1" min="15" max="15"/>
    <col width="16" customWidth="1" min="16" max="16"/>
    <col width="34" customWidth="1" min="17" max="17"/>
    <col width="42" customWidth="1" min="18" max="18"/>
    <col width="32" customWidth="1" min="19" max="19"/>
    <col width="32" customWidth="1" min="20" max="20"/>
    <col width="24" customWidth="1" min="21" max="21"/>
    <col width="22" customWidth="1" min="22" max="22"/>
  </cols>
  <sheetData>
    <row r="1" ht="22" customHeight="1">
      <c r="A1" s="1" t="inlineStr">
        <is>
          <t>acompte_id</t>
        </is>
      </c>
      <c r="B1" s="1" t="inlineStr">
        <is>
          <t>ROW_HASH</t>
        </is>
      </c>
      <c r="C1" s="2" t="inlineStr">
        <is>
          <t>mois</t>
        </is>
      </c>
      <c r="D1" s="2" t="inlineStr">
        <is>
          <t>proprietaire_id</t>
        </is>
      </c>
      <c r="E1" s="2" t="inlineStr">
        <is>
          <t>logement_id</t>
        </is>
      </c>
      <c r="F1" s="2" t="inlineStr">
        <is>
          <t>facture_ref</t>
        </is>
      </c>
      <c r="G1" s="2" t="inlineStr">
        <is>
          <t>source_acompte</t>
        </is>
      </c>
      <c r="H1" s="2" t="inlineStr">
        <is>
          <t>source_hh_id</t>
        </is>
      </c>
      <c r="I1" s="3" t="inlineStr">
        <is>
          <t>montant_acompte</t>
        </is>
      </c>
      <c r="J1" s="3" t="inlineStr">
        <is>
          <t>report_mois_precedent</t>
        </is>
      </c>
      <c r="K1" s="4" t="inlineStr">
        <is>
          <t>mode_paiement_id</t>
        </is>
      </c>
      <c r="L1" s="5" t="inlineStr">
        <is>
          <t>code_impact</t>
        </is>
      </c>
      <c r="M1" s="5" t="inlineStr">
        <is>
          <t>impact_resultat_reel</t>
        </is>
      </c>
      <c r="N1" s="5" t="inlineStr">
        <is>
          <t>impact_resultat_comptable</t>
        </is>
      </c>
      <c r="O1" s="6" t="inlineStr">
        <is>
          <t>statut_controle</t>
        </is>
      </c>
      <c r="P1" s="6" t="inlineStr">
        <is>
          <t>niveau_anomalie</t>
        </is>
      </c>
      <c r="Q1" s="6" t="inlineStr">
        <is>
          <t>code_anomalie</t>
        </is>
      </c>
      <c r="R1" s="7" t="inlineStr">
        <is>
          <t>commentaire</t>
        </is>
      </c>
      <c r="S1" s="8" t="inlineStr">
        <is>
          <t>source_module</t>
        </is>
      </c>
      <c r="T1" s="8" t="inlineStr">
        <is>
          <t>source_table</t>
        </is>
      </c>
      <c r="U1" s="8" t="inlineStr">
        <is>
          <t>source_pk</t>
        </is>
      </c>
      <c r="V1" s="8" t="inlineStr">
        <is>
          <t>date_integration</t>
        </is>
      </c>
    </row>
    <row r="2">
      <c r="A2" s="9" t="inlineStr">
        <is>
          <t>[Power Query] Filtre appliqué : statut_controle = VALIDE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0" t="inlineStr">
        <is>
          <t>POWER_QUERY_CODE — Lot 5 Acomptes Propriétaires (5 requêtes)</t>
        </is>
      </c>
    </row>
    <row r="3">
      <c r="A3" s="11">
        <f>== Q1_SAISIE_ACC_Source ===</f>
        <v/>
      </c>
    </row>
    <row r="4">
      <c r="A4" s="12" t="inlineStr">
        <is>
          <t>let</t>
        </is>
      </c>
    </row>
    <row r="5">
      <c r="A5" s="12" t="inlineStr">
        <is>
          <t xml:space="preserve">    Source   = Excel.Workbook(File.Contents("C:\Users\Ewan\OneDrive\Documents\Conciergerie\Pilotage_Conciergerie\01_SOURCES_BRUTES\AcomptesProprietaires\SAISIE_AcomptesProprietaires.xlsx"), null, true),</t>
        </is>
      </c>
    </row>
    <row r="6">
      <c r="A6" s="12" t="inlineStr">
        <is>
          <t xml:space="preserve">    Sheet    = Source{[Item="SAISIE", Kind="Sheet"]}[Data],</t>
        </is>
      </c>
    </row>
    <row r="7">
      <c r="A7" s="12" t="inlineStr">
        <is>
          <t xml:space="preserve">    Promoted = Table.PromoteHeaders(Sheet, [PromoteAllScalars=true]),</t>
        </is>
      </c>
    </row>
    <row r="8">
      <c r="A8" s="12" t="inlineStr">
        <is>
          <t xml:space="preserve">    Typed    = Table.TransformColumnTypes(Promoted, {</t>
        </is>
      </c>
    </row>
    <row r="9">
      <c r="A9" s="12" t="inlineStr">
        <is>
          <t xml:space="preserve">        {"acompte_id",                type text},</t>
        </is>
      </c>
    </row>
    <row r="10">
      <c r="A10" s="12" t="inlineStr">
        <is>
          <t xml:space="preserve">        {"ROW_HASH",                  type text},</t>
        </is>
      </c>
    </row>
    <row r="11">
      <c r="A11" s="12" t="inlineStr">
        <is>
          <t xml:space="preserve">        {"mois",                      type text},</t>
        </is>
      </c>
    </row>
    <row r="12">
      <c r="A12" s="12" t="inlineStr">
        <is>
          <t xml:space="preserve">        {"proprietaire_id",           type text},</t>
        </is>
      </c>
    </row>
    <row r="13">
      <c r="A13" s="12" t="inlineStr">
        <is>
          <t xml:space="preserve">        {"logement_id",               type text},</t>
        </is>
      </c>
    </row>
    <row r="14">
      <c r="A14" s="12" t="inlineStr">
        <is>
          <t xml:space="preserve">        {"facture_ref",               type text},</t>
        </is>
      </c>
    </row>
    <row r="15">
      <c r="A15" s="12" t="inlineStr">
        <is>
          <t xml:space="preserve">        {"source_acompte",            type text},</t>
        </is>
      </c>
    </row>
    <row r="16">
      <c r="A16" s="12" t="inlineStr">
        <is>
          <t xml:space="preserve">        {"source_hh_id",              type text},</t>
        </is>
      </c>
    </row>
    <row r="17">
      <c r="A17" s="12" t="inlineStr">
        <is>
          <t xml:space="preserve">        {"montant_acompte",           type number},</t>
        </is>
      </c>
    </row>
    <row r="18">
      <c r="A18" s="12" t="inlineStr">
        <is>
          <t xml:space="preserve">        {"report_mois_precedent",     type number},</t>
        </is>
      </c>
    </row>
    <row r="19">
      <c r="A19" s="12" t="inlineStr">
        <is>
          <t xml:space="preserve">        {"mode_paiement_id",          type text},</t>
        </is>
      </c>
    </row>
    <row r="20">
      <c r="A20" s="12" t="inlineStr">
        <is>
          <t xml:space="preserve">        {"code_impact",               type text},</t>
        </is>
      </c>
    </row>
    <row r="21">
      <c r="A21" s="12" t="inlineStr">
        <is>
          <t xml:space="preserve">        {"impact_resultat_reel",      type text},</t>
        </is>
      </c>
    </row>
    <row r="22">
      <c r="A22" s="12" t="inlineStr">
        <is>
          <t xml:space="preserve">        {"impact_resultat_comptable", type text},</t>
        </is>
      </c>
    </row>
    <row r="23">
      <c r="A23" s="12" t="inlineStr">
        <is>
          <t xml:space="preserve">        {"statut_controle",           type text},</t>
        </is>
      </c>
    </row>
    <row r="24">
      <c r="A24" s="12" t="inlineStr">
        <is>
          <t xml:space="preserve">        {"niveau_anomalie",           type text},</t>
        </is>
      </c>
    </row>
    <row r="25">
      <c r="A25" s="12" t="inlineStr">
        <is>
          <t xml:space="preserve">        {"code_anomalie",             type text},</t>
        </is>
      </c>
    </row>
    <row r="26">
      <c r="A26" s="12" t="inlineStr">
        <is>
          <t xml:space="preserve">        {"commentaire",               type text}</t>
        </is>
      </c>
    </row>
    <row r="27">
      <c r="A27" s="12" t="inlineStr">
        <is>
          <t xml:space="preserve">    }),</t>
        </is>
      </c>
    </row>
    <row r="28">
      <c r="A28" s="12" t="inlineStr">
        <is>
          <t xml:space="preserve">    // Exclure les lignes vides (sans acompte_id)</t>
        </is>
      </c>
    </row>
    <row r="29">
      <c r="A29" s="12" t="inlineStr">
        <is>
          <t xml:space="preserve">    Filtered = Table.SelectRows(Typed, each [acompte_id] &lt;&gt; null and [acompte_id] &lt;&gt; "")</t>
        </is>
      </c>
    </row>
    <row r="30">
      <c r="A30" s="12" t="inlineStr">
        <is>
          <t>in</t>
        </is>
      </c>
    </row>
    <row r="31">
      <c r="A31" s="12" t="inlineStr">
        <is>
          <t xml:space="preserve">    Filtered</t>
        </is>
      </c>
    </row>
    <row r="34">
      <c r="A34" s="11">
        <f>== Q2_HH_Acomptes_Ref ===</f>
        <v/>
      </c>
    </row>
    <row r="35">
      <c r="A35" s="12" t="inlineStr">
        <is>
          <t>// Référence croisée Lot 4 — validation HH uniquement (pas chargé dans MASTER)</t>
        </is>
      </c>
    </row>
    <row r="36">
      <c r="A36" s="12" t="inlineStr">
        <is>
          <t>let</t>
        </is>
      </c>
    </row>
    <row r="37">
      <c r="A37" s="12" t="inlineStr">
        <is>
          <t xml:space="preserve">    Source   = Excel.Workbook(File.Contents("C:\Users\Ewan\OneDrive\Documents\Conciergerie\Pilotage_Conciergerie\02_TRAVAIL\Lot4_ReservationsHH\MASTER_FACT_MAN_ReservationsHorsHostaway.xlsx"), null, true),</t>
        </is>
      </c>
    </row>
    <row r="38">
      <c r="A38" s="12" t="inlineStr">
        <is>
          <t xml:space="preserve">    Sheet    = Source{[Item="MASTER", Kind="Sheet"]}[Data],</t>
        </is>
      </c>
    </row>
    <row r="39">
      <c r="A39" s="12" t="inlineStr">
        <is>
          <t xml:space="preserve">    Promoted = Table.PromoteHeaders(Sheet, [PromoteAllScalars=true]),</t>
        </is>
      </c>
    </row>
    <row r="40">
      <c r="A40" s="12" t="inlineStr">
        <is>
          <t xml:space="preserve">    Typed    = Table.TransformColumnTypes(Promoted, {</t>
        </is>
      </c>
    </row>
    <row r="41">
      <c r="A41" s="12" t="inlineStr">
        <is>
          <t xml:space="preserve">        {"reservation_hh_id", type text},</t>
        </is>
      </c>
    </row>
    <row r="42">
      <c r="A42" s="12" t="inlineStr">
        <is>
          <t xml:space="preserve">        {"statut_controle",   type text},</t>
        </is>
      </c>
    </row>
    <row r="43">
      <c r="A43" s="12" t="inlineStr">
        <is>
          <t xml:space="preserve">        {"acompte_facture",   type number},</t>
        </is>
      </c>
    </row>
    <row r="44">
      <c r="A44" s="12" t="inlineStr">
        <is>
          <t xml:space="preserve">        {"proprietaire_id",   type text},</t>
        </is>
      </c>
    </row>
    <row r="45">
      <c r="A45" s="12" t="inlineStr">
        <is>
          <t xml:space="preserve">        {"logement_id",       type text},</t>
        </is>
      </c>
    </row>
    <row r="46">
      <c r="A46" s="12" t="inlineStr">
        <is>
          <t xml:space="preserve">        {"mois",              type text}</t>
        </is>
      </c>
    </row>
    <row r="47">
      <c r="A47" s="12" t="inlineStr">
        <is>
          <t xml:space="preserve">    }),</t>
        </is>
      </c>
    </row>
    <row r="48">
      <c r="A48" s="12" t="inlineStr">
        <is>
          <t xml:space="preserve">    // Filtre Correction 1 : VALIDE + acompte_facture &gt; 0 uniquement</t>
        </is>
      </c>
    </row>
    <row r="49">
      <c r="A49" s="12" t="inlineStr">
        <is>
          <t xml:space="preserve">    Filtered = Table.SelectRows(Typed, each</t>
        </is>
      </c>
    </row>
    <row r="50">
      <c r="A50" s="12" t="inlineStr">
        <is>
          <t xml:space="preserve">        [statut_controle] = "VALIDE" and</t>
        </is>
      </c>
    </row>
    <row r="51">
      <c r="A51" s="12" t="inlineStr">
        <is>
          <t xml:space="preserve">        [acompte_facture] &lt;&gt; null and</t>
        </is>
      </c>
    </row>
    <row r="52">
      <c r="A52" s="12" t="inlineStr">
        <is>
          <t xml:space="preserve">        [acompte_facture] &gt; 0</t>
        </is>
      </c>
    </row>
    <row r="53">
      <c r="A53" s="12" t="inlineStr">
        <is>
          <t xml:space="preserve">    ),</t>
        </is>
      </c>
    </row>
    <row r="54">
      <c r="A54" s="12" t="inlineStr">
        <is>
          <t xml:space="preserve">    Selected = Table.SelectColumns(Filtered, {</t>
        </is>
      </c>
    </row>
    <row r="55">
      <c r="A55" s="12" t="inlineStr">
        <is>
          <t xml:space="preserve">        "reservation_hh_id", "acompte_facture",</t>
        </is>
      </c>
    </row>
    <row r="56">
      <c r="A56" s="12" t="inlineStr">
        <is>
          <t xml:space="preserve">        "proprietaire_id", "logement_id", "mois"</t>
        </is>
      </c>
    </row>
    <row r="57">
      <c r="A57" s="12" t="inlineStr">
        <is>
          <t xml:space="preserve">    })</t>
        </is>
      </c>
    </row>
    <row r="58">
      <c r="A58" s="12" t="inlineStr">
        <is>
          <t>in</t>
        </is>
      </c>
    </row>
    <row r="59">
      <c r="A59" s="12" t="inlineStr">
        <is>
          <t xml:space="preserve">    Selected</t>
        </is>
      </c>
    </row>
    <row r="62">
      <c r="A62" s="11">
        <f>== Q3_REF_Proprietaires_Source ===</f>
        <v/>
      </c>
    </row>
    <row r="63">
      <c r="A63" s="12" t="inlineStr">
        <is>
          <t>// Référence propriétaires actifs (validation croisée)</t>
        </is>
      </c>
    </row>
    <row r="64">
      <c r="A64" s="12" t="inlineStr">
        <is>
          <t>let</t>
        </is>
      </c>
    </row>
    <row r="65">
      <c r="A65" s="12" t="inlineStr">
        <is>
          <t xml:space="preserve">    Source   = Excel.Workbook(File.Contents("C:\Users\Ewan\OneDrive\Documents\Conciergerie\Pilotage_Conciergerie\01_SOURCES_BRUTES\REF_Setup\REF_Setup.xlsm"), null, true),</t>
        </is>
      </c>
    </row>
    <row r="66">
      <c r="A66" s="12" t="inlineStr">
        <is>
          <t xml:space="preserve">    Sheet    = Source{[Item="REF_Proprietaires", Kind="Sheet"]}[Data],</t>
        </is>
      </c>
    </row>
    <row r="67">
      <c r="A67" s="12" t="inlineStr">
        <is>
          <t xml:space="preserve">    Promoted = Table.PromoteHeaders(Sheet, [PromoteAllScalars=true]),</t>
        </is>
      </c>
    </row>
    <row r="68">
      <c r="A68" s="12" t="inlineStr">
        <is>
          <t xml:space="preserve">    Filtered = Table.SelectRows(Promoted, each [actif] = "OUI"),</t>
        </is>
      </c>
    </row>
    <row r="69">
      <c r="A69" s="12" t="inlineStr">
        <is>
          <t xml:space="preserve">    Selected = Table.SelectColumns(Filtered, {"proprietaire_id", "nom_proprietaire"})</t>
        </is>
      </c>
    </row>
    <row r="70">
      <c r="A70" s="12" t="inlineStr">
        <is>
          <t>in</t>
        </is>
      </c>
    </row>
    <row r="71">
      <c r="A71" s="12" t="inlineStr">
        <is>
          <t xml:space="preserve">    Selected</t>
        </is>
      </c>
    </row>
    <row r="74">
      <c r="A74" s="11">
        <f>== Q4_MASTER_FACT_MAN_AcomptesProprietaires ===</f>
        <v/>
      </c>
    </row>
    <row r="75">
      <c r="A75" s="12" t="inlineStr">
        <is>
          <t>let</t>
        </is>
      </c>
    </row>
    <row r="76">
      <c r="A76" s="12" t="inlineStr">
        <is>
          <t xml:space="preserve">    // ═══ 1. Sources ═══════════════════════════════════════════════════════════</t>
        </is>
      </c>
    </row>
    <row r="77">
      <c r="A77" s="12" t="inlineStr">
        <is>
          <t xml:space="preserve">    Saisie = Q1_SAISIE_ACC_Source,</t>
        </is>
      </c>
    </row>
    <row r="78">
      <c r="A78" s="12" t="inlineStr">
        <is>
          <t xml:space="preserve">    HH_Ref = Q2_HH_Acomptes_Ref,</t>
        </is>
      </c>
    </row>
    <row r="79">
      <c r="A79" s="12" t="inlineStr"/>
    </row>
    <row r="80">
      <c r="A80" s="12" t="inlineStr">
        <is>
          <t xml:space="preserve">    // ═══ 2. Doublons acompte_id ═══════════════════════════════════════════════</t>
        </is>
      </c>
    </row>
    <row r="81">
      <c r="A81" s="12" t="inlineStr">
        <is>
          <t xml:space="preserve">    ID_Grp  = Table.Group(Saisie, {"acompte_id"}, {{"_cnt", each Table.RowCount(_), Int64.Type}}),</t>
        </is>
      </c>
    </row>
    <row r="82">
      <c r="A82" s="12" t="inlineStr">
        <is>
          <t xml:space="preserve">    DupIDs  = Table.Column(Table.SelectRows(ID_Grp, each [_cnt] &gt; 1), "acompte_id"),</t>
        </is>
      </c>
    </row>
    <row r="83">
      <c r="A83" s="12" t="inlineStr"/>
    </row>
    <row r="84">
      <c r="A84" s="12" t="inlineStr">
        <is>
          <t xml:space="preserve">    // ═══ 3. Contrôles par ligne ════════════════════════════════════════════════</t>
        </is>
      </c>
    </row>
    <row r="85">
      <c r="A85" s="12" t="inlineStr">
        <is>
          <t xml:space="preserve">    WithCtrl = Table.AddColumn(Saisie, "_ctrl", each</t>
        </is>
      </c>
    </row>
    <row r="86">
      <c r="A86" s="12" t="inlineStr">
        <is>
          <t xml:space="preserve">        let</t>
        </is>
      </c>
    </row>
    <row r="87">
      <c r="A87" s="12" t="inlineStr">
        <is>
          <t xml:space="preserve">            // --- BLOQUANTS ---</t>
        </is>
      </c>
    </row>
    <row r="88">
      <c r="A88" s="12" t="inlineStr">
        <is>
          <t xml:space="preserve">            is_dup       = List.Contains(DupIDs, [acompte_id]),</t>
        </is>
      </c>
    </row>
    <row r="89">
      <c r="A89" s="12" t="inlineStr">
        <is>
          <t xml:space="preserve">            prop_absent  = ([proprietaire_id] = null or [proprietaire_id] = ""),</t>
        </is>
      </c>
    </row>
    <row r="90">
      <c r="A90" s="12" t="inlineStr">
        <is>
          <t xml:space="preserve">            mt_invalide  = ([montant_acompte] = null or [montant_acompte] &lt;= 0),</t>
        </is>
      </c>
    </row>
    <row r="91">
      <c r="A91" s="12" t="inlineStr">
        <is>
          <t xml:space="preserve">            fac_absent   = ([facture_ref] = null or [facture_ref] = "")</t>
        </is>
      </c>
    </row>
    <row r="92">
      <c r="A92" s="12" t="inlineStr">
        <is>
          <t xml:space="preserve">                            and [statut_controle] &lt;&gt; "EXCLU_RESULTAT",</t>
        </is>
      </c>
    </row>
    <row r="93">
      <c r="A93" s="12" t="inlineStr"/>
    </row>
    <row r="94">
      <c r="A94" s="12" t="inlineStr">
        <is>
          <t xml:space="preserve">            // Validation croisée HH</t>
        </is>
      </c>
    </row>
    <row r="95">
      <c r="A95" s="12" t="inlineStr">
        <is>
          <t xml:space="preserve">            hh_src       = ([source_acompte] = "HH_RESERVATION"),</t>
        </is>
      </c>
    </row>
    <row r="96">
      <c r="A96" s="12" t="inlineStr">
        <is>
          <t xml:space="preserve">            hh_id        = [source_hh_id],</t>
        </is>
      </c>
    </row>
    <row r="97">
      <c r="A97" s="12" t="inlineStr">
        <is>
          <t xml:space="preserve">            hh_rows      = if hh_src and hh_id &lt;&gt; null and hh_id &lt;&gt; ""</t>
        </is>
      </c>
    </row>
    <row r="98">
      <c r="A98" s="12" t="inlineStr">
        <is>
          <t xml:space="preserve">                           then Table.SelectRows(HH_Ref, each [reservation_hh_id] = hh_id)</t>
        </is>
      </c>
    </row>
    <row r="99">
      <c r="A99" s="12" t="inlineStr">
        <is>
          <t xml:space="preserve">                           else #table(</t>
        </is>
      </c>
    </row>
    <row r="100">
      <c r="A100" s="12" t="inlineStr">
        <is>
          <t xml:space="preserve">                               {"reservation_hh_id","acompte_facture","proprietaire_id","logement_id","mois"},</t>
        </is>
      </c>
    </row>
    <row r="101">
      <c r="A101" s="12" t="inlineStr">
        <is>
          <t xml:space="preserve">                               {}</t>
        </is>
      </c>
    </row>
    <row r="102">
      <c r="A102" s="12" t="inlineStr">
        <is>
          <t xml:space="preserve">                           ),</t>
        </is>
      </c>
    </row>
    <row r="103">
      <c r="A103" s="12" t="inlineStr">
        <is>
          <t xml:space="preserve">            hh_found     = Table.RowCount(hh_rows) &gt; 0,</t>
        </is>
      </c>
    </row>
    <row r="104">
      <c r="A104" s="12" t="inlineStr">
        <is>
          <t xml:space="preserve">            hh_inconst   = hh_src</t>
        </is>
      </c>
    </row>
    <row r="105">
      <c r="A105" s="12" t="inlineStr">
        <is>
          <t xml:space="preserve">                            and hh_id &lt;&gt; null and hh_id &lt;&gt; ""</t>
        </is>
      </c>
    </row>
    <row r="106">
      <c r="A106" s="12" t="inlineStr">
        <is>
          <t xml:space="preserve">                            and hh_found</t>
        </is>
      </c>
    </row>
    <row r="107">
      <c r="A107" s="12" t="inlineStr">
        <is>
          <t xml:space="preserve">                            and let exp = hh_rows{0}[acompte_facture] in</t>
        </is>
      </c>
    </row>
    <row r="108">
      <c r="A108" s="12" t="inlineStr">
        <is>
          <t xml:space="preserve">                                [montant_acompte] &lt;&gt; null</t>
        </is>
      </c>
    </row>
    <row r="109">
      <c r="A109" s="12" t="inlineStr">
        <is>
          <t xml:space="preserve">                                and exp &lt;&gt; null</t>
        </is>
      </c>
    </row>
    <row r="110">
      <c r="A110" s="12" t="inlineStr">
        <is>
          <t xml:space="preserve">                                and Number.Abs([montant_acompte] - exp) &gt; 0.01,</t>
        </is>
      </c>
    </row>
    <row r="111">
      <c r="A111" s="12" t="inlineStr"/>
    </row>
    <row r="112">
      <c r="A112" s="12" t="inlineStr">
        <is>
          <t xml:space="preserve">            // --- A_CONTROLER ---</t>
        </is>
      </c>
    </row>
    <row r="113">
      <c r="A113" s="12" t="inlineStr">
        <is>
          <t xml:space="preserve">            log_absent   = ([logement_id] = null or [logement_id] = ""),</t>
        </is>
      </c>
    </row>
    <row r="114">
      <c r="A114" s="12" t="inlineStr">
        <is>
          <t xml:space="preserve">            hh_introuvable = hh_src</t>
        </is>
      </c>
    </row>
    <row r="115">
      <c r="A115" s="12" t="inlineStr">
        <is>
          <t xml:space="preserve">                             and (hh_id = null or hh_id = "" or not hh_found),</t>
        </is>
      </c>
    </row>
    <row r="116">
      <c r="A116" s="12" t="inlineStr">
        <is>
          <t xml:space="preserve">            rpt_inconst  = ([report_mois_precedent] &lt;&gt; null and [report_mois_precedent] &gt; 0)</t>
        </is>
      </c>
    </row>
    <row r="117">
      <c r="A117" s="12" t="inlineStr">
        <is>
          <t xml:space="preserve">                            and ([commentaire] = null or [commentaire] = ""),</t>
        </is>
      </c>
    </row>
    <row r="118">
      <c r="A118" s="12" t="inlineStr">
        <is>
          <t xml:space="preserve">            src_autre    = ([source_acompte] = "AUTRE"),</t>
        </is>
      </c>
    </row>
    <row r="119">
      <c r="A119" s="12" t="inlineStr">
        <is>
          <t xml:space="preserve">            fac_fmt_ko   = ([facture_ref] &lt;&gt; null and [facture_ref] &lt;&gt; "")</t>
        </is>
      </c>
    </row>
    <row r="120">
      <c r="A120" s="12" t="inlineStr">
        <is>
          <t xml:space="preserve">                            and not Text.StartsWith([facture_ref], "FAC-"),</t>
        </is>
      </c>
    </row>
    <row r="121">
      <c r="A121" s="12" t="inlineStr"/>
    </row>
    <row r="122">
      <c r="A122" s="12" t="inlineStr">
        <is>
          <t xml:space="preserve">            // --- Priorité BLOQUANT &gt; A_CONTROLER ---</t>
        </is>
      </c>
    </row>
    <row r="123">
      <c r="A123" s="12" t="inlineStr">
        <is>
          <t xml:space="preserve">            bloquants = List.Select({</t>
        </is>
      </c>
    </row>
    <row r="124">
      <c r="A124" s="12" t="inlineStr">
        <is>
          <t xml:space="preserve">                if is_dup      then "ACOMPTE_CALC_ID_DUPLIQUE"     else null,</t>
        </is>
      </c>
    </row>
    <row r="125">
      <c r="A125" s="12" t="inlineStr">
        <is>
          <t xml:space="preserve">                if prop_absent then "ACOMPTE_PROPRIETAIRE_ABSENT"  else null,</t>
        </is>
      </c>
    </row>
    <row r="126">
      <c r="A126" s="12" t="inlineStr">
        <is>
          <t xml:space="preserve">                if mt_invalide then "ACOMPTE_MONTANT_INVALIDE"     else null,</t>
        </is>
      </c>
    </row>
    <row r="127">
      <c r="A127" s="12" t="inlineStr">
        <is>
          <t xml:space="preserve">                if fac_absent  then "ACOMPTE_NON_RATTACHE_FACTURE" else null,</t>
        </is>
      </c>
    </row>
    <row r="128">
      <c r="A128" s="12" t="inlineStr">
        <is>
          <t xml:space="preserve">                if hh_inconst  then "ACOMPTE_HH_INCOHERENT"        else null</t>
        </is>
      </c>
    </row>
    <row r="129">
      <c r="A129" s="12" t="inlineStr">
        <is>
          <t xml:space="preserve">            }, each _ &lt;&gt; null),</t>
        </is>
      </c>
    </row>
    <row r="130">
      <c r="A130" s="12" t="inlineStr">
        <is>
          <t xml:space="preserve">            a_ctrl = List.Select({</t>
        </is>
      </c>
    </row>
    <row r="131">
      <c r="A131" s="12" t="inlineStr">
        <is>
          <t xml:space="preserve">                if log_absent      then "ACOMPTE_LOGEMENT_ABSENT"             else null,</t>
        </is>
      </c>
    </row>
    <row r="132">
      <c r="A132" s="12" t="inlineStr">
        <is>
          <t xml:space="preserve">                if hh_introuvable  then "ACOMPTE_SOURCE_HH_INTROUVABLE"       else null,</t>
        </is>
      </c>
    </row>
    <row r="133">
      <c r="A133" s="12" t="inlineStr">
        <is>
          <t xml:space="preserve">                if rpt_inconst     then "ACOMPTE_REPORT_INCOHERENT"           else null,</t>
        </is>
      </c>
    </row>
    <row r="134">
      <c r="A134" s="12" t="inlineStr">
        <is>
          <t xml:space="preserve">                if src_autre       then "ACOMPTE_SOURCE_A_CONTROLER"          else null,</t>
        </is>
      </c>
    </row>
    <row r="135">
      <c r="A135" s="12" t="inlineStr">
        <is>
          <t xml:space="preserve">                if fac_fmt_ko      then "ACOMPTE_FACTURE_REF_FORMAT_INVALIDE" else null</t>
        </is>
      </c>
    </row>
    <row r="136">
      <c r="A136" s="12" t="inlineStr">
        <is>
          <t xml:space="preserve">            }, each _ &lt;&gt; null),</t>
        </is>
      </c>
    </row>
    <row r="137">
      <c r="A137" s="12" t="inlineStr"/>
    </row>
    <row r="138">
      <c r="A138" s="12" t="inlineStr">
        <is>
          <t xml:space="preserve">            niv  = if List.Count(bloquants) &gt; 0 then "BLOQUANT"</t>
        </is>
      </c>
    </row>
    <row r="139">
      <c r="A139" s="12" t="inlineStr">
        <is>
          <t xml:space="preserve">                   else if List.Count(a_ctrl) &gt; 0 then "A_CONTROLER"</t>
        </is>
      </c>
    </row>
    <row r="140">
      <c r="A140" s="12" t="inlineStr">
        <is>
          <t xml:space="preserve">                   else null,</t>
        </is>
      </c>
    </row>
    <row r="141">
      <c r="A141" s="12" t="inlineStr">
        <is>
          <t xml:space="preserve">            code = if List.Count(bloquants) &gt; 0 then bloquants{0}</t>
        </is>
      </c>
    </row>
    <row r="142">
      <c r="A142" s="12" t="inlineStr">
        <is>
          <t xml:space="preserve">                   else if List.Count(a_ctrl) &gt; 0 then a_ctrl{0}</t>
        </is>
      </c>
    </row>
    <row r="143">
      <c r="A143" s="12" t="inlineStr">
        <is>
          <t xml:space="preserve">                   else null</t>
        </is>
      </c>
    </row>
    <row r="144">
      <c r="A144" s="12" t="inlineStr">
        <is>
          <t xml:space="preserve">        in [niveau = niv, code = code]</t>
        </is>
      </c>
    </row>
    <row r="145">
      <c r="A145" s="12" t="inlineStr">
        <is>
          <t xml:space="preserve">    ),</t>
        </is>
      </c>
    </row>
    <row r="146">
      <c r="A146" s="12" t="inlineStr"/>
    </row>
    <row r="147">
      <c r="A147" s="12" t="inlineStr">
        <is>
          <t xml:space="preserve">    // ═══ 4. Application contrôles (PQ complète si SAISIE vide) ═══════════════</t>
        </is>
      </c>
    </row>
    <row r="148">
      <c r="A148" s="12" t="inlineStr">
        <is>
          <t xml:space="preserve">    WithNivPQ  = Table.AddColumn(WithCtrl, "_niv_pq", each [_ctrl][niveau], type text),</t>
        </is>
      </c>
    </row>
    <row r="149">
      <c r="A149" s="12" t="inlineStr">
        <is>
          <t xml:space="preserve">    WithCodPQ  = Table.AddColumn(WithNivPQ, "_cod_pq", each [_ctrl][code],  type text),</t>
        </is>
      </c>
    </row>
    <row r="150">
      <c r="A150" s="12" t="inlineStr"/>
    </row>
    <row r="151">
      <c r="A151" s="12" t="inlineStr">
        <is>
          <t xml:space="preserve">    ApplyNiv = Table.ReplaceValue(WithCodPQ,</t>
        </is>
      </c>
    </row>
    <row r="152">
      <c r="A152" s="12" t="inlineStr">
        <is>
          <t xml:space="preserve">        each [niveau_anomalie],</t>
        </is>
      </c>
    </row>
    <row r="153">
      <c r="A153" s="12" t="inlineStr">
        <is>
          <t xml:space="preserve">        each if ([niveau_anomalie] = null or [niveau_anomalie] = "")</t>
        </is>
      </c>
    </row>
    <row r="154">
      <c r="A154" s="12" t="inlineStr">
        <is>
          <t xml:space="preserve">             then [_niv_pq] else [niveau_anomalie],</t>
        </is>
      </c>
    </row>
    <row r="155">
      <c r="A155" s="12" t="inlineStr">
        <is>
          <t xml:space="preserve">        Replacer.ReplaceValue, {"niveau_anomalie"}),</t>
        </is>
      </c>
    </row>
    <row r="156">
      <c r="A156" s="12" t="inlineStr">
        <is>
          <t xml:space="preserve">    ApplyCod = Table.ReplaceValue(ApplyNiv,</t>
        </is>
      </c>
    </row>
    <row r="157">
      <c r="A157" s="12" t="inlineStr">
        <is>
          <t xml:space="preserve">        each [code_anomalie],</t>
        </is>
      </c>
    </row>
    <row r="158">
      <c r="A158" s="12" t="inlineStr">
        <is>
          <t xml:space="preserve">        each if ([code_anomalie] = null or [code_anomalie] = "")</t>
        </is>
      </c>
    </row>
    <row r="159">
      <c r="A159" s="12" t="inlineStr">
        <is>
          <t xml:space="preserve">             then [_cod_pq] else [code_anomalie],</t>
        </is>
      </c>
    </row>
    <row r="160">
      <c r="A160" s="12" t="inlineStr">
        <is>
          <t xml:space="preserve">        Replacer.ReplaceValue, {"code_anomalie"}),</t>
        </is>
      </c>
    </row>
    <row r="161">
      <c r="A161" s="12" t="inlineStr"/>
    </row>
    <row r="162">
      <c r="A162" s="12" t="inlineStr">
        <is>
          <t xml:space="preserve">    // ═══ 5. Colonnes système PQ ════════════════════════════════════════════════</t>
        </is>
      </c>
    </row>
    <row r="163">
      <c r="A163" s="12" t="inlineStr">
        <is>
          <t xml:space="preserve">    // source_table = SAISIE_AcomptesProprietaires (toujours)</t>
        </is>
      </c>
    </row>
    <row r="164">
      <c r="A164" s="12" t="inlineStr">
        <is>
          <t xml:space="preserve">    // source_pk    = acompte_id (toujours) — QM-L5-07 corrigé</t>
        </is>
      </c>
    </row>
    <row r="165">
      <c r="A165" s="12" t="inlineStr">
        <is>
          <t xml:space="preserve">    // source_hh_id = reservation_hh_id (dans colonne dédiée si HH_RESERVATION)</t>
        </is>
      </c>
    </row>
    <row r="166">
      <c r="A166" s="12" t="inlineStr">
        <is>
          <t xml:space="preserve">    WithModule = Table.AddColumn(ApplyCod,   "source_module",    each "LOT5_ACOMPTES_PROPRIETAIRES",    type text),</t>
        </is>
      </c>
    </row>
    <row r="167">
      <c r="A167" s="12" t="inlineStr">
        <is>
          <t xml:space="preserve">    WithTable  = Table.AddColumn(WithModule, "source_table",     each "SAISIE_AcomptesProprietaires",   type text),</t>
        </is>
      </c>
    </row>
    <row r="168">
      <c r="A168" s="12" t="inlineStr">
        <is>
          <t xml:space="preserve">    WithPK     = Table.AddColumn(WithTable,  "source_pk",        each [acompte_id],                     type text),</t>
        </is>
      </c>
    </row>
    <row r="169">
      <c r="A169" s="12" t="inlineStr">
        <is>
          <t xml:space="preserve">    WithDate   = Table.AddColumn(WithPK,     "date_integration", each DateTime.LocalNow(),               type datetime),</t>
        </is>
      </c>
    </row>
    <row r="170">
      <c r="A170" s="12" t="inlineStr"/>
    </row>
    <row r="171">
      <c r="A171" s="12" t="inlineStr">
        <is>
          <t xml:space="preserve">    // ═══ 6. Nettoyage + ordre final 22 colonnes ════════════════════════════════</t>
        </is>
      </c>
    </row>
    <row r="172">
      <c r="A172" s="12" t="inlineStr">
        <is>
          <t xml:space="preserve">    Cleaned  = Table.RemoveColumns(WithDate, {"_ctrl", "_niv_pq", "_cod_pq"}),</t>
        </is>
      </c>
    </row>
    <row r="173">
      <c r="A173" s="12" t="inlineStr">
        <is>
          <t xml:space="preserve">    Ordered  = Table.ReorderColumns(Cleaned, {</t>
        </is>
      </c>
    </row>
    <row r="174">
      <c r="A174" s="12" t="inlineStr">
        <is>
          <t xml:space="preserve">        "acompte_id", "ROW_HASH", "mois",</t>
        </is>
      </c>
    </row>
    <row r="175">
      <c r="A175" s="12" t="inlineStr">
        <is>
          <t xml:space="preserve">        "proprietaire_id", "logement_id", "facture_ref",</t>
        </is>
      </c>
    </row>
    <row r="176">
      <c r="A176" s="12" t="inlineStr">
        <is>
          <t xml:space="preserve">        "source_acompte", "source_hh_id",</t>
        </is>
      </c>
    </row>
    <row r="177">
      <c r="A177" s="12" t="inlineStr">
        <is>
          <t xml:space="preserve">        "montant_acompte", "report_mois_precedent",</t>
        </is>
      </c>
    </row>
    <row r="178">
      <c r="A178" s="12" t="inlineStr">
        <is>
          <t xml:space="preserve">        "mode_paiement_id",</t>
        </is>
      </c>
    </row>
    <row r="179">
      <c r="A179" s="12" t="inlineStr">
        <is>
          <t xml:space="preserve">        "code_impact", "impact_resultat_reel", "impact_resultat_comptable",</t>
        </is>
      </c>
    </row>
    <row r="180">
      <c r="A180" s="12" t="inlineStr">
        <is>
          <t xml:space="preserve">        "statut_controle", "niveau_anomalie", "code_anomalie", "commentaire",</t>
        </is>
      </c>
    </row>
    <row r="181">
      <c r="A181" s="12" t="inlineStr">
        <is>
          <t xml:space="preserve">        "source_module", "source_table", "source_pk", "date_integration"</t>
        </is>
      </c>
    </row>
    <row r="182">
      <c r="A182" s="12" t="inlineStr">
        <is>
          <t xml:space="preserve">    })</t>
        </is>
      </c>
    </row>
    <row r="183">
      <c r="A183" s="12" t="inlineStr">
        <is>
          <t>in</t>
        </is>
      </c>
    </row>
    <row r="184">
      <c r="A184" s="12" t="inlineStr">
        <is>
          <t xml:space="preserve">    Ordered</t>
        </is>
      </c>
    </row>
    <row r="187">
      <c r="A187" s="11">
        <f>== Q5_VUE_ACTIVE_AcomptesProprietaires ===</f>
        <v/>
      </c>
    </row>
    <row r="188">
      <c r="A188" s="12" t="inlineStr">
        <is>
          <t>let</t>
        </is>
      </c>
    </row>
    <row r="189">
      <c r="A189" s="12" t="inlineStr">
        <is>
          <t xml:space="preserve">    Source   = Q4_MASTER_FACT_MAN_AcomptesProprietaires,</t>
        </is>
      </c>
    </row>
    <row r="190">
      <c r="A190" s="12" t="inlineStr">
        <is>
          <t xml:space="preserve">    Filtered = Table.SelectRows(Source, each [statut_controle] = "VALIDE")</t>
        </is>
      </c>
    </row>
    <row r="191">
      <c r="A191" s="12" t="inlineStr">
        <is>
          <t>in</t>
        </is>
      </c>
    </row>
    <row r="192">
      <c r="A192" s="12" t="inlineStr">
        <is>
          <t xml:space="preserve">    Filtered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2026-06-09T07:02:00Z</dcterms:created>
  <dcterms:modified xsi:type="dcterms:W3CDTF">2026-06-09T07:02:00Z</dcterms:modified>
</cp:coreProperties>
</file>
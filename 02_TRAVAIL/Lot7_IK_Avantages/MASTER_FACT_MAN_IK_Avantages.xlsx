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_SAISIE" sheetId="1" state="visible" r:id="rId1"/>
    <sheet name="PARAMETRES" sheetId="2" state="visible" r:id="rId2"/>
    <sheet name="MASTER_SAISIE" sheetId="3" state="visible" r:id="rId3"/>
    <sheet name="MASTER_CALC_AVANTAGES" sheetId="4" state="visible" r:id="rId4"/>
    <sheet name="POWER_QUERY_CODE" sheetId="5" state="visible" r:id="rId5"/>
    <sheet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555555"/>
      <sz val="9"/>
    </font>
    <font>
      <sz val="10"/>
    </font>
    <font>
      <b val="1"/>
      <sz val="10"/>
    </font>
    <font>
      <name val="Courier New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wrapText="1"/>
    </xf>
    <xf numFmtId="0" fontId="1" fillId="4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30" customWidth="1" min="4" max="4"/>
    <col width="32" customWidth="1" min="5" max="5"/>
    <col width="12" customWidth="1" min="6" max="6"/>
    <col width="22" customWidth="1" min="7" max="7"/>
    <col width="40" customWidth="1" min="8" max="8"/>
    <col width="45" customWidth="1" min="9" max="9"/>
  </cols>
  <sheetData>
    <row r="1">
      <c r="A1" s="1" t="inlineStr">
        <is>
          <t>mois</t>
        </is>
      </c>
      <c r="B1" s="1" t="inlineStr">
        <is>
          <t>associe_id</t>
        </is>
      </c>
      <c r="C1" s="1" t="inlineStr">
        <is>
          <t>type_flux_id</t>
        </is>
      </c>
      <c r="D1" s="1" t="inlineStr">
        <is>
          <t>type_remboursement</t>
        </is>
      </c>
      <c r="E1" s="1" t="inlineStr">
        <is>
          <t>nature</t>
        </is>
      </c>
      <c r="F1" s="1" t="inlineStr">
        <is>
          <t>montant</t>
        </is>
      </c>
      <c r="G1" s="1" t="inlineStr">
        <is>
          <t>mode_paiement_id</t>
        </is>
      </c>
      <c r="H1" s="1" t="inlineStr">
        <is>
          <t>lien_origine</t>
        </is>
      </c>
      <c r="I1" s="1" t="inlineStr">
        <is>
          <t>commentaire</t>
        </is>
      </c>
    </row>
    <row r="2" ht="50" customHeight="1">
      <c r="A2" s="2" t="inlineStr">
        <is>
          <t>AAAA-MM</t>
        </is>
      </c>
      <c r="B2" s="2" t="inlineStr">
        <is>
          <t>PERS_EWAN ou PERS_WAFA</t>
        </is>
      </c>
      <c r="C2" s="2" t="inlineStr">
        <is>
          <t>TYPE_FLUX_001 / 015 / 005 / (AJU: 001 nature=AVANCE)</t>
        </is>
      </c>
      <c r="D2" s="2" t="inlineStr">
        <is>
          <t>ASSOCIE_VERS_SOCIETE | SOCIETE_VERS_ASSOCIE | A_CONTROLER — si TYPE_FLUX_005 seulement</t>
        </is>
      </c>
      <c r="E2" s="2" t="inlineStr">
        <is>
          <t>Description courte (trajet, virement mensuel, avance, etc.)</t>
        </is>
      </c>
      <c r="F2" s="2" t="inlineStr">
        <is>
          <t>&gt;0</t>
        </is>
      </c>
      <c r="G2" s="2" t="inlineStr">
        <is>
          <t>PAY_001..005</t>
        </is>
      </c>
      <c r="H2" s="2" t="inlineStr">
        <is>
          <t>Ref. bancaire ou justificatif</t>
        </is>
      </c>
      <c r="I2" s="2" t="inlineStr">
        <is>
          <t>Note libre — OBLIGATOIRE si IK (TYPE_FLUX_015)</t>
        </is>
      </c>
    </row>
  </sheetData>
  <dataValidations count="3">
    <dataValidation sqref="B2:B501" showDropDown="0" showInputMessage="1" showErrorMessage="1" allowBlank="1" errorTitle="Valeur hors liste" error="Valeur non listee. Verifier l'orthographe ou completer le referentiel." promptTitle="Liste" prompt="Associe (REF_Associes)" type="list" errorStyle="warning">
      <formula1>=PARAMETRES!$A$3:$A$4</formula1>
    </dataValidation>
    <dataValidation sqref="C2:C501" showDropDown="0" showInputMessage="1" showErrorMessage="1" allowBlank="1" errorTitle="Valeur hors liste" error="Valeur non listee. Verifier l'orthographe ou completer le referentiel." promptTitle="Liste" prompt="type_flux_id (REF_Types_Flux Lot 7)" type="list" errorStyle="warning">
      <formula1>=PARAMETRES!$A$8:$A$14</formula1>
    </dataValidation>
    <dataValidation sqref="G2:G501" showDropDown="0" showInputMessage="1" showErrorMessage="1" allowBlank="1" errorTitle="Valeur hors liste" error="Valeur non listee. Verifier l'orthographe ou completer le referentiel." promptTitle="Liste" prompt="mode_paiement_id (REF_Modes_Paiement)" type="list" errorStyle="warning">
      <formula1>=PARAMETRES!$A$18:$A$22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8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80" customWidth="1" min="9" max="9"/>
  </cols>
  <sheetData>
    <row r="1">
      <c r="A1" s="3" t="inlineStr">
        <is>
          <t>REF_Associes</t>
        </is>
      </c>
    </row>
    <row r="2">
      <c r="A2" s="4" t="inlineStr">
        <is>
          <t>personne_id</t>
        </is>
      </c>
      <c r="B2" s="4" t="inlineStr">
        <is>
          <t>nom_personne</t>
        </is>
      </c>
      <c r="C2" s="4" t="inlineStr">
        <is>
          <t>type_personne</t>
        </is>
      </c>
      <c r="D2" s="4" t="inlineStr">
        <is>
          <t>actif</t>
        </is>
      </c>
      <c r="E2" s="4" t="inlineStr">
        <is>
          <t>commentaire</t>
        </is>
      </c>
    </row>
    <row r="3">
      <c r="A3" s="5" t="inlineStr">
        <is>
          <t>PERS_EWAN</t>
        </is>
      </c>
      <c r="B3" s="5" t="inlineStr">
        <is>
          <t>Ewan</t>
        </is>
      </c>
      <c r="C3" s="5" t="inlineStr">
        <is>
          <t>ASSOCIE</t>
        </is>
      </c>
      <c r="D3" s="5" t="inlineStr">
        <is>
          <t>OUI</t>
        </is>
      </c>
      <c r="E3" s="5" t="inlineStr">
        <is>
          <t>Associé utilisé pour IK, avantages, cartes, charges payées perso/liquide</t>
        </is>
      </c>
    </row>
    <row r="4">
      <c r="A4" s="5" t="inlineStr">
        <is>
          <t>PERS_WAFA</t>
        </is>
      </c>
      <c r="B4" s="5" t="inlineStr">
        <is>
          <t>Wafa</t>
        </is>
      </c>
      <c r="C4" s="5" t="inlineStr">
        <is>
          <t>ASSOCIEE</t>
        </is>
      </c>
      <c r="D4" s="5" t="inlineStr">
        <is>
          <t>OUI</t>
        </is>
      </c>
      <c r="E4" s="5" t="inlineStr">
        <is>
          <t>Associée utilisée pour IK, avantages, cartes, charges payées perso/liquide</t>
        </is>
      </c>
    </row>
    <row r="6">
      <c r="A6" s="3" t="inlineStr">
        <is>
          <t>REF_Types_Flux (pertinents Lot 7)</t>
        </is>
      </c>
    </row>
    <row r="7">
      <c r="A7" s="4" t="inlineStr">
        <is>
          <t>type_flux_id</t>
        </is>
      </c>
      <c r="B7" s="4" t="inlineStr">
        <is>
          <t>type_flux</t>
        </is>
      </c>
      <c r="C7" s="4" t="inlineStr">
        <is>
          <t>description</t>
        </is>
      </c>
      <c r="D7" s="4" t="inlineStr">
        <is>
          <t>code_impact_defaut</t>
        </is>
      </c>
      <c r="E7" s="4" t="inlineStr">
        <is>
          <t>avantage_brut_defaut</t>
        </is>
      </c>
      <c r="F7" s="4" t="inlineStr">
        <is>
          <t>deduit_avantage_defaut</t>
        </is>
      </c>
      <c r="G7" s="4" t="inlineStr">
        <is>
          <t>comptabilisable_defaut</t>
        </is>
      </c>
      <c r="H7" s="4" t="inlineStr">
        <is>
          <t>actif</t>
        </is>
      </c>
      <c r="I7" s="4" t="inlineStr">
        <is>
          <t>commentaire</t>
        </is>
      </c>
    </row>
    <row r="8">
      <c r="A8" s="5" t="inlineStr">
        <is>
          <t>TYPE_FLUX_001</t>
        </is>
      </c>
      <c r="B8" s="5" t="inlineStr">
        <is>
          <t>VIREMENT_ASSOCIE</t>
        </is>
      </c>
      <c r="C8" s="5" t="inlineStr">
        <is>
          <t>Virement du compte professionnel vers un associé</t>
        </is>
      </c>
      <c r="D8" s="5" t="inlineStr">
        <is>
          <t>IC</t>
        </is>
      </c>
      <c r="E8" s="5" t="inlineStr">
        <is>
          <t>OUI</t>
        </is>
      </c>
      <c r="F8" s="5" t="inlineStr">
        <is>
          <t>NON</t>
        </is>
      </c>
      <c r="G8" s="5" t="inlineStr">
        <is>
          <t>OUI</t>
        </is>
      </c>
      <c r="H8" s="5" t="inlineStr">
        <is>
          <t>OUI</t>
        </is>
      </c>
      <c r="I8" s="5" t="inlineStr">
        <is>
          <t>Le détail du virement n'est pas obligatoire : seul le total compte dans IK &amp; Avantages</t>
        </is>
      </c>
    </row>
    <row r="9">
      <c r="A9" s="5" t="inlineStr">
        <is>
          <t>TYPE_FLUX_002</t>
        </is>
      </c>
      <c r="B9" s="5" t="inlineStr">
        <is>
          <t>DEPENSE_PERSO_COMPTE_PRO</t>
        </is>
      </c>
      <c r="C9" s="5" t="inlineStr">
        <is>
          <t>Dépense personnelle payée avec le compte professionnel</t>
        </is>
      </c>
      <c r="D9" s="5" t="inlineStr">
        <is>
          <t>IC</t>
        </is>
      </c>
      <c r="E9" s="5" t="inlineStr">
        <is>
          <t>OUI</t>
        </is>
      </c>
      <c r="F9" s="5" t="inlineStr">
        <is>
          <t>NON</t>
        </is>
      </c>
      <c r="G9" s="5" t="inlineStr">
        <is>
          <t>OUI</t>
        </is>
      </c>
      <c r="H9" s="5" t="inlineStr">
        <is>
          <t>OUI</t>
        </is>
      </c>
      <c r="I9" s="5" t="inlineStr">
        <is>
          <t>Avantage brut ; réduit aussi le résultat concerné ; neutralisable si remboursement associé</t>
        </is>
      </c>
    </row>
    <row r="10">
      <c r="A10" s="5" t="inlineStr">
        <is>
          <t>TYPE_FLUX_003</t>
        </is>
      </c>
      <c r="B10" s="5" t="inlineStr">
        <is>
          <t>RESERVATION_HORS_HOSTAWAY</t>
        </is>
      </c>
      <c r="C10" s="5" t="inlineStr">
        <is>
          <t>Réservation hors Hostaway saisie par propriétaire, logement et mois</t>
        </is>
      </c>
      <c r="D10" s="5" t="inlineStr">
        <is>
          <t>HC</t>
        </is>
      </c>
      <c r="E10" s="5" t="inlineStr">
        <is>
          <t>OUI</t>
        </is>
      </c>
      <c r="F10" s="5" t="inlineStr">
        <is>
          <t>NON</t>
        </is>
      </c>
      <c r="G10" s="5" t="inlineStr">
        <is>
          <t>NON</t>
        </is>
      </c>
      <c r="H10" s="5" t="inlineStr">
        <is>
          <t>OUI</t>
        </is>
      </c>
      <c r="I10" s="5" t="inlineStr">
        <is>
          <t>Impact extra-comptable par défaut, sauf si la ligne indique une comptabilisation IC</t>
        </is>
      </c>
    </row>
    <row r="11">
      <c r="A11" s="5" t="inlineStr">
        <is>
          <t>TYPE_FLUX_004</t>
        </is>
      </c>
      <c r="B11" s="5" t="inlineStr">
        <is>
          <t>CHARGE_PAYEE_PERSO_OU_LIQUIDE</t>
        </is>
      </c>
      <c r="C11" s="5" t="inlineStr">
        <is>
          <t>Charge société payée avec compte personnel ou liquide</t>
        </is>
      </c>
      <c r="D11" s="5" t="inlineStr">
        <is>
          <t>HC</t>
        </is>
      </c>
      <c r="E11" s="5" t="inlineStr">
        <is>
          <t>NON</t>
        </is>
      </c>
      <c r="F11" s="5" t="inlineStr">
        <is>
          <t>OUI</t>
        </is>
      </c>
      <c r="G11" s="5" t="inlineStr">
        <is>
          <t>NON</t>
        </is>
      </c>
      <c r="H11" s="5" t="inlineStr">
        <is>
          <t>OUI</t>
        </is>
      </c>
      <c r="I11" s="5" t="inlineStr">
        <is>
          <t>Réduit les avantages nets et réduit le résultat réel selon le code impact de la ligne</t>
        </is>
      </c>
    </row>
    <row r="12">
      <c r="A12" s="5" t="inlineStr">
        <is>
          <t>TYPE_FLUX_005</t>
        </is>
      </c>
      <c r="B12" s="5" t="inlineStr">
        <is>
          <t>REMBOURSEMENT_ASSOCIE</t>
        </is>
      </c>
      <c r="C12" s="5" t="inlineStr">
        <is>
          <t>Remboursement d'une dépense personnelle payée par le compte pro</t>
        </is>
      </c>
      <c r="D12" s="5" t="inlineStr">
        <is>
          <t>HR</t>
        </is>
      </c>
      <c r="E12" s="5" t="inlineStr">
        <is>
          <t>NON</t>
        </is>
      </c>
      <c r="F12" s="5" t="inlineStr">
        <is>
          <t>NON</t>
        </is>
      </c>
      <c r="G12" s="5" t="inlineStr">
        <is>
          <t>NON</t>
        </is>
      </c>
      <c r="H12" s="5" t="inlineStr">
        <is>
          <t>OUI</t>
        </is>
      </c>
      <c r="I12" s="5" t="inlineStr">
        <is>
          <t>Neutralise l'avantage et l'impact résultat si relié à la dépense d'origine</t>
        </is>
      </c>
    </row>
    <row r="13">
      <c r="A13" s="5" t="inlineStr">
        <is>
          <t>TYPE_FLUX_008</t>
        </is>
      </c>
      <c r="B13" s="5" t="inlineStr">
        <is>
          <t>PAIEMENT_PRESTATAIRE_LIQUIDE</t>
        </is>
      </c>
      <c r="C13" s="5" t="inlineStr">
        <is>
          <t>Paiement d'un prestataire avec du liquide récupéré</t>
        </is>
      </c>
      <c r="D13" s="5" t="inlineStr">
        <is>
          <t>HC</t>
        </is>
      </c>
      <c r="E13" s="5" t="inlineStr">
        <is>
          <t>NON</t>
        </is>
      </c>
      <c r="F13" s="5" t="inlineStr">
        <is>
          <t>OUI</t>
        </is>
      </c>
      <c r="G13" s="5" t="inlineStr">
        <is>
          <t>NON</t>
        </is>
      </c>
      <c r="H13" s="5" t="inlineStr">
        <is>
          <t>OUI</t>
        </is>
      </c>
      <c r="I13" s="5" t="inlineStr">
        <is>
          <t>Déduit les avantages si le liquide venait d'un montant récupéré hors Hostaway</t>
        </is>
      </c>
    </row>
    <row r="14">
      <c r="A14" s="5" t="inlineStr">
        <is>
          <t>TYPE_FLUX_015</t>
        </is>
      </c>
      <c r="B14" s="5" t="inlineStr">
        <is>
          <t>INDEMNITE_KILOMETRIQUE</t>
        </is>
      </c>
      <c r="C14" s="5" t="inlineStr">
        <is>
          <t>Indemnite kilometrique associee</t>
        </is>
      </c>
      <c r="D14" s="5" t="inlineStr">
        <is>
          <t>IC</t>
        </is>
      </c>
      <c r="E14" s="5" t="inlineStr">
        <is>
          <t>OUI</t>
        </is>
      </c>
      <c r="F14" s="5" t="inlineStr">
        <is>
          <t>NON</t>
        </is>
      </c>
      <c r="G14" s="5" t="inlineStr">
        <is>
          <t>OUI</t>
        </is>
      </c>
      <c r="H14" s="5" t="inlineStr">
        <is>
          <t>OUI</t>
        </is>
      </c>
      <c r="I14" s="5" t="inlineStr">
        <is>
          <t>Source Lot 7 — indemnites kilomeItriques associees ; justificatif ou commentaire obligatoire.</t>
        </is>
      </c>
    </row>
    <row r="16">
      <c r="A16" s="3" t="inlineStr">
        <is>
          <t>REF_Modes_Paiement</t>
        </is>
      </c>
    </row>
    <row r="17">
      <c r="A17" s="4" t="inlineStr">
        <is>
          <t>mode_paiement_id</t>
        </is>
      </c>
      <c r="B17" s="4" t="inlineStr">
        <is>
          <t>mode_paiement</t>
        </is>
      </c>
      <c r="C17" s="4" t="inlineStr">
        <is>
          <t>impact_banque</t>
        </is>
      </c>
      <c r="D17" s="4" t="inlineStr">
        <is>
          <t>impact_caisse</t>
        </is>
      </c>
      <c r="E17" s="4" t="inlineStr">
        <is>
          <t>impact_associee</t>
        </is>
      </c>
      <c r="F17" s="4" t="inlineStr">
        <is>
          <t>actif</t>
        </is>
      </c>
      <c r="G17" s="4" t="inlineStr">
        <is>
          <t>commentaire</t>
        </is>
      </c>
    </row>
    <row r="18">
      <c r="A18" s="5" t="inlineStr">
        <is>
          <t>PAY_001</t>
        </is>
      </c>
      <c r="B18" s="5" t="inlineStr">
        <is>
          <t>BANQUE_PRO</t>
        </is>
      </c>
      <c r="C18" s="5" t="inlineStr">
        <is>
          <t>OUI</t>
        </is>
      </c>
      <c r="D18" s="5" t="inlineStr">
        <is>
          <t>NON</t>
        </is>
      </c>
      <c r="E18" s="5" t="inlineStr">
        <is>
          <t>NON</t>
        </is>
      </c>
      <c r="F18" s="5" t="inlineStr">
        <is>
          <t>OUI</t>
        </is>
      </c>
      <c r="G18" s="5" t="inlineStr">
        <is>
          <t>Paiement depuis ou vers le compte bancaire professionnel</t>
        </is>
      </c>
    </row>
    <row r="19">
      <c r="A19" s="5" t="inlineStr">
        <is>
          <t>PAY_002</t>
        </is>
      </c>
      <c r="B19" s="5" t="inlineStr">
        <is>
          <t>ESPECES_CAISSE</t>
        </is>
      </c>
      <c r="C19" s="5" t="inlineStr">
        <is>
          <t>NON</t>
        </is>
      </c>
      <c r="D19" s="5" t="inlineStr">
        <is>
          <t>OUI</t>
        </is>
      </c>
      <c r="E19" s="5" t="inlineStr">
        <is>
          <t>NON</t>
        </is>
      </c>
      <c r="F19" s="5" t="inlineStr">
        <is>
          <t>OUI</t>
        </is>
      </c>
      <c r="G19" s="5" t="inlineStr">
        <is>
          <t>Paiement en espèces depuis la caisse</t>
        </is>
      </c>
    </row>
    <row r="20">
      <c r="A20" s="5" t="inlineStr">
        <is>
          <t>PAY_003</t>
        </is>
      </c>
      <c r="B20" s="5" t="inlineStr">
        <is>
          <t>CARTE_ASSOCIEE</t>
        </is>
      </c>
      <c r="C20" s="5" t="inlineStr">
        <is>
          <t>NON</t>
        </is>
      </c>
      <c r="D20" s="5" t="inlineStr">
        <is>
          <t>NON</t>
        </is>
      </c>
      <c r="E20" s="5" t="inlineStr">
        <is>
          <t>OUI</t>
        </is>
      </c>
      <c r="F20" s="5" t="inlineStr">
        <is>
          <t>OUI</t>
        </is>
      </c>
      <c r="G20" s="5" t="inlineStr">
        <is>
          <t>Dépense avancée par une associée</t>
        </is>
      </c>
    </row>
    <row r="21">
      <c r="A21" s="5" t="inlineStr">
        <is>
          <t>PAY_004</t>
        </is>
      </c>
      <c r="B21" s="5" t="inlineStr">
        <is>
          <t>COMPTE_PERSO_ASSOCIEE</t>
        </is>
      </c>
      <c r="C21" s="5" t="inlineStr">
        <is>
          <t>NON</t>
        </is>
      </c>
      <c r="D21" s="5" t="inlineStr">
        <is>
          <t>NON</t>
        </is>
      </c>
      <c r="E21" s="5" t="inlineStr">
        <is>
          <t>OUI</t>
        </is>
      </c>
      <c r="F21" s="5" t="inlineStr">
        <is>
          <t>OUI</t>
        </is>
      </c>
      <c r="G21" s="5" t="inlineStr">
        <is>
          <t>Paiement personnel à rembourser ou régulariser</t>
        </is>
      </c>
    </row>
    <row r="22">
      <c r="A22" s="5" t="inlineStr">
        <is>
          <t>PAY_005</t>
        </is>
      </c>
      <c r="B22" s="5" t="inlineStr">
        <is>
          <t>A_DEFINIR</t>
        </is>
      </c>
      <c r="C22" s="5" t="inlineStr">
        <is>
          <t>NON</t>
        </is>
      </c>
      <c r="D22" s="5" t="inlineStr">
        <is>
          <t>NON</t>
        </is>
      </c>
      <c r="E22" s="5" t="inlineStr">
        <is>
          <t>NON</t>
        </is>
      </c>
      <c r="F22" s="5" t="inlineStr">
        <is>
          <t>OUI</t>
        </is>
      </c>
      <c r="G22" s="5" t="inlineStr">
        <is>
          <t>Mode de paiement non encore identifié</t>
        </is>
      </c>
    </row>
    <row r="24">
      <c r="A24" s="3" t="inlineStr">
        <is>
          <t>Valeurs statut_controle (Lot 7)</t>
        </is>
      </c>
    </row>
    <row r="25">
      <c r="A25" s="4" t="inlineStr">
        <is>
          <t>statut_controle</t>
        </is>
      </c>
      <c r="B25" s="4" t="inlineStr">
        <is>
          <t>description</t>
        </is>
      </c>
    </row>
    <row r="26">
      <c r="A26" s="5" t="inlineStr">
        <is>
          <t>VALIDE</t>
        </is>
      </c>
      <c r="B26" s="5" t="inlineStr">
        <is>
          <t>Ligne validee, aucune anomalie</t>
        </is>
      </c>
    </row>
    <row r="27">
      <c r="A27" s="5" t="inlineStr">
        <is>
          <t>A_CONTROLER</t>
        </is>
      </c>
      <c r="B27" s="5" t="inlineStr">
        <is>
          <t>Ligne a verifier — anomalie detectee</t>
        </is>
      </c>
    </row>
    <row r="28">
      <c r="A28" s="5" t="inlineStr">
        <is>
          <t>EXCLU_RESULTAT</t>
        </is>
      </c>
      <c r="B28" s="5" t="inlineStr">
        <is>
          <t>Ligne exclue du calcul resultat (justifiee)</t>
        </is>
      </c>
    </row>
    <row r="29">
      <c r="A29" s="5" t="inlineStr">
        <is>
          <t>A_VENTILER</t>
        </is>
      </c>
      <c r="B29" s="5" t="inlineStr">
        <is>
          <t>Ligne en attente de ventilation par associe</t>
        </is>
      </c>
    </row>
    <row r="31">
      <c r="A31" s="3" t="inlineStr">
        <is>
          <t>Valeurs niveau_anomalie</t>
        </is>
      </c>
    </row>
    <row r="32">
      <c r="A32" s="4" t="inlineStr">
        <is>
          <t>niveau_anomalie</t>
        </is>
      </c>
      <c r="B32" s="4" t="inlineStr">
        <is>
          <t>description</t>
        </is>
      </c>
    </row>
    <row r="33">
      <c r="A33" s="5" t="inlineStr">
        <is>
          <t>INFO</t>
        </is>
      </c>
      <c r="B33" s="5" t="inlineStr">
        <is>
          <t>Information, pas de blocage</t>
        </is>
      </c>
    </row>
    <row r="34">
      <c r="A34" s="5" t="inlineStr">
        <is>
          <t>A_CONTROLER</t>
        </is>
      </c>
      <c r="B34" s="5" t="inlineStr">
        <is>
          <t>Anomalie a corriger avant cloture</t>
        </is>
      </c>
    </row>
    <row r="35">
      <c r="A35" s="5" t="inlineStr">
        <is>
          <t>BLOQUANT</t>
        </is>
      </c>
      <c r="B35" s="5" t="inlineStr">
        <is>
          <t>Anomalie bloquante — statut_controle=A_CONTROLER obligatoire</t>
        </is>
      </c>
    </row>
    <row r="37">
      <c r="A37" s="3" t="inlineStr">
        <is>
          <t>Valeurs type_remboursement (si TYPE_FLUX_005)</t>
        </is>
      </c>
    </row>
    <row r="38">
      <c r="A38" s="4" t="inlineStr">
        <is>
          <t>type_remboursement</t>
        </is>
      </c>
      <c r="B38" s="4" t="inlineStr">
        <is>
          <t>sens</t>
        </is>
      </c>
      <c r="C38" s="4" t="inlineStr">
        <is>
          <t>effet_avantages_nets</t>
        </is>
      </c>
    </row>
    <row r="39">
      <c r="A39" s="5" t="inlineStr">
        <is>
          <t>ASSOCIE_VERS_SOCIETE</t>
        </is>
      </c>
      <c r="B39" s="5" t="inlineStr">
        <is>
          <t>L'associe rembourse la societe</t>
        </is>
      </c>
      <c r="C39" s="5" t="inlineStr">
        <is>
          <t>Deduit (soustrait)</t>
        </is>
      </c>
    </row>
    <row r="40">
      <c r="A40" s="5" t="inlineStr">
        <is>
          <t>SOCIETE_VERS_ASSOCIE</t>
        </is>
      </c>
      <c r="B40" s="5" t="inlineStr">
        <is>
          <t>La societe rembourse l'associe</t>
        </is>
      </c>
      <c r="C40" s="5" t="inlineStr">
        <is>
          <t>Ajoute (additionne)</t>
        </is>
      </c>
    </row>
    <row r="41">
      <c r="A41" s="5" t="inlineStr">
        <is>
          <t>A_CONTROLER</t>
        </is>
      </c>
      <c r="B41" s="5" t="inlineStr">
        <is>
          <t>Sens non determine</t>
        </is>
      </c>
      <c r="C41" s="5" t="inlineStr">
        <is>
          <t>A_CONTROLER</t>
        </is>
      </c>
    </row>
    <row r="43">
      <c r="A43" s="3" t="inlineStr">
        <is>
          <t>Format avantage_id (D-7-06 = D094)</t>
        </is>
      </c>
    </row>
    <row r="44">
      <c r="A44" s="4" t="inlineStr">
        <is>
          <t>prefixe</t>
        </is>
      </c>
      <c r="B44" s="4" t="inlineStr">
        <is>
          <t>type_flux</t>
        </is>
      </c>
      <c r="C44" s="4" t="inlineStr">
        <is>
          <t>exemple</t>
        </is>
      </c>
    </row>
    <row r="45">
      <c r="A45" s="5" t="inlineStr">
        <is>
          <t>VIR</t>
        </is>
      </c>
      <c r="B45" s="5" t="inlineStr">
        <is>
          <t>TYPE_FLUX_001 VIREMENT_ASSOCIE</t>
        </is>
      </c>
      <c r="C45" s="5" t="inlineStr">
        <is>
          <t>VIR-2026-05-PERS_EWAN-001</t>
        </is>
      </c>
    </row>
    <row r="46">
      <c r="A46" s="5" t="inlineStr">
        <is>
          <t>IK</t>
        </is>
      </c>
      <c r="B46" s="5" t="inlineStr">
        <is>
          <t>TYPE_FLUX_015 INDEMNITE_KILOMETRIQUE</t>
        </is>
      </c>
      <c r="C46" s="5" t="inlineStr">
        <is>
          <t>IK-2026-05-PERS_WAFA-001</t>
        </is>
      </c>
    </row>
    <row r="47">
      <c r="A47" s="5" t="inlineStr">
        <is>
          <t>REM</t>
        </is>
      </c>
      <c r="B47" s="5" t="inlineStr">
        <is>
          <t>TYPE_FLUX_005 REMBOURSEMENT_ASSOCIE</t>
        </is>
      </c>
      <c r="C47" s="5" t="inlineStr">
        <is>
          <t>REM-2026-05-PERS_EWAN-001</t>
        </is>
      </c>
    </row>
    <row r="48">
      <c r="A48" s="5" t="inlineStr">
        <is>
          <t>AJU</t>
        </is>
      </c>
      <c r="B48" s="5" t="inlineStr">
        <is>
          <t>Ajustements / avances / corrections</t>
        </is>
      </c>
      <c r="C48" s="5" t="inlineStr">
        <is>
          <t>AJU-2026-05-PERS_WAFA-001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14" customWidth="1" min="4" max="4"/>
    <col width="22" customWidth="1" min="5" max="5"/>
    <col width="30" customWidth="1" min="6" max="6"/>
    <col width="32" customWidth="1" min="7" max="7"/>
    <col width="10" customWidth="1" min="8" max="8"/>
    <col width="12" customWidth="1" min="9" max="9"/>
    <col width="20" customWidth="1" min="10" max="10"/>
    <col width="24" customWidth="1" min="11" max="11"/>
    <col width="18" customWidth="1" min="12" max="12"/>
    <col width="38" customWidth="1" min="13" max="13"/>
    <col width="20" customWidth="1" min="14" max="14"/>
    <col width="16" customWidth="1" min="15" max="15"/>
    <col width="38" customWidth="1" min="16" max="16"/>
    <col width="40" customWidth="1" min="17" max="17"/>
    <col width="20" customWidth="1" min="18" max="18"/>
    <col width="28" customWidth="1" min="19" max="19"/>
    <col width="24" customWidth="1" min="20" max="20"/>
    <col width="14" customWidth="1" min="21" max="21"/>
    <col width="16" customWidth="1" min="22" max="22"/>
  </cols>
  <sheetData>
    <row r="1" ht="30" customHeight="1">
      <c r="A1" s="1" t="inlineStr">
        <is>
          <t>avantage_id</t>
        </is>
      </c>
      <c r="B1" s="1" t="inlineStr">
        <is>
          <t>ROW_HASH</t>
        </is>
      </c>
      <c r="C1" s="1" t="inlineStr">
        <is>
          <t>mois</t>
        </is>
      </c>
      <c r="D1" s="1" t="inlineStr">
        <is>
          <t>associe_id</t>
        </is>
      </c>
      <c r="E1" s="1" t="inlineStr">
        <is>
          <t>type_flux_id</t>
        </is>
      </c>
      <c r="F1" s="1" t="inlineStr">
        <is>
          <t>type_remboursement</t>
        </is>
      </c>
      <c r="G1" s="1" t="inlineStr">
        <is>
          <t>nature</t>
        </is>
      </c>
      <c r="H1" s="1" t="inlineStr">
        <is>
          <t>montant</t>
        </is>
      </c>
      <c r="I1" s="1" t="inlineStr">
        <is>
          <t>code_impact</t>
        </is>
      </c>
      <c r="J1" s="1" t="inlineStr">
        <is>
          <t>impact_resultat_reel</t>
        </is>
      </c>
      <c r="K1" s="1" t="inlineStr">
        <is>
          <t>impact_resultat_comptable</t>
        </is>
      </c>
      <c r="L1" s="1" t="inlineStr">
        <is>
          <t>mode_paiement_id</t>
        </is>
      </c>
      <c r="M1" s="1" t="inlineStr">
        <is>
          <t>lien_origine</t>
        </is>
      </c>
      <c r="N1" s="1" t="inlineStr">
        <is>
          <t>statut_controle</t>
        </is>
      </c>
      <c r="O1" s="1" t="inlineStr">
        <is>
          <t>niveau_anomalie</t>
        </is>
      </c>
      <c r="P1" s="1" t="inlineStr">
        <is>
          <t>code_anomalie</t>
        </is>
      </c>
      <c r="Q1" s="1" t="inlineStr">
        <is>
          <t>commentaire</t>
        </is>
      </c>
      <c r="R1" s="1" t="inlineStr">
        <is>
          <t>source_table</t>
        </is>
      </c>
      <c r="S1" s="1" t="inlineStr">
        <is>
          <t>source_pk</t>
        </is>
      </c>
      <c r="T1" s="1" t="inlineStr">
        <is>
          <t>source_module</t>
        </is>
      </c>
      <c r="U1" s="1" t="inlineStr">
        <is>
          <t>date_saisie</t>
        </is>
      </c>
      <c r="V1" s="1" t="inlineStr">
        <is>
          <t>date_integration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26" customWidth="1" min="4" max="4"/>
    <col width="20" customWidth="1" min="5" max="5"/>
    <col width="30" customWidth="1" min="6" max="6"/>
    <col width="36" customWidth="1" min="7" max="7"/>
    <col width="24" customWidth="1" min="8" max="8"/>
    <col width="28" customWidth="1" min="9" max="9"/>
    <col width="38" customWidth="1" min="10" max="10"/>
    <col width="38" customWidth="1" min="11" max="11"/>
    <col width="18" customWidth="1" min="12" max="12"/>
    <col width="50" customWidth="1" min="13" max="13"/>
    <col width="20" customWidth="1" min="14" max="14"/>
    <col width="38" customWidth="1" min="15" max="15"/>
  </cols>
  <sheetData>
    <row r="1" ht="30" customHeight="1">
      <c r="A1" s="1" t="inlineStr">
        <is>
          <t>pk_id</t>
        </is>
      </c>
      <c r="B1" s="1" t="inlineStr">
        <is>
          <t>mois</t>
        </is>
      </c>
      <c r="C1" s="1" t="inlineStr">
        <is>
          <t>associe_id</t>
        </is>
      </c>
      <c r="D1" s="1" t="inlineStr">
        <is>
          <t>avantage_brut_virements</t>
        </is>
      </c>
      <c r="E1" s="1" t="inlineStr">
        <is>
          <t>avantage_brut_ik</t>
        </is>
      </c>
      <c r="F1" s="1" t="inlineStr">
        <is>
          <t>avantage_brut_depenses_perso</t>
        </is>
      </c>
      <c r="G1" s="1" t="inlineStr">
        <is>
          <t>avantage_brut_montant_recupere_hh</t>
        </is>
      </c>
      <c r="H1" s="1" t="inlineStr">
        <is>
          <t>avantages_bruts_total</t>
        </is>
      </c>
      <c r="I1" s="1" t="inlineStr">
        <is>
          <t>charges_payees_pour_societe</t>
        </is>
      </c>
      <c r="J1" s="1" t="inlineStr">
        <is>
          <t>remboursements_associe_vers_societe</t>
        </is>
      </c>
      <c r="K1" s="1" t="inlineStr">
        <is>
          <t>remboursements_societe_vers_associe</t>
        </is>
      </c>
      <c r="L1" s="1" t="inlineStr">
        <is>
          <t>avantages_nets</t>
        </is>
      </c>
      <c r="M1" s="1" t="inlineStr">
        <is>
          <t>detail_sources</t>
        </is>
      </c>
      <c r="N1" s="1" t="inlineStr">
        <is>
          <t>statut_controle</t>
        </is>
      </c>
      <c r="O1" s="1" t="inlineStr">
        <is>
          <t>code_anomalie</t>
        </is>
      </c>
    </row>
    <row r="2" ht="45" customHeight="1">
      <c r="A2" s="2" t="inlineStr">
        <is>
          <t># formule</t>
        </is>
      </c>
      <c r="B2" s="2" t="inlineStr"/>
      <c r="C2" s="2" t="inlineStr"/>
      <c r="D2" s="2" t="inlineStr">
        <is>
          <t>MASTER_SAISIE TYPE_FLUX_001</t>
        </is>
      </c>
      <c r="E2" s="2" t="inlineStr">
        <is>
          <t>MASTER_SAISIE TYPE_FLUX_015</t>
        </is>
      </c>
      <c r="F2" s="2" t="inlineStr">
        <is>
          <t>Lot3 SAISIE_Charges_Flux TYPE_FLUX_002</t>
        </is>
      </c>
      <c r="G2" s="2" t="inlineStr">
        <is>
          <t>Lot4 ReservationsHH via reservation_hh_id</t>
        </is>
      </c>
      <c r="H2" s="2">
        <f> col4+col5+col6+col7</f>
        <v/>
      </c>
      <c r="I2" s="2" t="inlineStr">
        <is>
          <t>Lot3 SAISIE_Charges_Flux TYPE_FLUX_004+008</t>
        </is>
      </c>
      <c r="J2" s="2" t="inlineStr">
        <is>
          <t>MASTER_SAISIE TYPE_FLUX_005 type_rem=ASSOC_VERS_SOC</t>
        </is>
      </c>
      <c r="K2" s="2" t="inlineStr">
        <is>
          <t>MASTER_SAISIE TYPE_FLUX_005 type_rem=SOC_VERS_ASSOC</t>
        </is>
      </c>
      <c r="L2" s="2">
        <f> col8 - col9 - col10 + col11</f>
        <v/>
      </c>
      <c r="M2" s="2" t="inlineStr"/>
      <c r="N2" s="2" t="inlineStr"/>
      <c r="O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8" customWidth="1" min="1" max="1"/>
    <col width="120" customWidth="1" min="2" max="2"/>
  </cols>
  <sheetData>
    <row r="1">
      <c r="A1" s="1" t="inlineStr">
        <is>
          <t>requete</t>
        </is>
      </c>
      <c r="B1" s="1" t="inlineStr">
        <is>
          <t>code_M</t>
        </is>
      </c>
    </row>
    <row r="2" ht="220" customHeight="1">
      <c r="A2" s="6" t="inlineStr">
        <is>
          <t>Q1 — Charger SOURCE_SAISIE</t>
        </is>
      </c>
      <c r="B2" s="7" t="inlineStr">
        <is>
          <t>let
    Source = Excel.CurrentWorkbook(){[Name="SOURCE_SAISIE"]}[Content],
    Typed = Table.TransformColumnTypes(Source, {
        {"mois", type text}, {"associe_id", type text},
        {"type_flux_id", type text}, {"type_remboursement", type text},
        {"nature", type text}, {"montant", type number},
        {"mode_paiement_id", type text}, {"lien_origine", type text},
        {"commentaire", type text}
    }),
    // Exclure ligne instruction (ligne 2 vide ou format mois invalide)
    Filtered = Table.SelectRows(Typed, each
        Text.Length([mois] ?? "") = 7
        and Text.Contains([mois] ?? "", "-")
        and [associe_id] &lt;&gt; null
    )
in
    Filtered</t>
        </is>
      </c>
    </row>
    <row r="3" ht="220" customHeight="1">
      <c r="A3" s="6" t="inlineStr">
        <is>
          <t>Q2 — Enrichir depuis REF_Types_Flux</t>
        </is>
      </c>
      <c r="B3" s="7" t="inlineStr">
        <is>
          <t>let
    Source = Q1,
    RefTF = Excel.CurrentWorkbook(){[Name="REF_TYPES_FLUX_LOT7"]}[Content],
    Joined = Table.NestedJoin(Source, "type_flux_id",
        RefTF, "type_flux_id", "ref", JoinKind.LeftOuter),
    Exp = Table.ExpandTableColumn(Joined, "ref",
        {"code_impact_defaut","avantage_brut_defaut","deduit_avantage_defaut"},
        {"code_impact_defaut","avantage_brut_defaut","deduit_avantage_defaut"}),
    WithCI = Table.AddColumn(Exp, "code_impact", each
        [code_impact_defaut] ?? "A_CONTROLER"),
    WithIR = Table.AddColumn(WithCI, "impact_resultat_reel", each
        if ([code_impact_defaut] ?? "") = "HR" then "NON" else "OUI"),
    WithIC = Table.AddColumn(WithIR, "impact_resultat_comptable", each
        if ([code_impact_defaut] ?? "") = "IC" then "OUI" else "NON")
in
    WithIC</t>
        </is>
      </c>
    </row>
    <row r="4" ht="220" customHeight="1">
      <c r="A4" s="6" t="inlineStr">
        <is>
          <t>Q3 — Produire MASTER_SAISIE (22 colonnes)</t>
        </is>
      </c>
      <c r="B4" s="7" t="inlineStr">
        <is>
          <t>let
    Source = Q2,
    // Controles metier
    WithCtrl = Table.AddColumn(Source, "_ctrl_code", each
        if [associe_id] = null then "AVANTAGE_ASSOCIE_SANS_ASSOCIE_ID|BLOQUANT"
        else if [type_flux_id] = null then "AVANTAGE_SANS_TYPE_FLUX|BLOQUANT"
        else if [montant] = null or [montant] &lt;= 0 then "AVANTAGE_ASSOCIE_MONTANT_INVALIDE|BLOQUANT"
        else if [type_flux_id] = "TYPE_FLUX_005"
             and ([type_remboursement] = null or [type_remboursement] = "")
             then "REMBOURSEMENT_SENS_ABSENT|A_CONTROLER"
        else if [type_flux_id] = "TYPE_FLUX_005"
             and ([lien_origine] = null or [lien_origine] = "")
             then "REMBOURSEMENT_SANS_LIEN_ORIGINE|A_CONTROLER"
        else if [type_flux_id] = "TYPE_FLUX_001"
             and ([lien_origine] = null or [lien_origine] = "")
             then "VIREMENT_ASSOCIE_SANS_LIEN_BANQUE|A_CONTROLER"
        else if [type_flux_id] = "TYPE_FLUX_015"
             and ([commentaire] = null or [commentaire] = "")
             and ([lien_origine] = null or [lien_origine] = "")
             then "IK_SANS_JUSTIFICATIF|A_CONTROLER"
        else "|"
    ),
    Split = Table.SplitColumn(WithCtrl, "_ctrl_code",
        Splitter.SplitTextByDelimiter("|"),
        {"_code_anomalie", "_niveau_anomalie"}),
    WithSC = Table.AddColumn(Split, "statut_controle", each
        if [_niveau_anomalie] &lt;&gt; "" then "A_CONTROLER" else "VALIDE"),
    WithNA = Table.AddColumn(WithSC, "niveau_anomalie", each
        if [_niveau_anomalie] = "BLOQUANT" then "BLOQUANT"
        else if [_niveau_anomalie] = "A_CONTROLER" then "A_CONTROLER"
        else ""),
    WithCA = Table.AddColumn(WithNA, "code_anomalie", each
        if [_code_anomalie] = "" then "" else [_code_anomalie]),
    // Colonnes source
    WithST = Table.AddColumn(WithCA, "source_table",  each "SOURCE_SAISIE"),
    WithSM = Table.AddColumn(WithST, "source_module", each "LOT7_SAISIE_DIRECTE"),
    WithDI = Table.AddColumn(WithSM, "date_integration", each DateTime.LocalNow()),
    // Selection colonnes finales dans l ordre
    Final = Table.SelectColumns(WithDI, {
        "mois","associe_id","type_flux_id","type_remboursement",
        "nature","montant","code_impact","impact_resultat_reel","impact_resultat_comptable",
        "mode_paiement_id","lien_origine","statut_controle","niveau_anomalie","code_anomalie",
        "commentaire","source_table","source_module","date_integration"
    })
    // Note : avantage_id, ROW_HASH, source_pk et date_saisie sont renseignes
    // manuellement dans SOURCE_SAISIE ou ajoutes ici selon configuration.
in
    Final</t>
        </is>
      </c>
    </row>
    <row r="5" ht="220" customHeight="1">
      <c r="A5" s="6" t="inlineStr">
        <is>
          <t>Q4 — Sources derivees Lot 3 + Lot 4</t>
        </is>
      </c>
      <c r="B5" s="7" t="inlineStr">
        <is>
          <t>// Q4 — Sources derivees
// Lot 3 : MASTER_FACT_MAN_Charges.xlsx
// Lot 4 : MASTER_FACT_MAN_ReservationsHorsHostaway.xlsx
// Adapter chemins selon emplacement. Exemples ci-dessous.
// Q4a — Depenses perso + charges payees (Lot 3)
let
    Path3 = "..\Lot3_Charges\MASTER_FACT_MAN_Charges.xlsx",
    WB3 = Excel.Workbook(File.Contents(Path3), null, true),
    MASTER3 = WB3{[Name="MASTER"]}[Data],
    DepPerso = Table.SelectRows(MASTER3, each [type_flux_id] = "TYPE_FLUX_002"),
    AggDP = Table.Group(DepPerso, {"mois","associe_id"}, {
        {"avantage_brut_depenses_perso", each List.Sum([montant]), type number}
    }),
    Charges = Table.SelectRows(MASTER3, each
        [type_flux_id] = "TYPE_FLUX_004" or [type_flux_id] = "TYPE_FLUX_008"),
    AggCH = Table.Group(Charges, {"mois","associe_id"}, {
        {"charges_payees_pour_societe", each List.Sum([montant]), type number}
    })
in
    {AggDP, AggCH}
// Q4b — Montants recuperes HH (Lot 4)
let
    Path4 = "..\Lot4_ReservationsHH\MASTER_FACT_MAN_ReservationsHorsHostaway.xlsx",
    WB4 = Excel.Workbook(File.Contents(Path4), null, true),
    MASTER4 = WB4{[Name="MASTER"]}[Data],
    HH = Table.SelectRows(MASTER4, each
        [montant_recupere] &lt;&gt; null and [montant_recupere] &gt; 0),
    AggHH = Table.Group(HH, {"mois","associe_id_recuperateur"}, {
        {"avantage_brut_montant_recupere_hh", each List.Sum([montant_recupere]), type number}
    }),
    // Renommer pour join sur associe_id
    Renamed = Table.RenameColumns(AggHH, {{"associe_id_recuperateur","associe_id"}})
in
    Renamed</t>
        </is>
      </c>
    </row>
    <row r="6" ht="220" customHeight="1">
      <c r="A6" s="6" t="inlineStr">
        <is>
          <t>Q5 — Produire MASTER_CALC_AVANTAGES (15 colonnes)</t>
        </is>
      </c>
      <c r="B6" s="7" t="inlineStr">
        <is>
          <t>// Formule :
// avantages_bruts_total = virements + IK + depenses_perso + montant_recupere_hh
// avantages_nets = bruts_total - charges_payees - rem_ASSOC_VERS_SOC + rem_SOC_VERS_ASSOC
let
    SAISIE = Q3,
    // Agregations MASTER_SAISIE
    VIR = Table.Group(
        Table.SelectRows(SAISIE, each [type_flux_id] = "TYPE_FLUX_001"),
        {"mois","associe_id"}, {{"v", each List.Sum([montant]), type number}}),
    IK = Table.Group(
        Table.SelectRows(SAISIE, each [type_flux_id] = "TYPE_FLUX_015"),
        {"mois","associe_id"}, {{"k", each List.Sum([montant]), type number}}),
    REM_AVS = Table.Group(
        Table.SelectRows(SAISIE, each
            [type_flux_id] = "TYPE_FLUX_005"
            and [type_remboursement] = "ASSOCIE_VERS_SOCIETE"),
        {"mois","associe_id"}, {{"ravs", each List.Sum([montant]), type number}}),
    REM_SVA = Table.Group(
        Table.SelectRows(SAISIE, each
            [type_flux_id] = "TYPE_FLUX_005"
            and [type_remboursement] = "SOCIETE_VERS_ASSOCIE"),
        {"mois","associe_id"}, {{"rsva", each List.Sum([montant]), type number}}),
    // Grille mois x associe
    Pairs = Table.Distinct(Table.SelectColumns(SAISIE, {"mois","associe_id"})),
    // Jointures
    J1 = Table.NestedJoin(Pairs,{"mois","associe_id"},VIR,{"mois","associe_id"},"_v",JoinKind.LeftOuter),
    J1e= Table.ExpandTableColumn(J1,"_v",{"v"},{"avantage_brut_virements"}),
    J2 = Table.NestedJoin(J1e,{"mois","associe_id"},IK,{"mois","associe_id"},"_k",JoinKind.LeftOuter),
    J2e= Table.ExpandTableColumn(J2,"_k",{"k"},{"avantage_brut_ik"}),
    // Sources derivees (Lot 3 et Lot 4 — a 0 jusqu au peuplement)
    // Ajouter ici: J3 AggDP, J4 AggCH, J5 AggHH quand disponibles
    // Initialisation a 0 dans l attente
    WZ = Table.TransformColumns(J2e, {
        {"avantage_brut_virements", each _ ?? 0, type number},
        {"avantage_brut_ik",        each _ ?? 0, type number}
    }),
    WDP  = Table.AddColumn(WZ,  "avantage_brut_depenses_perso",         each 0.0),
    WHH  = Table.AddColumn(WDP, "avantage_brut_montant_recupere_hh",    each 0.0),
    WCH  = Table.AddColumn(WHH, "charges_payees_pour_societe",          each 0.0),
    // Remboursements
    JR1  = Table.NestedJoin(WCH,{"mois","associe_id"},REM_AVS,{"mois","associe_id"},"_r1",JoinKind.LeftOuter),
    JR1e = Table.ExpandTableColumn(JR1,"_r1",{"ravs"},{"_ravs"}),
    JR2  = Table.NestedJoin(JR1e,{"mois","associe_id"},REM_SVA,{"mois","associe_id"},"_r2",JoinKind.LeftOuter),
    JR2e = Table.ExpandTableColumn(JR2,"_r2",{"rsva"},{"_rsva"}),
    WRZ  = Table.TransformColumns(JR2e, {
        {"_ravs", each _ ?? 0, type number},
        {"_rsva", each _ ?? 0, type number}
    }),
    // Calculs finaux
    WBruts = Table.AddColumn(WRZ, "avantages_bruts_total", each
        [avantage_brut_virements] + [avantage_brut_ik]
        + [avantage_brut_depenses_perso] + [avantage_brut_montant_recupere_hh]),
    WNets = Table.AddColumn(WBruts, "avantages_nets", each
        [avantages_bruts_total]
        - [charges_payees_pour_societe]
        - [_ravs]
        + [_rsva]),
    WPK = Table.AddColumn(WNets, "pk_id", each [associe_id] &amp; "-" &amp; [mois]),
    WSC = Table.AddColumn(WPK, "statut_controle", each
        if [avantages_nets] &lt; 0 then "A_CONTROLER" else "VALIDE"),
    WAN = Table.AddColumn(WSC, "code_anomalie", each
        if [avantages_nets] &lt; 0 then "AVANTAGE_NET_NEGATIF" else ""),
    WDS = Table.AddColumn(WAN, "detail_sources", each
        "SAISIE_LOT7=" &amp; Text.From([avantage_brut_virements] + [avantage_brut_ik])
        &amp; " | LOT3=" &amp; Text.From([avantage_brut_depenses_perso] + [charges_payees_pour_societe])
        &amp; " | LOT4=" &amp; Text.From([avantage_brut_montant_recupere_hh])),
    // Selection et renommage colonnes finales
    Sel = Table.SelectColumns(WDS, {
        "pk_id","mois","associe_id",
        "avantage_brut_virements","avantage_brut_ik",
        "avantage_brut_depenses_perso","avantage_brut_montant_recupere_hh",
        "avantages_bruts_total","charges_payees_pour_societe",
        "_ravs","_rsva",
        "avantages_nets","detail_sources","statut_controle","code_anomalie"
    }),
    Ren = Table.RenameColumns(Sel, {
        {"_ravs", "remboursements_associe_vers_societe"},
        {"_rsva", "remboursements_societe_vers_associe"}
    })
in
    Ren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6" t="inlineStr">
        <is>
          <t>Lot</t>
        </is>
      </c>
      <c r="B1" s="8" t="inlineStr">
        <is>
          <t>Lot 7 — IK &amp; Avantages associes</t>
        </is>
      </c>
    </row>
    <row r="2">
      <c r="A2" s="6" t="inlineStr">
        <is>
          <t>Fichier</t>
        </is>
      </c>
      <c r="B2" s="8" t="inlineStr">
        <is>
          <t>MASTER_FACT_MAN_IK_Avantages.xlsx</t>
        </is>
      </c>
    </row>
    <row r="3">
      <c r="A3" s="6" t="inlineStr">
        <is>
          <t>Produit par</t>
        </is>
      </c>
      <c r="B3" s="8" t="inlineStr">
        <is>
          <t>lot7_ik_avantages.py — 20260609_192200</t>
        </is>
      </c>
    </row>
    <row r="4">
      <c r="A4" s="6" t="inlineStr">
        <is>
          <t>Pre-requis</t>
        </is>
      </c>
      <c r="B4" s="8" t="inlineStr">
        <is>
          <t>Lots 3 (SAISIE_Charges_Flux) et 4 (ReservationsHorsHostaway)</t>
        </is>
      </c>
    </row>
    <row r="5">
      <c r="A5" s="5" t="inlineStr"/>
      <c r="B5" s="8" t="inlineStr"/>
    </row>
    <row r="6">
      <c r="A6" s="3" t="inlineStr">
        <is>
          <t>ONGLETS</t>
        </is>
      </c>
      <c r="B6" s="8" t="inlineStr"/>
    </row>
    <row r="7">
      <c r="A7" s="6" t="inlineStr">
        <is>
          <t>SOURCE_SAISIE</t>
        </is>
      </c>
      <c r="B7" s="8" t="inlineStr">
        <is>
          <t>Saisie directe brute — flux non disponibles ailleurs (virements, IK, remboursements, ajustements)</t>
        </is>
      </c>
    </row>
    <row r="8">
      <c r="A8" s="6" t="inlineStr">
        <is>
          <t>PARAMETRES</t>
        </is>
      </c>
      <c r="B8" s="8" t="inlineStr">
        <is>
          <t>Referentiels locaux — associes, types flux, modes paiement, valeurs fermees</t>
        </is>
      </c>
    </row>
    <row r="9">
      <c r="A9" s="6" t="inlineStr">
        <is>
          <t>MASTER_SAISIE</t>
        </is>
      </c>
      <c r="B9" s="8" t="inlineStr">
        <is>
          <t>Lignes normalisees — 22 colonnes — PK stable — controles</t>
        </is>
      </c>
    </row>
    <row r="10">
      <c r="A10" s="6" t="inlineStr">
        <is>
          <t>MASTER_CALC_AVANTAGES</t>
        </is>
      </c>
      <c r="B10" s="8" t="inlineStr">
        <is>
          <t>Consolidation calculee par associe_id x mois — 15 colonnes — formule avantages_nets</t>
        </is>
      </c>
    </row>
    <row r="11">
      <c r="A11" s="6" t="inlineStr">
        <is>
          <t>POWER_QUERY_CODE</t>
        </is>
      </c>
      <c r="B11" s="8" t="inlineStr">
        <is>
          <t>Code M requetes Q1-Q5</t>
        </is>
      </c>
    </row>
    <row r="12">
      <c r="A12" s="6" t="inlineStr">
        <is>
          <t>README</t>
        </is>
      </c>
      <c r="B12" s="8" t="inlineStr">
        <is>
          <t>Ce fichier</t>
        </is>
      </c>
    </row>
    <row r="13">
      <c r="A13" s="5" t="inlineStr"/>
      <c r="B13" s="8" t="inlineStr"/>
    </row>
    <row r="14">
      <c r="A14" s="3" t="inlineStr">
        <is>
          <t>SAISIE RESIDUELLE</t>
        </is>
      </c>
      <c r="B14" s="8" t="inlineStr">
        <is>
          <t>MASTER_SAISIE = saisie strictement residuelle</t>
        </is>
      </c>
    </row>
    <row r="15">
      <c r="A15" s="6" t="inlineStr">
        <is>
          <t>NE PAS RESSAISIR</t>
        </is>
      </c>
      <c r="B15" s="8" t="inlineStr">
        <is>
          <t>DEPENSE_PERSO_COMPTE_PRO → SAISIE_Charges_Flux Lot 3 (TYPE_FLUX_002)</t>
        </is>
      </c>
    </row>
    <row r="16">
      <c r="A16" s="6" t="inlineStr">
        <is>
          <t>NE PAS RESSAISIR</t>
        </is>
      </c>
      <c r="B16" s="8" t="inlineStr">
        <is>
          <t>CHARGE_PAYEE_PERSO_OU_LIQUIDE → SAISIE_Charges_Flux Lot 3 (TYPE_FLUX_004)</t>
        </is>
      </c>
    </row>
    <row r="17">
      <c r="A17" s="6" t="inlineStr">
        <is>
          <t>NE PAS RESSAISIR</t>
        </is>
      </c>
      <c r="B17" s="8" t="inlineStr">
        <is>
          <t>PAIEMENT_PRESTATAIRE_LIQUIDE → SAISIE_Charges_Flux Lot 3 (TYPE_FLUX_008)</t>
        </is>
      </c>
    </row>
    <row r="18">
      <c r="A18" s="6" t="inlineStr">
        <is>
          <t>NE PAS RESSAISIR</t>
        </is>
      </c>
      <c r="B18" s="8" t="inlineStr">
        <is>
          <t>montant_recupere HH → ReservationsHorsHostaway Lot 4 via reservation_hh_id</t>
        </is>
      </c>
    </row>
    <row r="19">
      <c r="A19" s="5" t="inlineStr"/>
      <c r="B19" s="8" t="inlineStr"/>
    </row>
    <row r="20">
      <c r="A20" s="3" t="inlineStr">
        <is>
          <t>FORMULE</t>
        </is>
      </c>
      <c r="B20" s="8" t="inlineStr">
        <is>
          <t>avantages_bruts_total = virements + IK + depenses_perso + montant_recupere_hh</t>
        </is>
      </c>
    </row>
    <row r="21">
      <c r="A21" s="3" t="inlineStr">
        <is>
          <t>FORMULE</t>
        </is>
      </c>
      <c r="B21" s="8" t="inlineStr">
        <is>
          <t>avantages_nets = bruts_total - charges_payees - rem_ASSOC_VERS_SOC + rem_SOC_VERS_ASSOC</t>
        </is>
      </c>
    </row>
    <row r="22">
      <c r="A22" s="5" t="inlineStr"/>
      <c r="B22" s="8" t="inlineStr"/>
    </row>
    <row r="23">
      <c r="A23" s="3" t="inlineStr">
        <is>
          <t>CONTROLES BLOQUANTS</t>
        </is>
      </c>
      <c r="B23" s="8" t="inlineStr">
        <is>
          <t>niveau_anomalie=BLOQUANT, statut_controle=A_CONTROLER</t>
        </is>
      </c>
    </row>
    <row r="24">
      <c r="A24" s="5" t="inlineStr"/>
      <c r="B24" s="8" t="inlineStr">
        <is>
          <t>AVANTAGE_ASSOCIE_SANS_ASSOCIE_ID      — associe_id IS NULL</t>
        </is>
      </c>
    </row>
    <row r="25">
      <c r="A25" s="5" t="inlineStr"/>
      <c r="B25" s="8" t="inlineStr">
        <is>
          <t>AVANTAGE_ASSOCIE_MONTANT_INVALIDE      — montant &lt;= 0</t>
        </is>
      </c>
    </row>
    <row r="26">
      <c r="A26" s="5" t="inlineStr"/>
      <c r="B26" s="8" t="inlineStr">
        <is>
          <t>AVANTAGE_SANS_TYPE_FLUX                — type_flux_id absent ou hors REF_Types_Flux</t>
        </is>
      </c>
    </row>
    <row r="27">
      <c r="A27" s="5" t="inlineStr"/>
      <c r="B27" s="8" t="inlineStr">
        <is>
          <t>MONTANT_RECUPERE_HH_NON_REPRIS_AVANTAGES — montant_recupere HH &gt; 0 sans MASTER_CALC</t>
        </is>
      </c>
    </row>
    <row r="28">
      <c r="A28" s="5" t="inlineStr"/>
      <c r="B28" s="8" t="inlineStr">
        <is>
          <t>DOUBLE_COMPTAGE_SAISIE_ET_DERIVE        — flux present ici ET dans Lot 3/4</t>
        </is>
      </c>
    </row>
    <row r="29">
      <c r="A29" s="5" t="inlineStr"/>
      <c r="B29" s="8" t="inlineStr">
        <is>
          <t>SAISIE_LOT7_SOURCE_DEJA_EXISTANTE       — source canonique existe deja en Lot 3, 4 ou Lot 8</t>
        </is>
      </c>
    </row>
    <row r="30">
      <c r="A30" s="5" t="inlineStr"/>
      <c r="B30" s="8" t="inlineStr"/>
    </row>
    <row r="31">
      <c r="A31" s="3" t="inlineStr">
        <is>
          <t>CONTROLES A_CONTROLER</t>
        </is>
      </c>
      <c r="B31" s="8" t="inlineStr">
        <is>
          <t>niveau_anomalie=A_CONTROLER, statut_controle=A_CONTROLER</t>
        </is>
      </c>
    </row>
    <row r="32">
      <c r="A32" s="5" t="inlineStr"/>
      <c r="B32" s="8" t="inlineStr">
        <is>
          <t>REMBOURSEMENT_SANS_LIEN_ORIGINE    — TYPE_FLUX_005 sans lien_origine</t>
        </is>
      </c>
    </row>
    <row r="33">
      <c r="A33" s="5" t="inlineStr"/>
      <c r="B33" s="8" t="inlineStr">
        <is>
          <t>REMBOURSEMENT_SENS_ABSENT          — TYPE_FLUX_005 sans type_remboursement valide</t>
        </is>
      </c>
    </row>
    <row r="34">
      <c r="A34" s="5" t="inlineStr"/>
      <c r="B34" s="8" t="inlineStr">
        <is>
          <t>VIREMENT_ASSOCIE_SANS_LIEN_BANQUE  — TYPE_FLUX_001 sans lien_origine</t>
        </is>
      </c>
    </row>
    <row r="35">
      <c r="A35" s="5" t="inlineStr"/>
      <c r="B35" s="8" t="inlineStr">
        <is>
          <t>IK_SANS_JUSTIFICATIF              — TYPE_FLUX_015 sans commentaire ET sans lien_origine</t>
        </is>
      </c>
    </row>
    <row r="36">
      <c r="A36" s="5" t="inlineStr"/>
      <c r="B36" s="8" t="inlineStr">
        <is>
          <t>AVANTAGE_NET_NEGATIF              — avantages_nets &lt; 0</t>
        </is>
      </c>
    </row>
    <row r="37">
      <c r="A37" s="5" t="inlineStr"/>
      <c r="B37" s="8" t="inlineStr">
        <is>
          <t>TYPE_FLUX_IMPACT_INCOHERENT       — code_impact diverge du defaut REF_Types_Flux sans commentaire</t>
        </is>
      </c>
    </row>
    <row r="38">
      <c r="A38" s="5" t="inlineStr"/>
      <c r="B38" s="8" t="inlineStr"/>
    </row>
    <row r="39">
      <c r="A39" s="6" t="inlineStr">
        <is>
          <t>TYPE_FLUX_015</t>
        </is>
      </c>
      <c r="B39" s="8" t="inlineStr">
        <is>
          <t>INDEMNITE_KILOMETRIQUE — IC — avantage_brut=OUI — ajoute REF_Setup.xlsm Lot 7</t>
        </is>
      </c>
    </row>
    <row r="40">
      <c r="A40" s="6" t="inlineStr">
        <is>
          <t>D089-D095</t>
        </is>
      </c>
      <c r="B40" s="8" t="inlineStr">
        <is>
          <t>Decisions D-7-01 a D-7-07 (voir DECISIONS_METIER.md)</t>
        </is>
      </c>
    </row>
    <row r="41">
      <c r="A41" s="6" t="inlineStr">
        <is>
          <t>D096</t>
        </is>
      </c>
      <c r="B41" s="8" t="inlineStr">
        <is>
          <t>Correction LOG_0016 T2→T3 (Cyprien/Clarisse) — faite avant Lot 7</t>
        </is>
      </c>
    </row>
    <row r="42">
      <c r="A42" s="5" t="inlineStr"/>
      <c r="B42" s="8" t="inlineStr"/>
    </row>
    <row r="43">
      <c r="A43" s="6" t="inlineStr">
        <is>
          <t>Peuplement</t>
        </is>
      </c>
      <c r="B43" s="8" t="inlineStr">
        <is>
          <t>Structure vide — aucune donnee fictive — a saisir via SOURCE_SAISIE</t>
        </is>
      </c>
    </row>
    <row r="44">
      <c r="A44" s="6" t="inlineStr">
        <is>
          <t>Lot 8 (banque)</t>
        </is>
      </c>
      <c r="B44" s="8" t="inlineStr">
        <is>
          <t>Virements associes du compte pro rapproches sans ressaisie au Lot 8</t>
        </is>
      </c>
    </row>
    <row r="45">
      <c r="A45" s="6" t="inlineStr">
        <is>
          <t>Lot 3 (charges)</t>
        </is>
      </c>
      <c r="B45" s="8" t="inlineStr">
        <is>
          <t>DEPENSE_PERSO et CHARGE_PAYEE_PERSO derives sans ressaisie quand peuple</t>
        </is>
      </c>
    </row>
    <row r="46">
      <c r="A46" s="6" t="inlineStr">
        <is>
          <t>Lot 4 (HH)</t>
        </is>
      </c>
      <c r="B46" s="8" t="inlineStr">
        <is>
          <t>montant_recupere derive via reservation_hh_id sans ressaisie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2026-06-09T17:22:01Z</dcterms:created>
  <dcterms:modified xsi:type="dcterms:W3CDTF">2026-06-15T09:42:15Z</dcterms:modified>
</cp:coreProperties>
</file>
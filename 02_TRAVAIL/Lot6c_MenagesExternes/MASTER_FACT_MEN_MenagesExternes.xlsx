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RAW" sheetId="1" state="visible" r:id="rId1"/>
    <sheet name="PARAMETRES" sheetId="2" state="visible" r:id="rId2"/>
    <sheet name="MASTER" sheetId="3" state="visible" r:id="rId3"/>
    <sheet name="VUE_ACTIVE" sheetId="4" state="visible" r:id="rId4"/>
    <sheet name="VUE_ECART_HOSTAWAY" sheetId="5" state="visible" r:id="rId5"/>
    <sheet name="POWER_QUERY_CODE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i val="1"/>
      <color rgb="00808080"/>
    </font>
    <font>
      <b val="1"/>
      <sz val="12"/>
    </font>
    <font>
      <color rgb="00BFBFB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8" customWidth="1" min="4" max="4"/>
    <col width="36" customWidth="1" min="5" max="5"/>
    <col width="30" customWidth="1" min="6" max="6"/>
    <col width="14" customWidth="1" min="7" max="7"/>
    <col width="16" customWidth="1" min="8" max="8"/>
    <col width="12" customWidth="1" min="9" max="9"/>
    <col width="8" customWidth="1" min="10" max="10"/>
    <col width="10" customWidth="1" min="11" max="11"/>
    <col width="14" customWidth="1" min="12" max="12"/>
    <col width="16" customWidth="1" min="13" max="13"/>
    <col width="50" customWidth="1" min="14" max="14"/>
  </cols>
  <sheetData>
    <row r="1" ht="30" customHeight="1">
      <c r="A1" s="1" t="inlineStr">
        <is>
          <t>facture_id</t>
        </is>
      </c>
      <c r="B1" s="1" t="inlineStr">
        <is>
          <t>numero_facture_original</t>
        </is>
      </c>
      <c r="C1" s="1" t="inlineStr">
        <is>
          <t>date_facture</t>
        </is>
      </c>
      <c r="D1" s="1" t="inlineStr">
        <is>
          <t>nom_fichier_source</t>
        </is>
      </c>
      <c r="E1" s="1" t="inlineStr">
        <is>
          <t>prestataire_nom_brut</t>
        </is>
      </c>
      <c r="F1" s="1" t="inlineStr">
        <is>
          <t>appartement_source</t>
        </is>
      </c>
      <c r="G1" s="1" t="inlineStr">
        <is>
          <t>date_menage</t>
        </is>
      </c>
      <c r="H1" s="1" t="inlineStr">
        <is>
          <t>precision_date_menage</t>
        </is>
      </c>
      <c r="I1" s="1" t="inlineStr">
        <is>
          <t>type_ligne_menage_id</t>
        </is>
      </c>
      <c r="J1" s="1" t="inlineStr">
        <is>
          <t>nombre_menages</t>
        </is>
      </c>
      <c r="K1" s="1" t="inlineStr">
        <is>
          <t>montant_unitaire</t>
        </is>
      </c>
      <c r="L1" s="1" t="inlineStr">
        <is>
          <t>montant_ligne_ttc</t>
        </is>
      </c>
      <c r="M1" s="1" t="inlineStr">
        <is>
          <t>montant_facture_total_ttc</t>
        </is>
      </c>
      <c r="N1" s="1" t="inlineStr">
        <is>
          <t>commentaire_source</t>
        </is>
      </c>
    </row>
    <row r="2">
      <c r="A2" s="2" t="inlineStr">
        <is>
          <t>FAC-2026-05-AISSATA-001</t>
        </is>
      </c>
      <c r="B2" s="2" t="inlineStr">
        <is>
          <t>2026-37</t>
        </is>
      </c>
      <c r="C2" s="3" t="n">
        <v>46173</v>
      </c>
      <c r="D2" s="2" t="inlineStr">
        <is>
          <t>Facture mai Aissata.pdf</t>
        </is>
      </c>
      <c r="E2" s="2" t="inlineStr">
        <is>
          <t>Kandia DIABATE / Rends-moi un service</t>
        </is>
      </c>
      <c r="F2" s="2" t="inlineStr">
        <is>
          <t>studio 76 (Dureuil)</t>
        </is>
      </c>
      <c r="G2" s="3" t="n">
        <v>46152</v>
      </c>
      <c r="H2" s="2" t="inlineStr">
        <is>
          <t>DATE_PRECISE</t>
        </is>
      </c>
      <c r="I2" s="2" t="inlineStr">
        <is>
          <t>TLM_001</t>
        </is>
      </c>
      <c r="J2" s="2" t="n">
        <v>1</v>
      </c>
      <c r="K2" s="2" t="n">
        <v>29</v>
      </c>
      <c r="L2" s="2" t="n">
        <v>29</v>
      </c>
      <c r="M2" s="2" t="n">
        <v>1439</v>
      </c>
      <c r="N2" s="2" t="inlineStr">
        <is>
          <t>Ligne 1 fac.2026-37 — date précise sur facture</t>
        </is>
      </c>
    </row>
    <row r="3">
      <c r="A3" s="2" t="inlineStr">
        <is>
          <t>FAC-2026-05-AISSATA-001</t>
        </is>
      </c>
      <c r="B3" s="2" t="inlineStr">
        <is>
          <t>2026-37</t>
        </is>
      </c>
      <c r="C3" s="3" t="n">
        <v>46173</v>
      </c>
      <c r="D3" s="2" t="inlineStr">
        <is>
          <t>Facture mai Aissata.pdf</t>
        </is>
      </c>
      <c r="E3" s="2" t="inlineStr">
        <is>
          <t>Kandia DIABATE / Rends-moi un service</t>
        </is>
      </c>
      <c r="F3" s="2" t="inlineStr">
        <is>
          <t>studio - cote pavé (François)</t>
        </is>
      </c>
      <c r="G3" s="2" t="n"/>
      <c r="H3" s="2" t="inlineStr">
        <is>
          <t>MOIS_FACTURE</t>
        </is>
      </c>
      <c r="I3" s="2" t="inlineStr">
        <is>
          <t>TLM_001</t>
        </is>
      </c>
      <c r="J3" s="2" t="n">
        <v>5</v>
      </c>
      <c r="K3" s="2" t="n">
        <v>29</v>
      </c>
      <c r="L3" s="2" t="n">
        <v>145</v>
      </c>
      <c r="M3" s="2" t="n">
        <v>1439</v>
      </c>
      <c r="N3" s="2" t="inlineStr">
        <is>
          <t>Ligne 2 fac.2026-37 — 5 passages mai 2026, date absente</t>
        </is>
      </c>
    </row>
    <row r="4">
      <c r="A4" s="2" t="inlineStr">
        <is>
          <t>FAC-2026-05-AISSATA-001</t>
        </is>
      </c>
      <c r="B4" s="2" t="inlineStr">
        <is>
          <t>2026-37</t>
        </is>
      </c>
      <c r="C4" s="3" t="n">
        <v>46173</v>
      </c>
      <c r="D4" s="2" t="inlineStr">
        <is>
          <t>Facture mai Aissata.pdf</t>
        </is>
      </c>
      <c r="E4" s="2" t="inlineStr">
        <is>
          <t>Kandia DIABATE / Rends-moi un service</t>
        </is>
      </c>
      <c r="F4" s="2" t="inlineStr">
        <is>
          <t>studio Puits verts (Caroline)</t>
        </is>
      </c>
      <c r="G4" s="2" t="n"/>
      <c r="H4" s="2" t="inlineStr">
        <is>
          <t>MOIS_FACTURE</t>
        </is>
      </c>
      <c r="I4" s="2" t="inlineStr">
        <is>
          <t>TLM_001</t>
        </is>
      </c>
      <c r="J4" s="2" t="n">
        <v>10</v>
      </c>
      <c r="K4" s="2" t="n">
        <v>29</v>
      </c>
      <c r="L4" s="2" t="n">
        <v>290</v>
      </c>
      <c r="M4" s="2" t="n">
        <v>1439</v>
      </c>
      <c r="N4" s="2" t="inlineStr">
        <is>
          <t>Ligne 3 fac.2026-37 — 10 passages mai 2026, date absente</t>
        </is>
      </c>
    </row>
    <row r="5">
      <c r="A5" s="2" t="inlineStr">
        <is>
          <t>FAC-2026-05-AISSATA-001</t>
        </is>
      </c>
      <c r="B5" s="2" t="inlineStr">
        <is>
          <t>2026-37</t>
        </is>
      </c>
      <c r="C5" s="3" t="n">
        <v>46173</v>
      </c>
      <c r="D5" s="2" t="inlineStr">
        <is>
          <t>Facture mai Aissata.pdf</t>
        </is>
      </c>
      <c r="E5" s="2" t="inlineStr">
        <is>
          <t>Kandia DIABATE / Rends-moi un service</t>
        </is>
      </c>
      <c r="F5" s="2" t="inlineStr">
        <is>
          <t>T3 310 muret (David)</t>
        </is>
      </c>
      <c r="G5" s="2" t="n"/>
      <c r="H5" s="2" t="inlineStr">
        <is>
          <t>MOIS_FACTURE</t>
        </is>
      </c>
      <c r="I5" s="2" t="inlineStr">
        <is>
          <t>TLM_001</t>
        </is>
      </c>
      <c r="J5" s="2" t="n">
        <v>8</v>
      </c>
      <c r="K5" s="2" t="n">
        <v>55</v>
      </c>
      <c r="L5" s="2" t="n">
        <v>440</v>
      </c>
      <c r="M5" s="2" t="n">
        <v>1439</v>
      </c>
      <c r="N5" s="2" t="inlineStr">
        <is>
          <t>Ligne 4 fac.2026-37 — 8 passages mai 2026, date absente</t>
        </is>
      </c>
    </row>
    <row r="6">
      <c r="A6" s="2" t="inlineStr">
        <is>
          <t>FAC-2026-05-AISSATA-001</t>
        </is>
      </c>
      <c r="B6" s="2" t="inlineStr">
        <is>
          <t>2026-37</t>
        </is>
      </c>
      <c r="C6" s="3" t="n">
        <v>46173</v>
      </c>
      <c r="D6" s="2" t="inlineStr">
        <is>
          <t>Facture mai Aissata.pdf</t>
        </is>
      </c>
      <c r="E6" s="2" t="inlineStr">
        <is>
          <t>Kandia DIABATE / Rends-moi un service</t>
        </is>
      </c>
      <c r="F6" s="2" t="inlineStr">
        <is>
          <t>studio st Pierre (Florane)</t>
        </is>
      </c>
      <c r="G6" s="2" t="n"/>
      <c r="H6" s="2" t="inlineStr">
        <is>
          <t>MOIS_FACTURE</t>
        </is>
      </c>
      <c r="I6" s="2" t="inlineStr">
        <is>
          <t>TLM_001</t>
        </is>
      </c>
      <c r="J6" s="2" t="n">
        <v>2</v>
      </c>
      <c r="K6" s="2" t="n">
        <v>29</v>
      </c>
      <c r="L6" s="2" t="n">
        <v>58</v>
      </c>
      <c r="M6" s="2" t="n">
        <v>1439</v>
      </c>
      <c r="N6" s="2" t="inlineStr">
        <is>
          <t>Ligne 5 fac.2026-37 — 2 passages mai 2026, date absente</t>
        </is>
      </c>
    </row>
    <row r="7">
      <c r="A7" s="2" t="inlineStr">
        <is>
          <t>FAC-2026-05-AISSATA-001</t>
        </is>
      </c>
      <c r="B7" s="2" t="inlineStr">
        <is>
          <t>2026-37</t>
        </is>
      </c>
      <c r="C7" s="3" t="n">
        <v>46173</v>
      </c>
      <c r="D7" s="2" t="inlineStr">
        <is>
          <t>Facture mai Aissata.pdf</t>
        </is>
      </c>
      <c r="E7" s="2" t="inlineStr">
        <is>
          <t>Kandia DIABATE / Rends-moi un service</t>
        </is>
      </c>
      <c r="F7" s="2" t="inlineStr">
        <is>
          <t>T2 9 rue du Toul</t>
        </is>
      </c>
      <c r="G7" s="2" t="n"/>
      <c r="H7" s="2" t="inlineStr">
        <is>
          <t>MOIS_FACTURE</t>
        </is>
      </c>
      <c r="I7" s="2" t="inlineStr">
        <is>
          <t>TLM_001</t>
        </is>
      </c>
      <c r="J7" s="2" t="n">
        <v>8</v>
      </c>
      <c r="K7" s="2" t="n">
        <v>39</v>
      </c>
      <c r="L7" s="2" t="n">
        <v>312</v>
      </c>
      <c r="M7" s="2" t="n">
        <v>1439</v>
      </c>
      <c r="N7" s="2" t="inlineStr">
        <is>
          <t>Ligne 6 fac.2026-37 — 8 passages mai 2026, date absente</t>
        </is>
      </c>
    </row>
    <row r="8">
      <c r="A8" s="2" t="inlineStr">
        <is>
          <t>FAC-2026-05-AISSATA-001</t>
        </is>
      </c>
      <c r="B8" s="2" t="inlineStr">
        <is>
          <t>2026-37</t>
        </is>
      </c>
      <c r="C8" s="3" t="n">
        <v>46173</v>
      </c>
      <c r="D8" s="2" t="inlineStr">
        <is>
          <t>Facture mai Aissata.pdf</t>
        </is>
      </c>
      <c r="E8" s="2" t="inlineStr">
        <is>
          <t>Kandia DIABATE / Rends-moi un service</t>
        </is>
      </c>
      <c r="F8" s="2" t="inlineStr">
        <is>
          <t>T3 4 rue engalières</t>
        </is>
      </c>
      <c r="G8" s="3" t="n">
        <v>46165</v>
      </c>
      <c r="H8" s="2" t="inlineStr">
        <is>
          <t>DATE_PRECISE</t>
        </is>
      </c>
      <c r="I8" s="2" t="inlineStr">
        <is>
          <t>TLM_001</t>
        </is>
      </c>
      <c r="J8" s="2" t="n">
        <v>1</v>
      </c>
      <c r="K8" s="2" t="n">
        <v>55</v>
      </c>
      <c r="L8" s="2" t="n">
        <v>55</v>
      </c>
      <c r="M8" s="2" t="n">
        <v>1439</v>
      </c>
      <c r="N8" s="2" t="inlineStr">
        <is>
          <t>Ligne 7 fac.2026-37 — date précise sur facture</t>
        </is>
      </c>
    </row>
    <row r="9">
      <c r="A9" s="2" t="inlineStr">
        <is>
          <t>FAC-2026-05-AISSATA-001</t>
        </is>
      </c>
      <c r="B9" s="2" t="inlineStr">
        <is>
          <t>2026-37</t>
        </is>
      </c>
      <c r="C9" s="3" t="n">
        <v>46173</v>
      </c>
      <c r="D9" s="2" t="inlineStr">
        <is>
          <t>Facture mai Aissata.pdf</t>
        </is>
      </c>
      <c r="E9" s="2" t="inlineStr">
        <is>
          <t>Kandia DIABATE / Rends-moi un service</t>
        </is>
      </c>
      <c r="F9" s="2" t="inlineStr">
        <is>
          <t>T3 20 rue l'Amiral Galache</t>
        </is>
      </c>
      <c r="G9" s="3" t="n">
        <v>46145</v>
      </c>
      <c r="H9" s="2" t="inlineStr">
        <is>
          <t>DATE_PRECISE</t>
        </is>
      </c>
      <c r="I9" s="2" t="inlineStr">
        <is>
          <t>TLM_001</t>
        </is>
      </c>
      <c r="J9" s="2" t="n">
        <v>1</v>
      </c>
      <c r="K9" s="2" t="n">
        <v>55</v>
      </c>
      <c r="L9" s="2" t="n">
        <v>55</v>
      </c>
      <c r="M9" s="2" t="n">
        <v>1439</v>
      </c>
      <c r="N9" s="2" t="inlineStr">
        <is>
          <t>Ligne 8a — splittée (2 dates). Facture: T3, REF: T2 (LOG_0016). Prix 55€ tarif T3 Aissata.</t>
        </is>
      </c>
    </row>
    <row r="10">
      <c r="A10" s="2" t="inlineStr">
        <is>
          <t>FAC-2026-05-AISSATA-001</t>
        </is>
      </c>
      <c r="B10" s="2" t="inlineStr">
        <is>
          <t>2026-37</t>
        </is>
      </c>
      <c r="C10" s="3" t="n">
        <v>46173</v>
      </c>
      <c r="D10" s="2" t="inlineStr">
        <is>
          <t>Facture mai Aissata.pdf</t>
        </is>
      </c>
      <c r="E10" s="2" t="inlineStr">
        <is>
          <t>Kandia DIABATE / Rends-moi un service</t>
        </is>
      </c>
      <c r="F10" s="2" t="inlineStr">
        <is>
          <t>T3 20 rue l'Amiral Galache</t>
        </is>
      </c>
      <c r="G10" s="3" t="n">
        <v>46152</v>
      </c>
      <c r="H10" s="2" t="inlineStr">
        <is>
          <t>DATE_PRECISE</t>
        </is>
      </c>
      <c r="I10" s="2" t="inlineStr">
        <is>
          <t>TLM_001</t>
        </is>
      </c>
      <c r="J10" s="2" t="n">
        <v>1</v>
      </c>
      <c r="K10" s="2" t="n">
        <v>55</v>
      </c>
      <c r="L10" s="2" t="n">
        <v>55</v>
      </c>
      <c r="M10" s="2" t="n">
        <v>1439</v>
      </c>
      <c r="N10" s="2" t="inlineStr">
        <is>
          <t>Ligne 8b — splittée (2 dates). Facture: T3, REF: T2 (LOG_0016). Prix 55€ tarif T3 Aissata.</t>
        </is>
      </c>
    </row>
    <row r="11">
      <c r="A11" s="2" t="inlineStr">
        <is>
          <t>FAC-2026-05-MOUNIR-001</t>
        </is>
      </c>
      <c r="B11" s="2" t="inlineStr">
        <is>
          <t>0003</t>
        </is>
      </c>
      <c r="C11" s="3" t="n">
        <v>46173</v>
      </c>
      <c r="D11" s="2" t="inlineStr">
        <is>
          <t>Facture mai Mounir.pdf</t>
        </is>
      </c>
      <c r="E11" s="2" t="inlineStr">
        <is>
          <t>MH Entreprise</t>
        </is>
      </c>
      <c r="F11" s="2" t="inlineStr">
        <is>
          <t>T.4-90 Blagnac (Cédrine)</t>
        </is>
      </c>
      <c r="G11" s="2" t="n"/>
      <c r="H11" s="2" t="inlineStr">
        <is>
          <t>MOIS_FACTURE</t>
        </is>
      </c>
      <c r="I11" s="2" t="inlineStr">
        <is>
          <t>TLM_001</t>
        </is>
      </c>
      <c r="J11" s="2" t="n">
        <v>6</v>
      </c>
      <c r="K11" s="2" t="n">
        <v>65</v>
      </c>
      <c r="L11" s="2" t="n">
        <v>390</v>
      </c>
      <c r="M11" s="2" t="n">
        <v>942</v>
      </c>
      <c r="N11" s="2" t="inlineStr">
        <is>
          <t>Ligne 1 fac.0003 — 6 ménages mai 2026, date absente</t>
        </is>
      </c>
    </row>
    <row r="12">
      <c r="A12" s="2" t="inlineStr">
        <is>
          <t>FAC-2026-05-MOUNIR-001</t>
        </is>
      </c>
      <c r="B12" s="2" t="inlineStr">
        <is>
          <t>0003</t>
        </is>
      </c>
      <c r="C12" s="3" t="n">
        <v>46173</v>
      </c>
      <c r="D12" s="2" t="inlineStr">
        <is>
          <t>Facture mai Mounir.pdf</t>
        </is>
      </c>
      <c r="E12" s="2" t="inlineStr">
        <is>
          <t>MH Entreprise</t>
        </is>
      </c>
      <c r="F12" s="2" t="inlineStr">
        <is>
          <t>T.3 Sept Deniers (François)</t>
        </is>
      </c>
      <c r="G12" s="2" t="n"/>
      <c r="H12" s="2" t="inlineStr">
        <is>
          <t>MOIS_FACTURE</t>
        </is>
      </c>
      <c r="I12" s="2" t="inlineStr">
        <is>
          <t>TLM_001</t>
        </is>
      </c>
      <c r="J12" s="2" t="n">
        <v>10</v>
      </c>
      <c r="K12" s="2" t="n">
        <v>52</v>
      </c>
      <c r="L12" s="2" t="n">
        <v>520</v>
      </c>
      <c r="M12" s="2" t="n">
        <v>942</v>
      </c>
      <c r="N12" s="2" t="inlineStr">
        <is>
          <t>Ligne 2 fac.0003 — 10 ménages mai 2026, date absente</t>
        </is>
      </c>
    </row>
    <row r="13">
      <c r="A13" s="2" t="inlineStr">
        <is>
          <t>FAC-2026-05-MOUNIR-001</t>
        </is>
      </c>
      <c r="B13" s="2" t="inlineStr">
        <is>
          <t>0003</t>
        </is>
      </c>
      <c r="C13" s="3" t="n">
        <v>46173</v>
      </c>
      <c r="D13" s="2" t="inlineStr">
        <is>
          <t>Facture mai Mounir.pdf</t>
        </is>
      </c>
      <c r="E13" s="2" t="inlineStr">
        <is>
          <t>MH Entreprise</t>
        </is>
      </c>
      <c r="F13" s="2" t="inlineStr">
        <is>
          <t>T.2-65 (Gabriel)</t>
        </is>
      </c>
      <c r="G13" s="2" t="n"/>
      <c r="H13" s="2" t="inlineStr">
        <is>
          <t>MOIS_FACTURE</t>
        </is>
      </c>
      <c r="I13" s="2" t="inlineStr">
        <is>
          <t>TLM_001</t>
        </is>
      </c>
      <c r="J13" s="2" t="n">
        <v>0</v>
      </c>
      <c r="K13" s="2" t="n">
        <v>36</v>
      </c>
      <c r="L13" s="2" t="n">
        <v>0</v>
      </c>
      <c r="M13" s="2" t="n">
        <v>942</v>
      </c>
      <c r="N13" s="2" t="inlineStr">
        <is>
          <t>Ligne 3 fac.0003 — 0 ménage, logement inactif depuis 2026-04-26. Présent à 0€.</t>
        </is>
      </c>
    </row>
    <row r="14">
      <c r="A14" s="2" t="inlineStr">
        <is>
          <t>FAC-2026-05-MOUNIR-001</t>
        </is>
      </c>
      <c r="B14" s="2" t="inlineStr">
        <is>
          <t>0003</t>
        </is>
      </c>
      <c r="C14" s="3" t="n">
        <v>46173</v>
      </c>
      <c r="D14" s="2" t="inlineStr">
        <is>
          <t>Facture mai Mounir.pdf</t>
        </is>
      </c>
      <c r="E14" s="2" t="inlineStr">
        <is>
          <t>MH Entreprise</t>
        </is>
      </c>
      <c r="F14" s="2" t="inlineStr">
        <is>
          <t>Studio Puits vert (Caroline)</t>
        </is>
      </c>
      <c r="G14" s="2" t="n"/>
      <c r="H14" s="2" t="inlineStr">
        <is>
          <t>MOIS_FACTURE</t>
        </is>
      </c>
      <c r="I14" s="2" t="inlineStr">
        <is>
          <t>TLM_001</t>
        </is>
      </c>
      <c r="J14" s="2" t="n">
        <v>1</v>
      </c>
      <c r="K14" s="2" t="n">
        <v>32</v>
      </c>
      <c r="L14" s="2" t="n">
        <v>32</v>
      </c>
      <c r="M14" s="2" t="n">
        <v>942</v>
      </c>
      <c r="N14" s="2" t="inlineStr">
        <is>
          <t>Ligne 4 fac.0003 — 1 ménage mai 2026, date absente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s="2" t="inlineStr">
        <is>
          <t>LOT</t>
        </is>
      </c>
      <c r="B2" s="2" t="inlineStr">
        <is>
          <t>6c</t>
        </is>
      </c>
    </row>
    <row r="3">
      <c r="A3" s="2" t="inlineStr">
        <is>
          <t>DESCRIPTION</t>
        </is>
      </c>
      <c r="B3" s="2" t="inlineStr">
        <is>
          <t>Ménages externes — factures PDF prestataires</t>
        </is>
      </c>
    </row>
    <row r="4">
      <c r="A4" s="2" t="inlineStr">
        <is>
          <t>DATE_RUN</t>
        </is>
      </c>
      <c r="B4" s="2" t="inlineStr">
        <is>
          <t>20260609_170942</t>
        </is>
      </c>
    </row>
    <row r="5">
      <c r="A5" s="2" t="inlineStr">
        <is>
          <t>TOLERANCE_FACTURE</t>
        </is>
      </c>
      <c r="B5" s="2" t="n">
        <v>1</v>
      </c>
    </row>
    <row r="6">
      <c r="A6" s="2" t="inlineStr">
        <is>
          <t>SOURCE_PDF_DIR</t>
        </is>
      </c>
      <c r="B6" s="2" t="inlineStr">
        <is>
          <t>01_SOURCES_BRUTES\MenagesExternes\Factures_PDF</t>
        </is>
      </c>
    </row>
    <row r="7">
      <c r="A7" s="2" t="inlineStr">
        <is>
          <t>CHEMIN_REF_SETUP</t>
        </is>
      </c>
      <c r="B7" s="2" t="inlineStr">
        <is>
          <t>01_SOURCES_BRUTES\REF_Setup\REF_Setup.xlsm</t>
        </is>
      </c>
    </row>
    <row r="8">
      <c r="A8" s="2" t="inlineStr">
        <is>
          <t>CHEMIN_LOT6A</t>
        </is>
      </c>
      <c r="B8" s="2" t="inlineStr">
        <is>
          <t>02_TRAVAIL\Lot1_Hostaway\MASTER_FACT_HA_CleaningTasks_Discovery.xlsx</t>
        </is>
      </c>
    </row>
    <row r="9">
      <c r="A9" s="2" t="inlineStr">
        <is>
          <t>NB_LIGNES_SOURCE_RAW</t>
        </is>
      </c>
      <c r="B9" s="2" t="n">
        <v>13</v>
      </c>
    </row>
    <row r="10">
      <c r="A10" s="2" t="inlineStr">
        <is>
          <t>NB_LIGNES_MASTER</t>
        </is>
      </c>
      <c r="B10" s="2" t="n">
        <v>13</v>
      </c>
    </row>
    <row r="11">
      <c r="A11" s="2" t="inlineStr">
        <is>
          <t>NB_LIGNES_VUE_ACTIVE</t>
        </is>
      </c>
      <c r="B11" s="2" t="n">
        <v>4</v>
      </c>
    </row>
    <row r="12">
      <c r="A12" s="2" t="inlineStr">
        <is>
          <t>FACTURES_TRAITEES</t>
        </is>
      </c>
      <c r="B12" s="2" t="inlineStr">
        <is>
          <t>FAC-2026-05-AISSATA-001 (1439€) ; FAC-2026-05-MOUNIR-001 (942€)</t>
        </is>
      </c>
    </row>
    <row r="14">
      <c r="A14" s="4" t="inlineStr">
        <is>
          <t>MAPPING_APPARTEMENT_SOURCE → logement_id</t>
        </is>
      </c>
    </row>
    <row r="15">
      <c r="A15" s="1" t="inlineStr">
        <is>
          <t>appartement_source</t>
        </is>
      </c>
      <c r="B15" s="1" t="inlineStr">
        <is>
          <t>logement_id</t>
        </is>
      </c>
    </row>
    <row r="16">
      <c r="A16" s="2" t="inlineStr">
        <is>
          <t>studio 76 (dureuil)</t>
        </is>
      </c>
      <c r="B16" s="2" t="inlineStr">
        <is>
          <t>LOG_0014</t>
        </is>
      </c>
    </row>
    <row r="17">
      <c r="A17" s="2" t="inlineStr">
        <is>
          <t>studio - cote pavé (françois)</t>
        </is>
      </c>
      <c r="B17" s="2" t="inlineStr">
        <is>
          <t>LOG_0012</t>
        </is>
      </c>
    </row>
    <row r="18">
      <c r="A18" s="2" t="inlineStr">
        <is>
          <t>studio puits verts (caroline)</t>
        </is>
      </c>
      <c r="B18" s="2" t="inlineStr">
        <is>
          <t>LOG_0006</t>
        </is>
      </c>
    </row>
    <row r="19">
      <c r="A19" s="2" t="inlineStr">
        <is>
          <t>t3 310 muret (david)</t>
        </is>
      </c>
      <c r="B19" s="2" t="inlineStr">
        <is>
          <t>LOG_0011</t>
        </is>
      </c>
    </row>
    <row r="20">
      <c r="A20" s="2" t="inlineStr">
        <is>
          <t>studio st pierre (florane)</t>
        </is>
      </c>
      <c r="B20" s="2" t="inlineStr">
        <is>
          <t>LOG_0010</t>
        </is>
      </c>
    </row>
    <row r="21">
      <c r="A21" s="2" t="inlineStr">
        <is>
          <t>t2 9 rue du toul</t>
        </is>
      </c>
      <c r="B21" s="2" t="inlineStr">
        <is>
          <t>LOG_0007</t>
        </is>
      </c>
    </row>
    <row r="22">
      <c r="A22" s="2" t="inlineStr">
        <is>
          <t>t3 4 rue engalières</t>
        </is>
      </c>
      <c r="B22" s="2" t="inlineStr">
        <is>
          <t>LOG_0009</t>
        </is>
      </c>
    </row>
    <row r="23">
      <c r="A23" s="2" t="inlineStr">
        <is>
          <t>t3 20 rue l'amiral galache</t>
        </is>
      </c>
      <c r="B23" s="2" t="inlineStr">
        <is>
          <t>LOG_0016</t>
        </is>
      </c>
    </row>
    <row r="24">
      <c r="A24" s="2" t="inlineStr">
        <is>
          <t>t.4-90 blagnac (cédrine)</t>
        </is>
      </c>
      <c r="B24" s="2" t="inlineStr">
        <is>
          <t>LOG_0002</t>
        </is>
      </c>
    </row>
    <row r="25">
      <c r="A25" s="2" t="inlineStr">
        <is>
          <t>t.3 sept deniers (françois)</t>
        </is>
      </c>
      <c r="B25" s="2" t="inlineStr">
        <is>
          <t>LOG_0013</t>
        </is>
      </c>
    </row>
    <row r="26">
      <c r="A26" s="2" t="inlineStr">
        <is>
          <t>t.2-65 (gabriel)</t>
        </is>
      </c>
      <c r="B26" s="2" t="inlineStr">
        <is>
          <t>LOG_0003</t>
        </is>
      </c>
    </row>
    <row r="27">
      <c r="A27" s="2" t="inlineStr">
        <is>
          <t>studio puits vert (caroline)</t>
        </is>
      </c>
      <c r="B27" s="2" t="inlineStr">
        <is>
          <t>LOG_0006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13" customWidth="1" min="4" max="4"/>
    <col width="13" customWidth="1" min="5" max="5"/>
    <col width="16" customWidth="1" min="6" max="6"/>
    <col width="10" customWidth="1" min="7" max="7"/>
    <col width="8" customWidth="1" min="8" max="8"/>
    <col width="26" customWidth="1" min="9" max="9"/>
    <col width="32" customWidth="1" min="10" max="10"/>
    <col width="14" customWidth="1" min="11" max="11"/>
    <col width="16" customWidth="1" min="12" max="12"/>
    <col width="14" customWidth="1" min="13" max="13"/>
    <col width="16" customWidth="1" min="14" max="14"/>
    <col width="12" customWidth="1" min="15" max="15"/>
    <col width="13" customWidth="1" min="16" max="16"/>
    <col width="16" customWidth="1" min="17" max="17"/>
    <col width="30" customWidth="1" min="18" max="18"/>
    <col width="14" customWidth="1" min="19" max="19"/>
    <col width="10" customWidth="1" min="20" max="20"/>
    <col width="14" customWidth="1" min="21" max="21"/>
    <col width="14" customWidth="1" min="22" max="22"/>
    <col width="8" customWidth="1" min="23" max="23"/>
    <col width="10" customWidth="1" min="24" max="24"/>
    <col width="14" customWidth="1" min="25" max="25"/>
    <col width="14" customWidth="1" min="26" max="26"/>
    <col width="1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4" customWidth="1" min="32" max="32"/>
    <col width="14" customWidth="1" min="33" max="33"/>
    <col width="12" customWidth="1" min="34" max="34"/>
    <col width="13" customWidth="1" min="35" max="35"/>
    <col width="14" customWidth="1" min="36" max="36"/>
    <col width="16" customWidth="1" min="37" max="37"/>
    <col width="16" customWidth="1" min="38" max="38"/>
    <col width="8" customWidth="1" min="39" max="39"/>
    <col width="18" customWidth="1" min="40" max="40"/>
    <col width="16" customWidth="1" min="41" max="41"/>
    <col width="14" customWidth="1" min="42" max="42"/>
    <col width="13" customWidth="1" min="43" max="43"/>
    <col width="36" customWidth="1" min="44" max="44"/>
    <col width="55" customWidth="1" min="45" max="45"/>
    <col width="16" customWidth="1" min="46" max="46"/>
    <col width="36" customWidth="1" min="47" max="47"/>
    <col width="28" customWidth="1" min="48" max="48"/>
    <col width="24" customWidth="1" min="49" max="49"/>
  </cols>
  <sheetData>
    <row r="1" ht="30" customHeight="1">
      <c r="A1" s="1" t="inlineStr">
        <is>
          <t>menage_externe_id</t>
        </is>
      </c>
      <c r="B1" s="1" t="inlineStr">
        <is>
          <t>ROW_HASH</t>
        </is>
      </c>
      <c r="C1" s="1" t="inlineStr">
        <is>
          <t>facture_id</t>
        </is>
      </c>
      <c r="D1" s="1" t="inlineStr">
        <is>
          <t>date_facture</t>
        </is>
      </c>
      <c r="E1" s="1" t="inlineStr">
        <is>
          <t>date_menage</t>
        </is>
      </c>
      <c r="F1" s="1" t="inlineStr">
        <is>
          <t>precision_date_menage</t>
        </is>
      </c>
      <c r="G1" s="1" t="inlineStr">
        <is>
          <t>mois</t>
        </is>
      </c>
      <c r="H1" s="1" t="inlineStr">
        <is>
          <t>annee</t>
        </is>
      </c>
      <c r="I1" s="1" t="inlineStr">
        <is>
          <t>nom_fichier_source</t>
        </is>
      </c>
      <c r="J1" s="1" t="inlineStr">
        <is>
          <t>source_document</t>
        </is>
      </c>
      <c r="K1" s="1" t="inlineStr">
        <is>
          <t>prestataire_id</t>
        </is>
      </c>
      <c r="L1" s="1" t="inlineStr">
        <is>
          <t>nom_prestataire</t>
        </is>
      </c>
      <c r="M1" s="1" t="inlineStr">
        <is>
          <t>type_intervenant</t>
        </is>
      </c>
      <c r="N1" s="1" t="inlineStr">
        <is>
          <t>regime_tva_prestataire</t>
        </is>
      </c>
      <c r="O1" s="1" t="inlineStr">
        <is>
          <t>logement_id</t>
        </is>
      </c>
      <c r="P1" s="1" t="inlineStr">
        <is>
          <t>proprietaire_id</t>
        </is>
      </c>
      <c r="Q1" s="1" t="inlineStr">
        <is>
          <t>hostaway_listing_id</t>
        </is>
      </c>
      <c r="R1" s="1" t="inlineStr">
        <is>
          <t>appartement_source</t>
        </is>
      </c>
      <c r="S1" s="1" t="inlineStr">
        <is>
          <t>type_ligne_menage_id</t>
        </is>
      </c>
      <c r="T1" s="1" t="inlineStr">
        <is>
          <t>nombre_menages</t>
        </is>
      </c>
      <c r="U1" s="1" t="inlineStr">
        <is>
          <t>fournitures_incluses</t>
        </is>
      </c>
      <c r="V1" s="1" t="inlineStr">
        <is>
          <t>montant_ligne_ht</t>
        </is>
      </c>
      <c r="W1" s="1" t="inlineStr">
        <is>
          <t>taux_tva</t>
        </is>
      </c>
      <c r="X1" s="1" t="inlineStr">
        <is>
          <t>montant_tva</t>
        </is>
      </c>
      <c r="Y1" s="1" t="inlineStr">
        <is>
          <t>montant_ligne_ttc</t>
        </is>
      </c>
      <c r="Z1" s="1" t="inlineStr">
        <is>
          <t>montant_facture_total_ht</t>
        </is>
      </c>
      <c r="AA1" s="1" t="inlineStr">
        <is>
          <t>montant_facture_total_ttc</t>
        </is>
      </c>
      <c r="AB1" s="1" t="inlineStr">
        <is>
          <t>somme_lignes_facture_ttc</t>
        </is>
      </c>
      <c r="AC1" s="1" t="inlineStr">
        <is>
          <t>ecart_reconciliation_ttc</t>
        </is>
      </c>
      <c r="AD1" s="1" t="inlineStr">
        <is>
          <t>somme_lignes_facture_ht</t>
        </is>
      </c>
      <c r="AE1" s="1" t="inlineStr">
        <is>
          <t>ecart_reconciliation_ht</t>
        </is>
      </c>
      <c r="AF1" s="1" t="inlineStr">
        <is>
          <t>mode_paiement</t>
        </is>
      </c>
      <c r="AG1" s="1" t="inlineStr">
        <is>
          <t>associe_payeur</t>
        </is>
      </c>
      <c r="AH1" s="1" t="inlineStr">
        <is>
          <t>code_impact</t>
        </is>
      </c>
      <c r="AI1" s="1" t="inlineStr">
        <is>
          <t>prise_en_compta</t>
        </is>
      </c>
      <c r="AJ1" s="1" t="inlineStr">
        <is>
          <t>impact_resultat_reel</t>
        </is>
      </c>
      <c r="AK1" s="1" t="inlineStr">
        <is>
          <t>impact_resultat_comptable</t>
        </is>
      </c>
      <c r="AL1" s="1" t="inlineStr">
        <is>
          <t>type_flux_id</t>
        </is>
      </c>
      <c r="AM1" s="1" t="inlineStr">
        <is>
          <t>sens</t>
        </is>
      </c>
      <c r="AN1" s="1" t="inlineStr">
        <is>
          <t>source_charges_flux_liee</t>
        </is>
      </c>
      <c r="AO1" s="1" t="inlineStr">
        <is>
          <t>risque_double_comptage</t>
        </is>
      </c>
      <c r="AP1" s="1" t="inlineStr">
        <is>
          <t>statut_controle</t>
        </is>
      </c>
      <c r="AQ1" s="1" t="inlineStr">
        <is>
          <t>niveau_anomalie</t>
        </is>
      </c>
      <c r="AR1" s="1" t="inlineStr">
        <is>
          <t>code_anomalie</t>
        </is>
      </c>
      <c r="AS1" s="1" t="inlineStr">
        <is>
          <t>commentaire</t>
        </is>
      </c>
      <c r="AT1" s="1" t="inlineStr">
        <is>
          <t>source_module</t>
        </is>
      </c>
      <c r="AU1" s="1" t="inlineStr">
        <is>
          <t>source_table</t>
        </is>
      </c>
      <c r="AV1" s="1" t="inlineStr">
        <is>
          <t>source_pk</t>
        </is>
      </c>
      <c r="AW1" s="1" t="inlineStr">
        <is>
          <t>date_integration</t>
        </is>
      </c>
    </row>
    <row r="2">
      <c r="A2" s="2" t="inlineStr">
        <is>
          <t>MENEXT-2026-05-AISSATA-001</t>
        </is>
      </c>
      <c r="B2" s="2" t="inlineStr">
        <is>
          <t>7a8fc22757d9419e</t>
        </is>
      </c>
      <c r="C2" s="2" t="inlineStr">
        <is>
          <t>FAC-2026-05-AISSATA-001</t>
        </is>
      </c>
      <c r="D2" s="3" t="n">
        <v>46173</v>
      </c>
      <c r="E2" s="3" t="n">
        <v>46152</v>
      </c>
      <c r="F2" s="2" t="inlineStr">
        <is>
          <t>DATE_PRECISE</t>
        </is>
      </c>
      <c r="G2" s="2" t="inlineStr">
        <is>
          <t>2026-05</t>
        </is>
      </c>
      <c r="H2" s="2" t="n">
        <v>2026</v>
      </c>
      <c r="I2" s="2" t="inlineStr">
        <is>
          <t>Facture mai Aissata.pdf</t>
        </is>
      </c>
      <c r="J2" s="2" t="inlineStr">
        <is>
          <t>lot6c_menages_externes.py — 20260609_170942</t>
        </is>
      </c>
      <c r="K2" s="2" t="inlineStr">
        <is>
          <t>INT_0004</t>
        </is>
      </c>
      <c r="L2" s="2" t="inlineStr">
        <is>
          <t>Aissata</t>
        </is>
      </c>
      <c r="M2" s="2" t="inlineStr">
        <is>
          <t>EXTERNE</t>
        </is>
      </c>
      <c r="N2" s="2" t="inlineStr">
        <is>
          <t>FRANCHISE_TVA</t>
        </is>
      </c>
      <c r="O2" s="2" t="inlineStr">
        <is>
          <t>LOG_0014</t>
        </is>
      </c>
      <c r="P2" s="2" t="inlineStr">
        <is>
          <t>PROP_0010</t>
        </is>
      </c>
      <c r="Q2" s="2" t="n">
        <v>481998</v>
      </c>
      <c r="R2" s="2" t="inlineStr">
        <is>
          <t>studio 76 (Dureuil)</t>
        </is>
      </c>
      <c r="S2" s="2" t="inlineStr">
        <is>
          <t>TLM_001</t>
        </is>
      </c>
      <c r="T2" s="2" t="n">
        <v>1</v>
      </c>
      <c r="U2" s="2" t="inlineStr">
        <is>
          <t>NON</t>
        </is>
      </c>
      <c r="V2" s="2" t="n">
        <v>29</v>
      </c>
      <c r="W2" s="2" t="n">
        <v>0</v>
      </c>
      <c r="X2" s="2" t="n">
        <v>0</v>
      </c>
      <c r="Y2" s="2" t="n">
        <v>29</v>
      </c>
      <c r="Z2" s="2" t="n">
        <v>1439</v>
      </c>
      <c r="AA2" s="2" t="n">
        <v>1439</v>
      </c>
      <c r="AB2" s="2" t="n">
        <v>1439</v>
      </c>
      <c r="AC2" s="2" t="n">
        <v>0</v>
      </c>
      <c r="AD2" s="2" t="n">
        <v>1439</v>
      </c>
      <c r="AE2" s="2" t="n">
        <v>0</v>
      </c>
      <c r="AF2" s="2" t="inlineStr">
        <is>
          <t>VIREMENT</t>
        </is>
      </c>
      <c r="AG2" s="2" t="n"/>
      <c r="AH2" s="2" t="inlineStr">
        <is>
          <t>IC</t>
        </is>
      </c>
      <c r="AI2" s="2" t="inlineStr">
        <is>
          <t>OUI</t>
        </is>
      </c>
      <c r="AJ2" s="2" t="inlineStr">
        <is>
          <t>OUI</t>
        </is>
      </c>
      <c r="AK2" s="2" t="inlineStr">
        <is>
          <t>OUI</t>
        </is>
      </c>
      <c r="AL2" s="2" t="inlineStr">
        <is>
          <t>TYPE_FLUX_014</t>
        </is>
      </c>
      <c r="AM2" s="2" t="inlineStr">
        <is>
          <t>CHARGE</t>
        </is>
      </c>
      <c r="AN2" s="2" t="n"/>
      <c r="AO2" s="2" t="inlineStr">
        <is>
          <t>NON</t>
        </is>
      </c>
      <c r="AP2" s="5" t="inlineStr">
        <is>
          <t>VALIDE</t>
        </is>
      </c>
      <c r="AQ2" s="2" t="inlineStr">
        <is>
          <t>INFO</t>
        </is>
      </c>
      <c r="AR2" s="2" t="inlineStr"/>
      <c r="AS2" s="2" t="inlineStr">
        <is>
          <t>Ligne 1 fac.2026-37 — date précise sur facture</t>
        </is>
      </c>
      <c r="AT2" s="2" t="inlineStr">
        <is>
          <t>MENAGES_EXTERNES</t>
        </is>
      </c>
      <c r="AU2" s="2" t="inlineStr">
        <is>
          <t>MASTER_FACT_MEN_MenagesExternes.SOURCE_RAW</t>
        </is>
      </c>
      <c r="AV2" s="2" t="inlineStr">
        <is>
          <t>MENEXT-2026-05-AISSATA-001</t>
        </is>
      </c>
      <c r="AW2" s="2" t="inlineStr">
        <is>
          <t>2026-06-09T17:09:43.386735</t>
        </is>
      </c>
    </row>
    <row r="3">
      <c r="A3" s="2" t="inlineStr">
        <is>
          <t>MENEXT-2026-05-AISSATA-002</t>
        </is>
      </c>
      <c r="B3" s="2" t="inlineStr">
        <is>
          <t>a22f230949386e2b</t>
        </is>
      </c>
      <c r="C3" s="2" t="inlineStr">
        <is>
          <t>FAC-2026-05-AISSATA-001</t>
        </is>
      </c>
      <c r="D3" s="3" t="n">
        <v>46173</v>
      </c>
      <c r="E3" s="2" t="n"/>
      <c r="F3" s="2" t="inlineStr">
        <is>
          <t>MOIS_FACTURE</t>
        </is>
      </c>
      <c r="G3" s="2" t="inlineStr">
        <is>
          <t>2026-05</t>
        </is>
      </c>
      <c r="H3" s="2" t="n">
        <v>2026</v>
      </c>
      <c r="I3" s="2" t="inlineStr">
        <is>
          <t>Facture mai Aissata.pdf</t>
        </is>
      </c>
      <c r="J3" s="2" t="inlineStr">
        <is>
          <t>lot6c_menages_externes.py — 20260609_170942</t>
        </is>
      </c>
      <c r="K3" s="2" t="inlineStr">
        <is>
          <t>INT_0004</t>
        </is>
      </c>
      <c r="L3" s="2" t="inlineStr">
        <is>
          <t>Aissata</t>
        </is>
      </c>
      <c r="M3" s="2" t="inlineStr">
        <is>
          <t>EXTERNE</t>
        </is>
      </c>
      <c r="N3" s="2" t="inlineStr">
        <is>
          <t>FRANCHISE_TVA</t>
        </is>
      </c>
      <c r="O3" s="2" t="inlineStr">
        <is>
          <t>LOG_0012</t>
        </is>
      </c>
      <c r="P3" s="2" t="inlineStr">
        <is>
          <t>PROP_0009</t>
        </is>
      </c>
      <c r="Q3" s="2" t="n">
        <v>480136</v>
      </c>
      <c r="R3" s="2" t="inlineStr">
        <is>
          <t>studio - cote pavé (François)</t>
        </is>
      </c>
      <c r="S3" s="2" t="inlineStr">
        <is>
          <t>TLM_001</t>
        </is>
      </c>
      <c r="T3" s="2" t="n">
        <v>5</v>
      </c>
      <c r="U3" s="2" t="inlineStr">
        <is>
          <t>NON</t>
        </is>
      </c>
      <c r="V3" s="2" t="n">
        <v>145</v>
      </c>
      <c r="W3" s="2" t="n">
        <v>0</v>
      </c>
      <c r="X3" s="2" t="n">
        <v>0</v>
      </c>
      <c r="Y3" s="2" t="n">
        <v>145</v>
      </c>
      <c r="Z3" s="2" t="n">
        <v>1439</v>
      </c>
      <c r="AA3" s="2" t="n">
        <v>1439</v>
      </c>
      <c r="AB3" s="2" t="n">
        <v>1439</v>
      </c>
      <c r="AC3" s="2" t="n">
        <v>0</v>
      </c>
      <c r="AD3" s="2" t="n">
        <v>1439</v>
      </c>
      <c r="AE3" s="2" t="n">
        <v>0</v>
      </c>
      <c r="AF3" s="2" t="inlineStr">
        <is>
          <t>VIREMENT</t>
        </is>
      </c>
      <c r="AG3" s="2" t="n"/>
      <c r="AH3" s="2" t="inlineStr">
        <is>
          <t>IC</t>
        </is>
      </c>
      <c r="AI3" s="2" t="inlineStr">
        <is>
          <t>OUI</t>
        </is>
      </c>
      <c r="AJ3" s="2" t="inlineStr">
        <is>
          <t>OUI</t>
        </is>
      </c>
      <c r="AK3" s="2" t="inlineStr">
        <is>
          <t>OUI</t>
        </is>
      </c>
      <c r="AL3" s="2" t="inlineStr">
        <is>
          <t>TYPE_FLUX_014</t>
        </is>
      </c>
      <c r="AM3" s="2" t="inlineStr">
        <is>
          <t>CHARGE</t>
        </is>
      </c>
      <c r="AN3" s="2" t="n"/>
      <c r="AO3" s="2" t="inlineStr">
        <is>
          <t>NON</t>
        </is>
      </c>
      <c r="AP3" s="6" t="inlineStr">
        <is>
          <t>A_CONTROLER</t>
        </is>
      </c>
      <c r="AQ3" s="2" t="inlineStr">
        <is>
          <t>A_CONTROLER</t>
        </is>
      </c>
      <c r="AR3" s="2" t="inlineStr">
        <is>
          <t>MENAGE_EXTERNE_DATE_ABSENTE</t>
        </is>
      </c>
      <c r="AS3" s="2" t="inlineStr">
        <is>
          <t>Ligne 2 fac.2026-37 — 5 passages mai 2026, date absente</t>
        </is>
      </c>
      <c r="AT3" s="2" t="inlineStr">
        <is>
          <t>MENAGES_EXTERNES</t>
        </is>
      </c>
      <c r="AU3" s="2" t="inlineStr">
        <is>
          <t>MASTER_FACT_MEN_MenagesExternes.SOURCE_RAW</t>
        </is>
      </c>
      <c r="AV3" s="2" t="inlineStr">
        <is>
          <t>MENEXT-2026-05-AISSATA-002</t>
        </is>
      </c>
      <c r="AW3" s="2" t="inlineStr">
        <is>
          <t>2026-06-09T17:09:43.386735</t>
        </is>
      </c>
    </row>
    <row r="4">
      <c r="A4" s="2" t="inlineStr">
        <is>
          <t>MENEXT-2026-05-AISSATA-003</t>
        </is>
      </c>
      <c r="B4" s="2" t="inlineStr">
        <is>
          <t>b8a07a5da3d88602</t>
        </is>
      </c>
      <c r="C4" s="2" t="inlineStr">
        <is>
          <t>FAC-2026-05-AISSATA-001</t>
        </is>
      </c>
      <c r="D4" s="3" t="n">
        <v>46173</v>
      </c>
      <c r="E4" s="2" t="n"/>
      <c r="F4" s="2" t="inlineStr">
        <is>
          <t>MOIS_FACTURE</t>
        </is>
      </c>
      <c r="G4" s="2" t="inlineStr">
        <is>
          <t>2026-05</t>
        </is>
      </c>
      <c r="H4" s="2" t="n">
        <v>2026</v>
      </c>
      <c r="I4" s="2" t="inlineStr">
        <is>
          <t>Facture mai Aissata.pdf</t>
        </is>
      </c>
      <c r="J4" s="2" t="inlineStr">
        <is>
          <t>lot6c_menages_externes.py — 20260609_170942</t>
        </is>
      </c>
      <c r="K4" s="2" t="inlineStr">
        <is>
          <t>INT_0004</t>
        </is>
      </c>
      <c r="L4" s="2" t="inlineStr">
        <is>
          <t>Aissata</t>
        </is>
      </c>
      <c r="M4" s="2" t="inlineStr">
        <is>
          <t>EXTERNE</t>
        </is>
      </c>
      <c r="N4" s="2" t="inlineStr">
        <is>
          <t>FRANCHISE_TVA</t>
        </is>
      </c>
      <c r="O4" s="2" t="inlineStr">
        <is>
          <t>LOG_0006</t>
        </is>
      </c>
      <c r="P4" s="2" t="inlineStr">
        <is>
          <t>PROP_0006</t>
        </is>
      </c>
      <c r="Q4" s="2" t="n">
        <v>487144</v>
      </c>
      <c r="R4" s="2" t="inlineStr">
        <is>
          <t>studio Puits verts (Caroline)</t>
        </is>
      </c>
      <c r="S4" s="2" t="inlineStr">
        <is>
          <t>TLM_001</t>
        </is>
      </c>
      <c r="T4" s="2" t="n">
        <v>10</v>
      </c>
      <c r="U4" s="2" t="inlineStr">
        <is>
          <t>NON</t>
        </is>
      </c>
      <c r="V4" s="2" t="n">
        <v>290</v>
      </c>
      <c r="W4" s="2" t="n">
        <v>0</v>
      </c>
      <c r="X4" s="2" t="n">
        <v>0</v>
      </c>
      <c r="Y4" s="2" t="n">
        <v>290</v>
      </c>
      <c r="Z4" s="2" t="n">
        <v>1439</v>
      </c>
      <c r="AA4" s="2" t="n">
        <v>1439</v>
      </c>
      <c r="AB4" s="2" t="n">
        <v>1439</v>
      </c>
      <c r="AC4" s="2" t="n">
        <v>0</v>
      </c>
      <c r="AD4" s="2" t="n">
        <v>1439</v>
      </c>
      <c r="AE4" s="2" t="n">
        <v>0</v>
      </c>
      <c r="AF4" s="2" t="inlineStr">
        <is>
          <t>VIREMENT</t>
        </is>
      </c>
      <c r="AG4" s="2" t="n"/>
      <c r="AH4" s="2" t="inlineStr">
        <is>
          <t>IC</t>
        </is>
      </c>
      <c r="AI4" s="2" t="inlineStr">
        <is>
          <t>OUI</t>
        </is>
      </c>
      <c r="AJ4" s="2" t="inlineStr">
        <is>
          <t>OUI</t>
        </is>
      </c>
      <c r="AK4" s="2" t="inlineStr">
        <is>
          <t>OUI</t>
        </is>
      </c>
      <c r="AL4" s="2" t="inlineStr">
        <is>
          <t>TYPE_FLUX_014</t>
        </is>
      </c>
      <c r="AM4" s="2" t="inlineStr">
        <is>
          <t>CHARGE</t>
        </is>
      </c>
      <c r="AN4" s="2" t="n"/>
      <c r="AO4" s="2" t="inlineStr">
        <is>
          <t>NON</t>
        </is>
      </c>
      <c r="AP4" s="6" t="inlineStr">
        <is>
          <t>A_CONTROLER</t>
        </is>
      </c>
      <c r="AQ4" s="2" t="inlineStr">
        <is>
          <t>A_CONTROLER</t>
        </is>
      </c>
      <c r="AR4" s="2" t="inlineStr">
        <is>
          <t>MENAGE_EXTERNE_DATE_ABSENTE</t>
        </is>
      </c>
      <c r="AS4" s="2" t="inlineStr">
        <is>
          <t>Ligne 3 fac.2026-37 — 10 passages mai 2026, date absente</t>
        </is>
      </c>
      <c r="AT4" s="2" t="inlineStr">
        <is>
          <t>MENAGES_EXTERNES</t>
        </is>
      </c>
      <c r="AU4" s="2" t="inlineStr">
        <is>
          <t>MASTER_FACT_MEN_MenagesExternes.SOURCE_RAW</t>
        </is>
      </c>
      <c r="AV4" s="2" t="inlineStr">
        <is>
          <t>MENEXT-2026-05-AISSATA-003</t>
        </is>
      </c>
      <c r="AW4" s="2" t="inlineStr">
        <is>
          <t>2026-06-09T17:09:43.386735</t>
        </is>
      </c>
    </row>
    <row r="5">
      <c r="A5" s="2" t="inlineStr">
        <is>
          <t>MENEXT-2026-05-AISSATA-004</t>
        </is>
      </c>
      <c r="B5" s="2" t="inlineStr">
        <is>
          <t>f4cf91af6be072c1</t>
        </is>
      </c>
      <c r="C5" s="2" t="inlineStr">
        <is>
          <t>FAC-2026-05-AISSATA-001</t>
        </is>
      </c>
      <c r="D5" s="3" t="n">
        <v>46173</v>
      </c>
      <c r="E5" s="2" t="n"/>
      <c r="F5" s="2" t="inlineStr">
        <is>
          <t>MOIS_FACTURE</t>
        </is>
      </c>
      <c r="G5" s="2" t="inlineStr">
        <is>
          <t>2026-05</t>
        </is>
      </c>
      <c r="H5" s="2" t="n">
        <v>2026</v>
      </c>
      <c r="I5" s="2" t="inlineStr">
        <is>
          <t>Facture mai Aissata.pdf</t>
        </is>
      </c>
      <c r="J5" s="2" t="inlineStr">
        <is>
          <t>lot6c_menages_externes.py — 20260609_170942</t>
        </is>
      </c>
      <c r="K5" s="2" t="inlineStr">
        <is>
          <t>INT_0004</t>
        </is>
      </c>
      <c r="L5" s="2" t="inlineStr">
        <is>
          <t>Aissata</t>
        </is>
      </c>
      <c r="M5" s="2" t="inlineStr">
        <is>
          <t>EXTERNE</t>
        </is>
      </c>
      <c r="N5" s="2" t="inlineStr">
        <is>
          <t>FRANCHISE_TVA</t>
        </is>
      </c>
      <c r="O5" s="2" t="inlineStr">
        <is>
          <t>LOG_0011</t>
        </is>
      </c>
      <c r="P5" s="2" t="inlineStr">
        <is>
          <t>PROP_0008</t>
        </is>
      </c>
      <c r="Q5" s="2" t="n">
        <v>480139</v>
      </c>
      <c r="R5" s="2" t="inlineStr">
        <is>
          <t>T3 310 muret (David)</t>
        </is>
      </c>
      <c r="S5" s="2" t="inlineStr">
        <is>
          <t>TLM_001</t>
        </is>
      </c>
      <c r="T5" s="2" t="n">
        <v>8</v>
      </c>
      <c r="U5" s="2" t="inlineStr">
        <is>
          <t>NON</t>
        </is>
      </c>
      <c r="V5" s="2" t="n">
        <v>440</v>
      </c>
      <c r="W5" s="2" t="n">
        <v>0</v>
      </c>
      <c r="X5" s="2" t="n">
        <v>0</v>
      </c>
      <c r="Y5" s="2" t="n">
        <v>440</v>
      </c>
      <c r="Z5" s="2" t="n">
        <v>1439</v>
      </c>
      <c r="AA5" s="2" t="n">
        <v>1439</v>
      </c>
      <c r="AB5" s="2" t="n">
        <v>1439</v>
      </c>
      <c r="AC5" s="2" t="n">
        <v>0</v>
      </c>
      <c r="AD5" s="2" t="n">
        <v>1439</v>
      </c>
      <c r="AE5" s="2" t="n">
        <v>0</v>
      </c>
      <c r="AF5" s="2" t="inlineStr">
        <is>
          <t>VIREMENT</t>
        </is>
      </c>
      <c r="AG5" s="2" t="n"/>
      <c r="AH5" s="2" t="inlineStr">
        <is>
          <t>IC</t>
        </is>
      </c>
      <c r="AI5" s="2" t="inlineStr">
        <is>
          <t>OUI</t>
        </is>
      </c>
      <c r="AJ5" s="2" t="inlineStr">
        <is>
          <t>OUI</t>
        </is>
      </c>
      <c r="AK5" s="2" t="inlineStr">
        <is>
          <t>OUI</t>
        </is>
      </c>
      <c r="AL5" s="2" t="inlineStr">
        <is>
          <t>TYPE_FLUX_014</t>
        </is>
      </c>
      <c r="AM5" s="2" t="inlineStr">
        <is>
          <t>CHARGE</t>
        </is>
      </c>
      <c r="AN5" s="2" t="n"/>
      <c r="AO5" s="2" t="inlineStr">
        <is>
          <t>NON</t>
        </is>
      </c>
      <c r="AP5" s="6" t="inlineStr">
        <is>
          <t>A_CONTROLER</t>
        </is>
      </c>
      <c r="AQ5" s="2" t="inlineStr">
        <is>
          <t>A_CONTROLER</t>
        </is>
      </c>
      <c r="AR5" s="2" t="inlineStr">
        <is>
          <t>MENAGE_EXTERNE_DATE_ABSENTE</t>
        </is>
      </c>
      <c r="AS5" s="2" t="inlineStr">
        <is>
          <t>Ligne 4 fac.2026-37 — 8 passages mai 2026, date absente</t>
        </is>
      </c>
      <c r="AT5" s="2" t="inlineStr">
        <is>
          <t>MENAGES_EXTERNES</t>
        </is>
      </c>
      <c r="AU5" s="2" t="inlineStr">
        <is>
          <t>MASTER_FACT_MEN_MenagesExternes.SOURCE_RAW</t>
        </is>
      </c>
      <c r="AV5" s="2" t="inlineStr">
        <is>
          <t>MENEXT-2026-05-AISSATA-004</t>
        </is>
      </c>
      <c r="AW5" s="2" t="inlineStr">
        <is>
          <t>2026-06-09T17:09:43.386735</t>
        </is>
      </c>
    </row>
    <row r="6">
      <c r="A6" s="2" t="inlineStr">
        <is>
          <t>MENEXT-2026-05-AISSATA-005</t>
        </is>
      </c>
      <c r="B6" s="2" t="inlineStr">
        <is>
          <t>55407f67703179a3</t>
        </is>
      </c>
      <c r="C6" s="2" t="inlineStr">
        <is>
          <t>FAC-2026-05-AISSATA-001</t>
        </is>
      </c>
      <c r="D6" s="3" t="n">
        <v>46173</v>
      </c>
      <c r="E6" s="2" t="n"/>
      <c r="F6" s="2" t="inlineStr">
        <is>
          <t>MOIS_FACTURE</t>
        </is>
      </c>
      <c r="G6" s="2" t="inlineStr">
        <is>
          <t>2026-05</t>
        </is>
      </c>
      <c r="H6" s="2" t="n">
        <v>2026</v>
      </c>
      <c r="I6" s="2" t="inlineStr">
        <is>
          <t>Facture mai Aissata.pdf</t>
        </is>
      </c>
      <c r="J6" s="2" t="inlineStr">
        <is>
          <t>lot6c_menages_externes.py — 20260609_170942</t>
        </is>
      </c>
      <c r="K6" s="2" t="inlineStr">
        <is>
          <t>INT_0004</t>
        </is>
      </c>
      <c r="L6" s="2" t="inlineStr">
        <is>
          <t>Aissata</t>
        </is>
      </c>
      <c r="M6" s="2" t="inlineStr">
        <is>
          <t>EXTERNE</t>
        </is>
      </c>
      <c r="N6" s="2" t="inlineStr">
        <is>
          <t>FRANCHISE_TVA</t>
        </is>
      </c>
      <c r="O6" s="2" t="inlineStr">
        <is>
          <t>LOG_0010</t>
        </is>
      </c>
      <c r="P6" s="2" t="inlineStr">
        <is>
          <t>PROP_0005</t>
        </is>
      </c>
      <c r="Q6" s="2" t="n">
        <v>480142</v>
      </c>
      <c r="R6" s="2" t="inlineStr">
        <is>
          <t>studio st Pierre (Florane)</t>
        </is>
      </c>
      <c r="S6" s="2" t="inlineStr">
        <is>
          <t>TLM_001</t>
        </is>
      </c>
      <c r="T6" s="2" t="n">
        <v>2</v>
      </c>
      <c r="U6" s="2" t="inlineStr">
        <is>
          <t>NON</t>
        </is>
      </c>
      <c r="V6" s="2" t="n">
        <v>58</v>
      </c>
      <c r="W6" s="2" t="n">
        <v>0</v>
      </c>
      <c r="X6" s="2" t="n">
        <v>0</v>
      </c>
      <c r="Y6" s="2" t="n">
        <v>58</v>
      </c>
      <c r="Z6" s="2" t="n">
        <v>1439</v>
      </c>
      <c r="AA6" s="2" t="n">
        <v>1439</v>
      </c>
      <c r="AB6" s="2" t="n">
        <v>1439</v>
      </c>
      <c r="AC6" s="2" t="n">
        <v>0</v>
      </c>
      <c r="AD6" s="2" t="n">
        <v>1439</v>
      </c>
      <c r="AE6" s="2" t="n">
        <v>0</v>
      </c>
      <c r="AF6" s="2" t="inlineStr">
        <is>
          <t>VIREMENT</t>
        </is>
      </c>
      <c r="AG6" s="2" t="n"/>
      <c r="AH6" s="2" t="inlineStr">
        <is>
          <t>IC</t>
        </is>
      </c>
      <c r="AI6" s="2" t="inlineStr">
        <is>
          <t>OUI</t>
        </is>
      </c>
      <c r="AJ6" s="2" t="inlineStr">
        <is>
          <t>OUI</t>
        </is>
      </c>
      <c r="AK6" s="2" t="inlineStr">
        <is>
          <t>OUI</t>
        </is>
      </c>
      <c r="AL6" s="2" t="inlineStr">
        <is>
          <t>TYPE_FLUX_014</t>
        </is>
      </c>
      <c r="AM6" s="2" t="inlineStr">
        <is>
          <t>CHARGE</t>
        </is>
      </c>
      <c r="AN6" s="2" t="n"/>
      <c r="AO6" s="2" t="inlineStr">
        <is>
          <t>NON</t>
        </is>
      </c>
      <c r="AP6" s="6" t="inlineStr">
        <is>
          <t>A_CONTROLER</t>
        </is>
      </c>
      <c r="AQ6" s="2" t="inlineStr">
        <is>
          <t>A_CONTROLER</t>
        </is>
      </c>
      <c r="AR6" s="2" t="inlineStr">
        <is>
          <t>MENAGE_EXTERNE_DATE_ABSENTE</t>
        </is>
      </c>
      <c r="AS6" s="2" t="inlineStr">
        <is>
          <t>Ligne 5 fac.2026-37 — 2 passages mai 2026, date absente</t>
        </is>
      </c>
      <c r="AT6" s="2" t="inlineStr">
        <is>
          <t>MENAGES_EXTERNES</t>
        </is>
      </c>
      <c r="AU6" s="2" t="inlineStr">
        <is>
          <t>MASTER_FACT_MEN_MenagesExternes.SOURCE_RAW</t>
        </is>
      </c>
      <c r="AV6" s="2" t="inlineStr">
        <is>
          <t>MENEXT-2026-05-AISSATA-005</t>
        </is>
      </c>
      <c r="AW6" s="2" t="inlineStr">
        <is>
          <t>2026-06-09T17:09:43.386735</t>
        </is>
      </c>
    </row>
    <row r="7">
      <c r="A7" s="2" t="inlineStr">
        <is>
          <t>MENEXT-2026-05-AISSATA-006</t>
        </is>
      </c>
      <c r="B7" s="2" t="inlineStr">
        <is>
          <t>155cc9414bbc04fa</t>
        </is>
      </c>
      <c r="C7" s="2" t="inlineStr">
        <is>
          <t>FAC-2026-05-AISSATA-001</t>
        </is>
      </c>
      <c r="D7" s="3" t="n">
        <v>46173</v>
      </c>
      <c r="E7" s="2" t="n"/>
      <c r="F7" s="2" t="inlineStr">
        <is>
          <t>MOIS_FACTURE</t>
        </is>
      </c>
      <c r="G7" s="2" t="inlineStr">
        <is>
          <t>2026-05</t>
        </is>
      </c>
      <c r="H7" s="2" t="n">
        <v>2026</v>
      </c>
      <c r="I7" s="2" t="inlineStr">
        <is>
          <t>Facture mai Aissata.pdf</t>
        </is>
      </c>
      <c r="J7" s="2" t="inlineStr">
        <is>
          <t>lot6c_menages_externes.py — 20260609_170942</t>
        </is>
      </c>
      <c r="K7" s="2" t="inlineStr">
        <is>
          <t>INT_0004</t>
        </is>
      </c>
      <c r="L7" s="2" t="inlineStr">
        <is>
          <t>Aissata</t>
        </is>
      </c>
      <c r="M7" s="2" t="inlineStr">
        <is>
          <t>EXTERNE</t>
        </is>
      </c>
      <c r="N7" s="2" t="inlineStr">
        <is>
          <t>FRANCHISE_TVA</t>
        </is>
      </c>
      <c r="O7" s="2" t="inlineStr">
        <is>
          <t>LOG_0007</t>
        </is>
      </c>
      <c r="P7" s="2" t="inlineStr">
        <is>
          <t>PROP_0007</t>
        </is>
      </c>
      <c r="Q7" s="2" t="n">
        <v>491496</v>
      </c>
      <c r="R7" s="2" t="inlineStr">
        <is>
          <t>T2 9 rue du Toul</t>
        </is>
      </c>
      <c r="S7" s="2" t="inlineStr">
        <is>
          <t>TLM_001</t>
        </is>
      </c>
      <c r="T7" s="2" t="n">
        <v>8</v>
      </c>
      <c r="U7" s="2" t="inlineStr">
        <is>
          <t>NON</t>
        </is>
      </c>
      <c r="V7" s="2" t="n">
        <v>312</v>
      </c>
      <c r="W7" s="2" t="n">
        <v>0</v>
      </c>
      <c r="X7" s="2" t="n">
        <v>0</v>
      </c>
      <c r="Y7" s="2" t="n">
        <v>312</v>
      </c>
      <c r="Z7" s="2" t="n">
        <v>1439</v>
      </c>
      <c r="AA7" s="2" t="n">
        <v>1439</v>
      </c>
      <c r="AB7" s="2" t="n">
        <v>1439</v>
      </c>
      <c r="AC7" s="2" t="n">
        <v>0</v>
      </c>
      <c r="AD7" s="2" t="n">
        <v>1439</v>
      </c>
      <c r="AE7" s="2" t="n">
        <v>0</v>
      </c>
      <c r="AF7" s="2" t="inlineStr">
        <is>
          <t>VIREMENT</t>
        </is>
      </c>
      <c r="AG7" s="2" t="n"/>
      <c r="AH7" s="2" t="inlineStr">
        <is>
          <t>IC</t>
        </is>
      </c>
      <c r="AI7" s="2" t="inlineStr">
        <is>
          <t>OUI</t>
        </is>
      </c>
      <c r="AJ7" s="2" t="inlineStr">
        <is>
          <t>OUI</t>
        </is>
      </c>
      <c r="AK7" s="2" t="inlineStr">
        <is>
          <t>OUI</t>
        </is>
      </c>
      <c r="AL7" s="2" t="inlineStr">
        <is>
          <t>TYPE_FLUX_014</t>
        </is>
      </c>
      <c r="AM7" s="2" t="inlineStr">
        <is>
          <t>CHARGE</t>
        </is>
      </c>
      <c r="AN7" s="2" t="n"/>
      <c r="AO7" s="2" t="inlineStr">
        <is>
          <t>NON</t>
        </is>
      </c>
      <c r="AP7" s="6" t="inlineStr">
        <is>
          <t>A_CONTROLER</t>
        </is>
      </c>
      <c r="AQ7" s="2" t="inlineStr">
        <is>
          <t>A_CONTROLER</t>
        </is>
      </c>
      <c r="AR7" s="2" t="inlineStr">
        <is>
          <t>MENAGE_EXTERNE_DATE_ABSENTE</t>
        </is>
      </c>
      <c r="AS7" s="2" t="inlineStr">
        <is>
          <t>Ligne 6 fac.2026-37 — 8 passages mai 2026, date absente</t>
        </is>
      </c>
      <c r="AT7" s="2" t="inlineStr">
        <is>
          <t>MENAGES_EXTERNES</t>
        </is>
      </c>
      <c r="AU7" s="2" t="inlineStr">
        <is>
          <t>MASTER_FACT_MEN_MenagesExternes.SOURCE_RAW</t>
        </is>
      </c>
      <c r="AV7" s="2" t="inlineStr">
        <is>
          <t>MENEXT-2026-05-AISSATA-006</t>
        </is>
      </c>
      <c r="AW7" s="2" t="inlineStr">
        <is>
          <t>2026-06-09T17:09:43.386735</t>
        </is>
      </c>
    </row>
    <row r="8">
      <c r="A8" s="2" t="inlineStr">
        <is>
          <t>MENEXT-2026-05-AISSATA-007</t>
        </is>
      </c>
      <c r="B8" s="2" t="inlineStr">
        <is>
          <t>50b0e9564cac93a3</t>
        </is>
      </c>
      <c r="C8" s="2" t="inlineStr">
        <is>
          <t>FAC-2026-05-AISSATA-001</t>
        </is>
      </c>
      <c r="D8" s="3" t="n">
        <v>46173</v>
      </c>
      <c r="E8" s="3" t="n">
        <v>46165</v>
      </c>
      <c r="F8" s="2" t="inlineStr">
        <is>
          <t>DATE_PRECISE</t>
        </is>
      </c>
      <c r="G8" s="2" t="inlineStr">
        <is>
          <t>2026-05</t>
        </is>
      </c>
      <c r="H8" s="2" t="n">
        <v>2026</v>
      </c>
      <c r="I8" s="2" t="inlineStr">
        <is>
          <t>Facture mai Aissata.pdf</t>
        </is>
      </c>
      <c r="J8" s="2" t="inlineStr">
        <is>
          <t>lot6c_menages_externes.py — 20260609_170942</t>
        </is>
      </c>
      <c r="K8" s="2" t="inlineStr">
        <is>
          <t>INT_0004</t>
        </is>
      </c>
      <c r="L8" s="2" t="inlineStr">
        <is>
          <t>Aissata</t>
        </is>
      </c>
      <c r="M8" s="2" t="inlineStr">
        <is>
          <t>EXTERNE</t>
        </is>
      </c>
      <c r="N8" s="2" t="inlineStr">
        <is>
          <t>FRANCHISE_TVA</t>
        </is>
      </c>
      <c r="O8" s="2" t="inlineStr">
        <is>
          <t>LOG_0009</t>
        </is>
      </c>
      <c r="P8" s="2" t="inlineStr">
        <is>
          <t>PROP_0003</t>
        </is>
      </c>
      <c r="Q8" s="2" t="n">
        <v>556954</v>
      </c>
      <c r="R8" s="2" t="inlineStr">
        <is>
          <t>T3 4 rue engalières</t>
        </is>
      </c>
      <c r="S8" s="2" t="inlineStr">
        <is>
          <t>TLM_001</t>
        </is>
      </c>
      <c r="T8" s="2" t="n">
        <v>1</v>
      </c>
      <c r="U8" s="2" t="inlineStr">
        <is>
          <t>NON</t>
        </is>
      </c>
      <c r="V8" s="2" t="n">
        <v>55</v>
      </c>
      <c r="W8" s="2" t="n">
        <v>0</v>
      </c>
      <c r="X8" s="2" t="n">
        <v>0</v>
      </c>
      <c r="Y8" s="2" t="n">
        <v>55</v>
      </c>
      <c r="Z8" s="2" t="n">
        <v>1439</v>
      </c>
      <c r="AA8" s="2" t="n">
        <v>1439</v>
      </c>
      <c r="AB8" s="2" t="n">
        <v>1439</v>
      </c>
      <c r="AC8" s="2" t="n">
        <v>0</v>
      </c>
      <c r="AD8" s="2" t="n">
        <v>1439</v>
      </c>
      <c r="AE8" s="2" t="n">
        <v>0</v>
      </c>
      <c r="AF8" s="2" t="inlineStr">
        <is>
          <t>VIREMENT</t>
        </is>
      </c>
      <c r="AG8" s="2" t="n"/>
      <c r="AH8" s="2" t="inlineStr">
        <is>
          <t>IC</t>
        </is>
      </c>
      <c r="AI8" s="2" t="inlineStr">
        <is>
          <t>OUI</t>
        </is>
      </c>
      <c r="AJ8" s="2" t="inlineStr">
        <is>
          <t>OUI</t>
        </is>
      </c>
      <c r="AK8" s="2" t="inlineStr">
        <is>
          <t>OUI</t>
        </is>
      </c>
      <c r="AL8" s="2" t="inlineStr">
        <is>
          <t>TYPE_FLUX_014</t>
        </is>
      </c>
      <c r="AM8" s="2" t="inlineStr">
        <is>
          <t>CHARGE</t>
        </is>
      </c>
      <c r="AN8" s="2" t="n"/>
      <c r="AO8" s="2" t="inlineStr">
        <is>
          <t>NON</t>
        </is>
      </c>
      <c r="AP8" s="5" t="inlineStr">
        <is>
          <t>VALIDE</t>
        </is>
      </c>
      <c r="AQ8" s="2" t="inlineStr">
        <is>
          <t>INFO</t>
        </is>
      </c>
      <c r="AR8" s="2" t="inlineStr"/>
      <c r="AS8" s="2" t="inlineStr">
        <is>
          <t>Ligne 7 fac.2026-37 — date précise sur facture</t>
        </is>
      </c>
      <c r="AT8" s="2" t="inlineStr">
        <is>
          <t>MENAGES_EXTERNES</t>
        </is>
      </c>
      <c r="AU8" s="2" t="inlineStr">
        <is>
          <t>MASTER_FACT_MEN_MenagesExternes.SOURCE_RAW</t>
        </is>
      </c>
      <c r="AV8" s="2" t="inlineStr">
        <is>
          <t>MENEXT-2026-05-AISSATA-007</t>
        </is>
      </c>
      <c r="AW8" s="2" t="inlineStr">
        <is>
          <t>2026-06-09T17:09:43.386735</t>
        </is>
      </c>
    </row>
    <row r="9">
      <c r="A9" s="2" t="inlineStr">
        <is>
          <t>MENEXT-2026-05-AISSATA-008</t>
        </is>
      </c>
      <c r="B9" s="2" t="inlineStr">
        <is>
          <t>08bd1f15a518a353</t>
        </is>
      </c>
      <c r="C9" s="2" t="inlineStr">
        <is>
          <t>FAC-2026-05-AISSATA-001</t>
        </is>
      </c>
      <c r="D9" s="3" t="n">
        <v>46173</v>
      </c>
      <c r="E9" s="3" t="n">
        <v>46145</v>
      </c>
      <c r="F9" s="2" t="inlineStr">
        <is>
          <t>DATE_PRECISE</t>
        </is>
      </c>
      <c r="G9" s="2" t="inlineStr">
        <is>
          <t>2026-05</t>
        </is>
      </c>
      <c r="H9" s="2" t="n">
        <v>2026</v>
      </c>
      <c r="I9" s="2" t="inlineStr">
        <is>
          <t>Facture mai Aissata.pdf</t>
        </is>
      </c>
      <c r="J9" s="2" t="inlineStr">
        <is>
          <t>lot6c_menages_externes.py — 20260609_170942</t>
        </is>
      </c>
      <c r="K9" s="2" t="inlineStr">
        <is>
          <t>INT_0004</t>
        </is>
      </c>
      <c r="L9" s="2" t="inlineStr">
        <is>
          <t>Aissata</t>
        </is>
      </c>
      <c r="M9" s="2" t="inlineStr">
        <is>
          <t>EXTERNE</t>
        </is>
      </c>
      <c r="N9" s="2" t="inlineStr">
        <is>
          <t>FRANCHISE_TVA</t>
        </is>
      </c>
      <c r="O9" s="2" t="inlineStr">
        <is>
          <t>LOG_0016</t>
        </is>
      </c>
      <c r="P9" s="2" t="inlineStr">
        <is>
          <t>PROP_0012</t>
        </is>
      </c>
      <c r="Q9" s="2" t="n">
        <v>515523</v>
      </c>
      <c r="R9" s="2" t="inlineStr">
        <is>
          <t>T3 20 rue l'Amiral Galache</t>
        </is>
      </c>
      <c r="S9" s="2" t="inlineStr">
        <is>
          <t>TLM_001</t>
        </is>
      </c>
      <c r="T9" s="2" t="n">
        <v>1</v>
      </c>
      <c r="U9" s="2" t="inlineStr">
        <is>
          <t>NON</t>
        </is>
      </c>
      <c r="V9" s="2" t="n">
        <v>55</v>
      </c>
      <c r="W9" s="2" t="n">
        <v>0</v>
      </c>
      <c r="X9" s="2" t="n">
        <v>0</v>
      </c>
      <c r="Y9" s="2" t="n">
        <v>55</v>
      </c>
      <c r="Z9" s="2" t="n">
        <v>1439</v>
      </c>
      <c r="AA9" s="2" t="n">
        <v>1439</v>
      </c>
      <c r="AB9" s="2" t="n">
        <v>1439</v>
      </c>
      <c r="AC9" s="2" t="n">
        <v>0</v>
      </c>
      <c r="AD9" s="2" t="n">
        <v>1439</v>
      </c>
      <c r="AE9" s="2" t="n">
        <v>0</v>
      </c>
      <c r="AF9" s="2" t="inlineStr">
        <is>
          <t>VIREMENT</t>
        </is>
      </c>
      <c r="AG9" s="2" t="n"/>
      <c r="AH9" s="2" t="inlineStr">
        <is>
          <t>IC</t>
        </is>
      </c>
      <c r="AI9" s="2" t="inlineStr">
        <is>
          <t>OUI</t>
        </is>
      </c>
      <c r="AJ9" s="2" t="inlineStr">
        <is>
          <t>OUI</t>
        </is>
      </c>
      <c r="AK9" s="2" t="inlineStr">
        <is>
          <t>OUI</t>
        </is>
      </c>
      <c r="AL9" s="2" t="inlineStr">
        <is>
          <t>TYPE_FLUX_014</t>
        </is>
      </c>
      <c r="AM9" s="2" t="inlineStr">
        <is>
          <t>CHARGE</t>
        </is>
      </c>
      <c r="AN9" s="2" t="n"/>
      <c r="AO9" s="2" t="inlineStr">
        <is>
          <t>NON</t>
        </is>
      </c>
      <c r="AP9" s="5" t="inlineStr">
        <is>
          <t>VALIDE</t>
        </is>
      </c>
      <c r="AQ9" s="2" t="inlineStr">
        <is>
          <t>INFO</t>
        </is>
      </c>
      <c r="AR9" s="2" t="inlineStr"/>
      <c r="AS9" s="2" t="inlineStr">
        <is>
          <t>Ligne 8a — splittée (2 dates). Facture: T3, REF: T2 (LOG_0016). Prix 55€ tarif T3 Aissata.</t>
        </is>
      </c>
      <c r="AT9" s="2" t="inlineStr">
        <is>
          <t>MENAGES_EXTERNES</t>
        </is>
      </c>
      <c r="AU9" s="2" t="inlineStr">
        <is>
          <t>MASTER_FACT_MEN_MenagesExternes.SOURCE_RAW</t>
        </is>
      </c>
      <c r="AV9" s="2" t="inlineStr">
        <is>
          <t>MENEXT-2026-05-AISSATA-008</t>
        </is>
      </c>
      <c r="AW9" s="2" t="inlineStr">
        <is>
          <t>2026-06-09T17:09:43.386735</t>
        </is>
      </c>
    </row>
    <row r="10">
      <c r="A10" s="2" t="inlineStr">
        <is>
          <t>MENEXT-2026-05-AISSATA-009</t>
        </is>
      </c>
      <c r="B10" s="2" t="inlineStr">
        <is>
          <t>9eebf25b348dcc7b</t>
        </is>
      </c>
      <c r="C10" s="2" t="inlineStr">
        <is>
          <t>FAC-2026-05-AISSATA-001</t>
        </is>
      </c>
      <c r="D10" s="3" t="n">
        <v>46173</v>
      </c>
      <c r="E10" s="3" t="n">
        <v>46152</v>
      </c>
      <c r="F10" s="2" t="inlineStr">
        <is>
          <t>DATE_PRECISE</t>
        </is>
      </c>
      <c r="G10" s="2" t="inlineStr">
        <is>
          <t>2026-05</t>
        </is>
      </c>
      <c r="H10" s="2" t="n">
        <v>2026</v>
      </c>
      <c r="I10" s="2" t="inlineStr">
        <is>
          <t>Facture mai Aissata.pdf</t>
        </is>
      </c>
      <c r="J10" s="2" t="inlineStr">
        <is>
          <t>lot6c_menages_externes.py — 20260609_170942</t>
        </is>
      </c>
      <c r="K10" s="2" t="inlineStr">
        <is>
          <t>INT_0004</t>
        </is>
      </c>
      <c r="L10" s="2" t="inlineStr">
        <is>
          <t>Aissata</t>
        </is>
      </c>
      <c r="M10" s="2" t="inlineStr">
        <is>
          <t>EXTERNE</t>
        </is>
      </c>
      <c r="N10" s="2" t="inlineStr">
        <is>
          <t>FRANCHISE_TVA</t>
        </is>
      </c>
      <c r="O10" s="2" t="inlineStr">
        <is>
          <t>LOG_0016</t>
        </is>
      </c>
      <c r="P10" s="2" t="inlineStr">
        <is>
          <t>PROP_0012</t>
        </is>
      </c>
      <c r="Q10" s="2" t="n">
        <v>515523</v>
      </c>
      <c r="R10" s="2" t="inlineStr">
        <is>
          <t>T3 20 rue l'Amiral Galache</t>
        </is>
      </c>
      <c r="S10" s="2" t="inlineStr">
        <is>
          <t>TLM_001</t>
        </is>
      </c>
      <c r="T10" s="2" t="n">
        <v>1</v>
      </c>
      <c r="U10" s="2" t="inlineStr">
        <is>
          <t>NON</t>
        </is>
      </c>
      <c r="V10" s="2" t="n">
        <v>55</v>
      </c>
      <c r="W10" s="2" t="n">
        <v>0</v>
      </c>
      <c r="X10" s="2" t="n">
        <v>0</v>
      </c>
      <c r="Y10" s="2" t="n">
        <v>55</v>
      </c>
      <c r="Z10" s="2" t="n">
        <v>1439</v>
      </c>
      <c r="AA10" s="2" t="n">
        <v>1439</v>
      </c>
      <c r="AB10" s="2" t="n">
        <v>1439</v>
      </c>
      <c r="AC10" s="2" t="n">
        <v>0</v>
      </c>
      <c r="AD10" s="2" t="n">
        <v>1439</v>
      </c>
      <c r="AE10" s="2" t="n">
        <v>0</v>
      </c>
      <c r="AF10" s="2" t="inlineStr">
        <is>
          <t>VIREMENT</t>
        </is>
      </c>
      <c r="AG10" s="2" t="n"/>
      <c r="AH10" s="2" t="inlineStr">
        <is>
          <t>IC</t>
        </is>
      </c>
      <c r="AI10" s="2" t="inlineStr">
        <is>
          <t>OUI</t>
        </is>
      </c>
      <c r="AJ10" s="2" t="inlineStr">
        <is>
          <t>OUI</t>
        </is>
      </c>
      <c r="AK10" s="2" t="inlineStr">
        <is>
          <t>OUI</t>
        </is>
      </c>
      <c r="AL10" s="2" t="inlineStr">
        <is>
          <t>TYPE_FLUX_014</t>
        </is>
      </c>
      <c r="AM10" s="2" t="inlineStr">
        <is>
          <t>CHARGE</t>
        </is>
      </c>
      <c r="AN10" s="2" t="n"/>
      <c r="AO10" s="2" t="inlineStr">
        <is>
          <t>NON</t>
        </is>
      </c>
      <c r="AP10" s="5" t="inlineStr">
        <is>
          <t>VALIDE</t>
        </is>
      </c>
      <c r="AQ10" s="2" t="inlineStr">
        <is>
          <t>INFO</t>
        </is>
      </c>
      <c r="AR10" s="2" t="inlineStr"/>
      <c r="AS10" s="2" t="inlineStr">
        <is>
          <t>Ligne 8b — splittée (2 dates). Facture: T3, REF: T2 (LOG_0016). Prix 55€ tarif T3 Aissata.</t>
        </is>
      </c>
      <c r="AT10" s="2" t="inlineStr">
        <is>
          <t>MENAGES_EXTERNES</t>
        </is>
      </c>
      <c r="AU10" s="2" t="inlineStr">
        <is>
          <t>MASTER_FACT_MEN_MenagesExternes.SOURCE_RAW</t>
        </is>
      </c>
      <c r="AV10" s="2" t="inlineStr">
        <is>
          <t>MENEXT-2026-05-AISSATA-009</t>
        </is>
      </c>
      <c r="AW10" s="2" t="inlineStr">
        <is>
          <t>2026-06-09T17:09:43.386735</t>
        </is>
      </c>
    </row>
    <row r="11">
      <c r="A11" s="2" t="inlineStr">
        <is>
          <t>MENEXT-2026-05-MOUNIR-001</t>
        </is>
      </c>
      <c r="B11" s="2" t="inlineStr">
        <is>
          <t>0c5aacd684a07bdf</t>
        </is>
      </c>
      <c r="C11" s="2" t="inlineStr">
        <is>
          <t>FAC-2026-05-MOUNIR-001</t>
        </is>
      </c>
      <c r="D11" s="3" t="n">
        <v>46173</v>
      </c>
      <c r="E11" s="2" t="n"/>
      <c r="F11" s="2" t="inlineStr">
        <is>
          <t>MOIS_FACTURE</t>
        </is>
      </c>
      <c r="G11" s="2" t="inlineStr">
        <is>
          <t>2026-05</t>
        </is>
      </c>
      <c r="H11" s="2" t="n">
        <v>2026</v>
      </c>
      <c r="I11" s="2" t="inlineStr">
        <is>
          <t>Facture mai Mounir.pdf</t>
        </is>
      </c>
      <c r="J11" s="2" t="inlineStr">
        <is>
          <t>lot6c_menages_externes.py — 20260609_170942</t>
        </is>
      </c>
      <c r="K11" s="2" t="inlineStr">
        <is>
          <t>INT_0003</t>
        </is>
      </c>
      <c r="L11" s="2" t="inlineStr">
        <is>
          <t>Mounir</t>
        </is>
      </c>
      <c r="M11" s="2" t="inlineStr">
        <is>
          <t>EXTERNE</t>
        </is>
      </c>
      <c r="N11" s="2" t="inlineStr">
        <is>
          <t>FRANCHISE_TVA</t>
        </is>
      </c>
      <c r="O11" s="2" t="inlineStr">
        <is>
          <t>LOG_0002</t>
        </is>
      </c>
      <c r="P11" s="2" t="inlineStr">
        <is>
          <t>PROP_0002</t>
        </is>
      </c>
      <c r="Q11" s="2" t="n">
        <v>481903</v>
      </c>
      <c r="R11" s="2" t="inlineStr">
        <is>
          <t>T.4-90 Blagnac (Cédrine)</t>
        </is>
      </c>
      <c r="S11" s="2" t="inlineStr">
        <is>
          <t>TLM_001</t>
        </is>
      </c>
      <c r="T11" s="2" t="n">
        <v>6</v>
      </c>
      <c r="U11" s="2" t="inlineStr">
        <is>
          <t>NON</t>
        </is>
      </c>
      <c r="V11" s="2" t="n">
        <v>390</v>
      </c>
      <c r="W11" s="2" t="n">
        <v>0</v>
      </c>
      <c r="X11" s="2" t="n">
        <v>0</v>
      </c>
      <c r="Y11" s="2" t="n">
        <v>390</v>
      </c>
      <c r="Z11" s="2" t="n">
        <v>942</v>
      </c>
      <c r="AA11" s="2" t="n">
        <v>942</v>
      </c>
      <c r="AB11" s="2" t="n">
        <v>942</v>
      </c>
      <c r="AC11" s="2" t="n">
        <v>0</v>
      </c>
      <c r="AD11" s="2" t="n">
        <v>942</v>
      </c>
      <c r="AE11" s="2" t="n">
        <v>0</v>
      </c>
      <c r="AF11" s="2" t="inlineStr">
        <is>
          <t>A_CONTROLER</t>
        </is>
      </c>
      <c r="AG11" s="2" t="n"/>
      <c r="AH11" s="2" t="inlineStr">
        <is>
          <t>IC</t>
        </is>
      </c>
      <c r="AI11" s="2" t="inlineStr">
        <is>
          <t>OUI</t>
        </is>
      </c>
      <c r="AJ11" s="2" t="inlineStr">
        <is>
          <t>OUI</t>
        </is>
      </c>
      <c r="AK11" s="2" t="inlineStr">
        <is>
          <t>OUI</t>
        </is>
      </c>
      <c r="AL11" s="2" t="inlineStr">
        <is>
          <t>TYPE_FLUX_014</t>
        </is>
      </c>
      <c r="AM11" s="2" t="inlineStr">
        <is>
          <t>CHARGE</t>
        </is>
      </c>
      <c r="AN11" s="2" t="n"/>
      <c r="AO11" s="2" t="inlineStr">
        <is>
          <t>NON</t>
        </is>
      </c>
      <c r="AP11" s="6" t="inlineStr">
        <is>
          <t>A_CONTROLER</t>
        </is>
      </c>
      <c r="AQ11" s="2" t="inlineStr">
        <is>
          <t>A_CONTROLER</t>
        </is>
      </c>
      <c r="AR11" s="2" t="inlineStr">
        <is>
          <t>MENAGE_EXTERNE_DATE_ABSENTE</t>
        </is>
      </c>
      <c r="AS11" s="2" t="inlineStr">
        <is>
          <t>Ligne 1 fac.0003 — 6 ménages mai 2026, date absente</t>
        </is>
      </c>
      <c r="AT11" s="2" t="inlineStr">
        <is>
          <t>MENAGES_EXTERNES</t>
        </is>
      </c>
      <c r="AU11" s="2" t="inlineStr">
        <is>
          <t>MASTER_FACT_MEN_MenagesExternes.SOURCE_RAW</t>
        </is>
      </c>
      <c r="AV11" s="2" t="inlineStr">
        <is>
          <t>MENEXT-2026-05-MOUNIR-001</t>
        </is>
      </c>
      <c r="AW11" s="2" t="inlineStr">
        <is>
          <t>2026-06-09T17:09:43.386735</t>
        </is>
      </c>
    </row>
    <row r="12">
      <c r="A12" s="2" t="inlineStr">
        <is>
          <t>MENEXT-2026-05-MOUNIR-002</t>
        </is>
      </c>
      <c r="B12" s="2" t="inlineStr">
        <is>
          <t>49338b5790100f38</t>
        </is>
      </c>
      <c r="C12" s="2" t="inlineStr">
        <is>
          <t>FAC-2026-05-MOUNIR-001</t>
        </is>
      </c>
      <c r="D12" s="3" t="n">
        <v>46173</v>
      </c>
      <c r="E12" s="2" t="n"/>
      <c r="F12" s="2" t="inlineStr">
        <is>
          <t>MOIS_FACTURE</t>
        </is>
      </c>
      <c r="G12" s="2" t="inlineStr">
        <is>
          <t>2026-05</t>
        </is>
      </c>
      <c r="H12" s="2" t="n">
        <v>2026</v>
      </c>
      <c r="I12" s="2" t="inlineStr">
        <is>
          <t>Facture mai Mounir.pdf</t>
        </is>
      </c>
      <c r="J12" s="2" t="inlineStr">
        <is>
          <t>lot6c_menages_externes.py — 20260609_170942</t>
        </is>
      </c>
      <c r="K12" s="2" t="inlineStr">
        <is>
          <t>INT_0003</t>
        </is>
      </c>
      <c r="L12" s="2" t="inlineStr">
        <is>
          <t>Mounir</t>
        </is>
      </c>
      <c r="M12" s="2" t="inlineStr">
        <is>
          <t>EXTERNE</t>
        </is>
      </c>
      <c r="N12" s="2" t="inlineStr">
        <is>
          <t>FRANCHISE_TVA</t>
        </is>
      </c>
      <c r="O12" s="2" t="inlineStr">
        <is>
          <t>LOG_0013</t>
        </is>
      </c>
      <c r="P12" s="2" t="inlineStr">
        <is>
          <t>PROP_0009</t>
        </is>
      </c>
      <c r="Q12" s="2" t="n">
        <v>480137</v>
      </c>
      <c r="R12" s="2" t="inlineStr">
        <is>
          <t>T.3 Sept Deniers (François)</t>
        </is>
      </c>
      <c r="S12" s="2" t="inlineStr">
        <is>
          <t>TLM_001</t>
        </is>
      </c>
      <c r="T12" s="2" t="n">
        <v>10</v>
      </c>
      <c r="U12" s="2" t="inlineStr">
        <is>
          <t>NON</t>
        </is>
      </c>
      <c r="V12" s="2" t="n">
        <v>520</v>
      </c>
      <c r="W12" s="2" t="n">
        <v>0</v>
      </c>
      <c r="X12" s="2" t="n">
        <v>0</v>
      </c>
      <c r="Y12" s="2" t="n">
        <v>520</v>
      </c>
      <c r="Z12" s="2" t="n">
        <v>942</v>
      </c>
      <c r="AA12" s="2" t="n">
        <v>942</v>
      </c>
      <c r="AB12" s="2" t="n">
        <v>942</v>
      </c>
      <c r="AC12" s="2" t="n">
        <v>0</v>
      </c>
      <c r="AD12" s="2" t="n">
        <v>942</v>
      </c>
      <c r="AE12" s="2" t="n">
        <v>0</v>
      </c>
      <c r="AF12" s="2" t="inlineStr">
        <is>
          <t>A_CONTROLER</t>
        </is>
      </c>
      <c r="AG12" s="2" t="n"/>
      <c r="AH12" s="2" t="inlineStr">
        <is>
          <t>IC</t>
        </is>
      </c>
      <c r="AI12" s="2" t="inlineStr">
        <is>
          <t>OUI</t>
        </is>
      </c>
      <c r="AJ12" s="2" t="inlineStr">
        <is>
          <t>OUI</t>
        </is>
      </c>
      <c r="AK12" s="2" t="inlineStr">
        <is>
          <t>OUI</t>
        </is>
      </c>
      <c r="AL12" s="2" t="inlineStr">
        <is>
          <t>TYPE_FLUX_014</t>
        </is>
      </c>
      <c r="AM12" s="2" t="inlineStr">
        <is>
          <t>CHARGE</t>
        </is>
      </c>
      <c r="AN12" s="2" t="n"/>
      <c r="AO12" s="2" t="inlineStr">
        <is>
          <t>NON</t>
        </is>
      </c>
      <c r="AP12" s="6" t="inlineStr">
        <is>
          <t>A_CONTROLER</t>
        </is>
      </c>
      <c r="AQ12" s="2" t="inlineStr">
        <is>
          <t>A_CONTROLER</t>
        </is>
      </c>
      <c r="AR12" s="2" t="inlineStr">
        <is>
          <t>MENAGE_EXTERNE_DATE_ABSENTE</t>
        </is>
      </c>
      <c r="AS12" s="2" t="inlineStr">
        <is>
          <t>Ligne 2 fac.0003 — 10 ménages mai 2026, date absente</t>
        </is>
      </c>
      <c r="AT12" s="2" t="inlineStr">
        <is>
          <t>MENAGES_EXTERNES</t>
        </is>
      </c>
      <c r="AU12" s="2" t="inlineStr">
        <is>
          <t>MASTER_FACT_MEN_MenagesExternes.SOURCE_RAW</t>
        </is>
      </c>
      <c r="AV12" s="2" t="inlineStr">
        <is>
          <t>MENEXT-2026-05-MOUNIR-002</t>
        </is>
      </c>
      <c r="AW12" s="2" t="inlineStr">
        <is>
          <t>2026-06-09T17:09:43.386735</t>
        </is>
      </c>
    </row>
    <row r="13">
      <c r="A13" s="2" t="inlineStr">
        <is>
          <t>MENEXT-2026-05-MOUNIR-003</t>
        </is>
      </c>
      <c r="B13" s="2" t="inlineStr">
        <is>
          <t>48597b1642fcdef3</t>
        </is>
      </c>
      <c r="C13" s="2" t="inlineStr">
        <is>
          <t>FAC-2026-05-MOUNIR-001</t>
        </is>
      </c>
      <c r="D13" s="3" t="n">
        <v>46173</v>
      </c>
      <c r="E13" s="2" t="n"/>
      <c r="F13" s="2" t="inlineStr">
        <is>
          <t>MOIS_FACTURE</t>
        </is>
      </c>
      <c r="G13" s="2" t="inlineStr">
        <is>
          <t>2026-05</t>
        </is>
      </c>
      <c r="H13" s="2" t="n">
        <v>2026</v>
      </c>
      <c r="I13" s="2" t="inlineStr">
        <is>
          <t>Facture mai Mounir.pdf</t>
        </is>
      </c>
      <c r="J13" s="2" t="inlineStr">
        <is>
          <t>lot6c_menages_externes.py — 20260609_170942</t>
        </is>
      </c>
      <c r="K13" s="2" t="inlineStr">
        <is>
          <t>INT_0003</t>
        </is>
      </c>
      <c r="L13" s="2" t="inlineStr">
        <is>
          <t>Mounir</t>
        </is>
      </c>
      <c r="M13" s="2" t="inlineStr">
        <is>
          <t>EXTERNE</t>
        </is>
      </c>
      <c r="N13" s="2" t="inlineStr">
        <is>
          <t>FRANCHISE_TVA</t>
        </is>
      </c>
      <c r="O13" s="2" t="inlineStr">
        <is>
          <t>LOG_0003</t>
        </is>
      </c>
      <c r="P13" s="2" t="inlineStr">
        <is>
          <t>PROP_0003</t>
        </is>
      </c>
      <c r="Q13" s="2" t="n">
        <v>485104</v>
      </c>
      <c r="R13" s="2" t="inlineStr">
        <is>
          <t>T.2-65 (Gabriel)</t>
        </is>
      </c>
      <c r="S13" s="2" t="inlineStr">
        <is>
          <t>TLM_001</t>
        </is>
      </c>
      <c r="T13" s="2" t="n">
        <v>0</v>
      </c>
      <c r="U13" s="2" t="inlineStr">
        <is>
          <t>NON</t>
        </is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942</v>
      </c>
      <c r="AA13" s="2" t="n">
        <v>942</v>
      </c>
      <c r="AB13" s="2" t="n">
        <v>942</v>
      </c>
      <c r="AC13" s="2" t="n">
        <v>0</v>
      </c>
      <c r="AD13" s="2" t="n">
        <v>942</v>
      </c>
      <c r="AE13" s="2" t="n">
        <v>0</v>
      </c>
      <c r="AF13" s="2" t="inlineStr">
        <is>
          <t>A_CONTROLER</t>
        </is>
      </c>
      <c r="AG13" s="2" t="n"/>
      <c r="AH13" s="2" t="inlineStr">
        <is>
          <t>IC</t>
        </is>
      </c>
      <c r="AI13" s="2" t="inlineStr">
        <is>
          <t>OUI</t>
        </is>
      </c>
      <c r="AJ13" s="2" t="inlineStr">
        <is>
          <t>OUI</t>
        </is>
      </c>
      <c r="AK13" s="2" t="inlineStr">
        <is>
          <t>OUI</t>
        </is>
      </c>
      <c r="AL13" s="2" t="inlineStr">
        <is>
          <t>TYPE_FLUX_014</t>
        </is>
      </c>
      <c r="AM13" s="2" t="inlineStr">
        <is>
          <t>CHARGE</t>
        </is>
      </c>
      <c r="AN13" s="2" t="n"/>
      <c r="AO13" s="2" t="inlineStr">
        <is>
          <t>NON</t>
        </is>
      </c>
      <c r="AP13" s="6" t="inlineStr">
        <is>
          <t>A_CONTROLER</t>
        </is>
      </c>
      <c r="AQ13" s="2" t="inlineStr">
        <is>
          <t>A_CONTROLER</t>
        </is>
      </c>
      <c r="AR13" s="2" t="inlineStr">
        <is>
          <t>MENAGE_EXTERNE_DATE_ABSENTE</t>
        </is>
      </c>
      <c r="AS13" s="2" t="inlineStr">
        <is>
          <t>Ligne 3 fac.0003 — 0 ménage, logement inactif depuis 2026-04-26. Présent à 0€. | MENAGE_EXTERNE_MONTANT_NUL | MENAGE_EXTERNE_LOGEMENT_INACTIF</t>
        </is>
      </c>
      <c r="AT13" s="2" t="inlineStr">
        <is>
          <t>MENAGES_EXTERNES</t>
        </is>
      </c>
      <c r="AU13" s="2" t="inlineStr">
        <is>
          <t>MASTER_FACT_MEN_MenagesExternes.SOURCE_RAW</t>
        </is>
      </c>
      <c r="AV13" s="2" t="inlineStr">
        <is>
          <t>MENEXT-2026-05-MOUNIR-003</t>
        </is>
      </c>
      <c r="AW13" s="2" t="inlineStr">
        <is>
          <t>2026-06-09T17:09:43.386735</t>
        </is>
      </c>
    </row>
    <row r="14">
      <c r="A14" s="2" t="inlineStr">
        <is>
          <t>MENEXT-2026-05-MOUNIR-004</t>
        </is>
      </c>
      <c r="B14" s="2" t="inlineStr">
        <is>
          <t>188950b5e6265b63</t>
        </is>
      </c>
      <c r="C14" s="2" t="inlineStr">
        <is>
          <t>FAC-2026-05-MOUNIR-001</t>
        </is>
      </c>
      <c r="D14" s="3" t="n">
        <v>46173</v>
      </c>
      <c r="E14" s="2" t="n"/>
      <c r="F14" s="2" t="inlineStr">
        <is>
          <t>MOIS_FACTURE</t>
        </is>
      </c>
      <c r="G14" s="2" t="inlineStr">
        <is>
          <t>2026-05</t>
        </is>
      </c>
      <c r="H14" s="2" t="n">
        <v>2026</v>
      </c>
      <c r="I14" s="2" t="inlineStr">
        <is>
          <t>Facture mai Mounir.pdf</t>
        </is>
      </c>
      <c r="J14" s="2" t="inlineStr">
        <is>
          <t>lot6c_menages_externes.py — 20260609_170942</t>
        </is>
      </c>
      <c r="K14" s="2" t="inlineStr">
        <is>
          <t>INT_0003</t>
        </is>
      </c>
      <c r="L14" s="2" t="inlineStr">
        <is>
          <t>Mounir</t>
        </is>
      </c>
      <c r="M14" s="2" t="inlineStr">
        <is>
          <t>EXTERNE</t>
        </is>
      </c>
      <c r="N14" s="2" t="inlineStr">
        <is>
          <t>FRANCHISE_TVA</t>
        </is>
      </c>
      <c r="O14" s="2" t="inlineStr">
        <is>
          <t>LOG_0006</t>
        </is>
      </c>
      <c r="P14" s="2" t="inlineStr">
        <is>
          <t>PROP_0006</t>
        </is>
      </c>
      <c r="Q14" s="2" t="n">
        <v>487144</v>
      </c>
      <c r="R14" s="2" t="inlineStr">
        <is>
          <t>Studio Puits vert (Caroline)</t>
        </is>
      </c>
      <c r="S14" s="2" t="inlineStr">
        <is>
          <t>TLM_001</t>
        </is>
      </c>
      <c r="T14" s="2" t="n">
        <v>1</v>
      </c>
      <c r="U14" s="2" t="inlineStr">
        <is>
          <t>NON</t>
        </is>
      </c>
      <c r="V14" s="2" t="n">
        <v>32</v>
      </c>
      <c r="W14" s="2" t="n">
        <v>0</v>
      </c>
      <c r="X14" s="2" t="n">
        <v>0</v>
      </c>
      <c r="Y14" s="2" t="n">
        <v>32</v>
      </c>
      <c r="Z14" s="2" t="n">
        <v>942</v>
      </c>
      <c r="AA14" s="2" t="n">
        <v>942</v>
      </c>
      <c r="AB14" s="2" t="n">
        <v>942</v>
      </c>
      <c r="AC14" s="2" t="n">
        <v>0</v>
      </c>
      <c r="AD14" s="2" t="n">
        <v>942</v>
      </c>
      <c r="AE14" s="2" t="n">
        <v>0</v>
      </c>
      <c r="AF14" s="2" t="inlineStr">
        <is>
          <t>A_CONTROLER</t>
        </is>
      </c>
      <c r="AG14" s="2" t="n"/>
      <c r="AH14" s="2" t="inlineStr">
        <is>
          <t>IC</t>
        </is>
      </c>
      <c r="AI14" s="2" t="inlineStr">
        <is>
          <t>OUI</t>
        </is>
      </c>
      <c r="AJ14" s="2" t="inlineStr">
        <is>
          <t>OUI</t>
        </is>
      </c>
      <c r="AK14" s="2" t="inlineStr">
        <is>
          <t>OUI</t>
        </is>
      </c>
      <c r="AL14" s="2" t="inlineStr">
        <is>
          <t>TYPE_FLUX_014</t>
        </is>
      </c>
      <c r="AM14" s="2" t="inlineStr">
        <is>
          <t>CHARGE</t>
        </is>
      </c>
      <c r="AN14" s="2" t="n"/>
      <c r="AO14" s="2" t="inlineStr">
        <is>
          <t>NON</t>
        </is>
      </c>
      <c r="AP14" s="6" t="inlineStr">
        <is>
          <t>A_CONTROLER</t>
        </is>
      </c>
      <c r="AQ14" s="2" t="inlineStr">
        <is>
          <t>A_CONTROLER</t>
        </is>
      </c>
      <c r="AR14" s="2" t="inlineStr">
        <is>
          <t>MENAGE_EXTERNE_DATE_ABSENTE</t>
        </is>
      </c>
      <c r="AS14" s="2" t="inlineStr">
        <is>
          <t>Ligne 4 fac.0003 — 1 ménage mai 2026, date absente</t>
        </is>
      </c>
      <c r="AT14" s="2" t="inlineStr">
        <is>
          <t>MENAGES_EXTERNES</t>
        </is>
      </c>
      <c r="AU14" s="2" t="inlineStr">
        <is>
          <t>MASTER_FACT_MEN_MenagesExternes.SOURCE_RAW</t>
        </is>
      </c>
      <c r="AV14" s="2" t="inlineStr">
        <is>
          <t>MENEXT-2026-05-MOUNIR-004</t>
        </is>
      </c>
      <c r="AW14" s="2" t="inlineStr">
        <is>
          <t>2026-06-09T17:09:43.386735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13" customWidth="1" min="4" max="4"/>
    <col width="13" customWidth="1" min="5" max="5"/>
    <col width="16" customWidth="1" min="6" max="6"/>
    <col width="10" customWidth="1" min="7" max="7"/>
    <col width="8" customWidth="1" min="8" max="8"/>
    <col width="26" customWidth="1" min="9" max="9"/>
    <col width="32" customWidth="1" min="10" max="10"/>
    <col width="14" customWidth="1" min="11" max="11"/>
    <col width="16" customWidth="1" min="12" max="12"/>
    <col width="14" customWidth="1" min="13" max="13"/>
    <col width="16" customWidth="1" min="14" max="14"/>
    <col width="12" customWidth="1" min="15" max="15"/>
    <col width="13" customWidth="1" min="16" max="16"/>
    <col width="16" customWidth="1" min="17" max="17"/>
    <col width="30" customWidth="1" min="18" max="18"/>
    <col width="14" customWidth="1" min="19" max="19"/>
    <col width="10" customWidth="1" min="20" max="20"/>
    <col width="14" customWidth="1" min="21" max="21"/>
    <col width="14" customWidth="1" min="22" max="22"/>
    <col width="8" customWidth="1" min="23" max="23"/>
    <col width="10" customWidth="1" min="24" max="24"/>
    <col width="14" customWidth="1" min="25" max="25"/>
    <col width="14" customWidth="1" min="26" max="26"/>
    <col width="1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4" customWidth="1" min="32" max="32"/>
    <col width="14" customWidth="1" min="33" max="33"/>
    <col width="12" customWidth="1" min="34" max="34"/>
    <col width="13" customWidth="1" min="35" max="35"/>
    <col width="14" customWidth="1" min="36" max="36"/>
    <col width="16" customWidth="1" min="37" max="37"/>
    <col width="16" customWidth="1" min="38" max="38"/>
    <col width="8" customWidth="1" min="39" max="39"/>
    <col width="18" customWidth="1" min="40" max="40"/>
    <col width="16" customWidth="1" min="41" max="41"/>
    <col width="14" customWidth="1" min="42" max="42"/>
    <col width="13" customWidth="1" min="43" max="43"/>
    <col width="36" customWidth="1" min="44" max="44"/>
    <col width="55" customWidth="1" min="45" max="45"/>
    <col width="16" customWidth="1" min="46" max="46"/>
    <col width="36" customWidth="1" min="47" max="47"/>
    <col width="28" customWidth="1" min="48" max="48"/>
    <col width="24" customWidth="1" min="49" max="49"/>
  </cols>
  <sheetData>
    <row r="1" ht="30" customHeight="1">
      <c r="A1" s="1" t="inlineStr">
        <is>
          <t>menage_externe_id</t>
        </is>
      </c>
      <c r="B1" s="1" t="inlineStr">
        <is>
          <t>ROW_HASH</t>
        </is>
      </c>
      <c r="C1" s="1" t="inlineStr">
        <is>
          <t>facture_id</t>
        </is>
      </c>
      <c r="D1" s="1" t="inlineStr">
        <is>
          <t>date_facture</t>
        </is>
      </c>
      <c r="E1" s="1" t="inlineStr">
        <is>
          <t>date_menage</t>
        </is>
      </c>
      <c r="F1" s="1" t="inlineStr">
        <is>
          <t>precision_date_menage</t>
        </is>
      </c>
      <c r="G1" s="1" t="inlineStr">
        <is>
          <t>mois</t>
        </is>
      </c>
      <c r="H1" s="1" t="inlineStr">
        <is>
          <t>annee</t>
        </is>
      </c>
      <c r="I1" s="1" t="inlineStr">
        <is>
          <t>nom_fichier_source</t>
        </is>
      </c>
      <c r="J1" s="1" t="inlineStr">
        <is>
          <t>source_document</t>
        </is>
      </c>
      <c r="K1" s="1" t="inlineStr">
        <is>
          <t>prestataire_id</t>
        </is>
      </c>
      <c r="L1" s="1" t="inlineStr">
        <is>
          <t>nom_prestataire</t>
        </is>
      </c>
      <c r="M1" s="1" t="inlineStr">
        <is>
          <t>type_intervenant</t>
        </is>
      </c>
      <c r="N1" s="1" t="inlineStr">
        <is>
          <t>regime_tva_prestataire</t>
        </is>
      </c>
      <c r="O1" s="1" t="inlineStr">
        <is>
          <t>logement_id</t>
        </is>
      </c>
      <c r="P1" s="1" t="inlineStr">
        <is>
          <t>proprietaire_id</t>
        </is>
      </c>
      <c r="Q1" s="1" t="inlineStr">
        <is>
          <t>hostaway_listing_id</t>
        </is>
      </c>
      <c r="R1" s="1" t="inlineStr">
        <is>
          <t>appartement_source</t>
        </is>
      </c>
      <c r="S1" s="1" t="inlineStr">
        <is>
          <t>type_ligne_menage_id</t>
        </is>
      </c>
      <c r="T1" s="1" t="inlineStr">
        <is>
          <t>nombre_menages</t>
        </is>
      </c>
      <c r="U1" s="1" t="inlineStr">
        <is>
          <t>fournitures_incluses</t>
        </is>
      </c>
      <c r="V1" s="1" t="inlineStr">
        <is>
          <t>montant_ligne_ht</t>
        </is>
      </c>
      <c r="W1" s="1" t="inlineStr">
        <is>
          <t>taux_tva</t>
        </is>
      </c>
      <c r="X1" s="1" t="inlineStr">
        <is>
          <t>montant_tva</t>
        </is>
      </c>
      <c r="Y1" s="1" t="inlineStr">
        <is>
          <t>montant_ligne_ttc</t>
        </is>
      </c>
      <c r="Z1" s="1" t="inlineStr">
        <is>
          <t>montant_facture_total_ht</t>
        </is>
      </c>
      <c r="AA1" s="1" t="inlineStr">
        <is>
          <t>montant_facture_total_ttc</t>
        </is>
      </c>
      <c r="AB1" s="1" t="inlineStr">
        <is>
          <t>somme_lignes_facture_ttc</t>
        </is>
      </c>
      <c r="AC1" s="1" t="inlineStr">
        <is>
          <t>ecart_reconciliation_ttc</t>
        </is>
      </c>
      <c r="AD1" s="1" t="inlineStr">
        <is>
          <t>somme_lignes_facture_ht</t>
        </is>
      </c>
      <c r="AE1" s="1" t="inlineStr">
        <is>
          <t>ecart_reconciliation_ht</t>
        </is>
      </c>
      <c r="AF1" s="1" t="inlineStr">
        <is>
          <t>mode_paiement</t>
        </is>
      </c>
      <c r="AG1" s="1" t="inlineStr">
        <is>
          <t>associe_payeur</t>
        </is>
      </c>
      <c r="AH1" s="1" t="inlineStr">
        <is>
          <t>code_impact</t>
        </is>
      </c>
      <c r="AI1" s="1" t="inlineStr">
        <is>
          <t>prise_en_compta</t>
        </is>
      </c>
      <c r="AJ1" s="1" t="inlineStr">
        <is>
          <t>impact_resultat_reel</t>
        </is>
      </c>
      <c r="AK1" s="1" t="inlineStr">
        <is>
          <t>impact_resultat_comptable</t>
        </is>
      </c>
      <c r="AL1" s="1" t="inlineStr">
        <is>
          <t>type_flux_id</t>
        </is>
      </c>
      <c r="AM1" s="1" t="inlineStr">
        <is>
          <t>sens</t>
        </is>
      </c>
      <c r="AN1" s="1" t="inlineStr">
        <is>
          <t>source_charges_flux_liee</t>
        </is>
      </c>
      <c r="AO1" s="1" t="inlineStr">
        <is>
          <t>risque_double_comptage</t>
        </is>
      </c>
      <c r="AP1" s="1" t="inlineStr">
        <is>
          <t>statut_controle</t>
        </is>
      </c>
      <c r="AQ1" s="1" t="inlineStr">
        <is>
          <t>niveau_anomalie</t>
        </is>
      </c>
      <c r="AR1" s="1" t="inlineStr">
        <is>
          <t>code_anomalie</t>
        </is>
      </c>
      <c r="AS1" s="1" t="inlineStr">
        <is>
          <t>commentaire</t>
        </is>
      </c>
      <c r="AT1" s="1" t="inlineStr">
        <is>
          <t>source_module</t>
        </is>
      </c>
      <c r="AU1" s="1" t="inlineStr">
        <is>
          <t>source_table</t>
        </is>
      </c>
      <c r="AV1" s="1" t="inlineStr">
        <is>
          <t>source_pk</t>
        </is>
      </c>
      <c r="AW1" s="1" t="inlineStr">
        <is>
          <t>date_integration</t>
        </is>
      </c>
    </row>
    <row r="2">
      <c r="A2" s="2" t="inlineStr">
        <is>
          <t>MENEXT-2026-05-AISSATA-001</t>
        </is>
      </c>
      <c r="B2" s="2" t="inlineStr">
        <is>
          <t>7a8fc22757d9419e</t>
        </is>
      </c>
      <c r="C2" s="2" t="inlineStr">
        <is>
          <t>FAC-2026-05-AISSATA-001</t>
        </is>
      </c>
      <c r="D2" s="3" t="n">
        <v>46173</v>
      </c>
      <c r="E2" s="3" t="n">
        <v>46152</v>
      </c>
      <c r="F2" s="2" t="inlineStr">
        <is>
          <t>DATE_PRECISE</t>
        </is>
      </c>
      <c r="G2" s="2" t="inlineStr">
        <is>
          <t>2026-05</t>
        </is>
      </c>
      <c r="H2" s="2" t="n">
        <v>2026</v>
      </c>
      <c r="I2" s="2" t="inlineStr">
        <is>
          <t>Facture mai Aissata.pdf</t>
        </is>
      </c>
      <c r="J2" s="2" t="inlineStr">
        <is>
          <t>lot6c_menages_externes.py — 20260609_170942</t>
        </is>
      </c>
      <c r="K2" s="2" t="inlineStr">
        <is>
          <t>INT_0004</t>
        </is>
      </c>
      <c r="L2" s="2" t="inlineStr">
        <is>
          <t>Aissata</t>
        </is>
      </c>
      <c r="M2" s="2" t="inlineStr">
        <is>
          <t>EXTERNE</t>
        </is>
      </c>
      <c r="N2" s="2" t="inlineStr">
        <is>
          <t>FRANCHISE_TVA</t>
        </is>
      </c>
      <c r="O2" s="2" t="inlineStr">
        <is>
          <t>LOG_0014</t>
        </is>
      </c>
      <c r="P2" s="2" t="inlineStr">
        <is>
          <t>PROP_0010</t>
        </is>
      </c>
      <c r="Q2" s="2" t="n">
        <v>481998</v>
      </c>
      <c r="R2" s="2" t="inlineStr">
        <is>
          <t>studio 76 (Dureuil)</t>
        </is>
      </c>
      <c r="S2" s="2" t="inlineStr">
        <is>
          <t>TLM_001</t>
        </is>
      </c>
      <c r="T2" s="2" t="n">
        <v>1</v>
      </c>
      <c r="U2" s="2" t="inlineStr">
        <is>
          <t>NON</t>
        </is>
      </c>
      <c r="V2" s="2" t="n">
        <v>29</v>
      </c>
      <c r="W2" s="2" t="n">
        <v>0</v>
      </c>
      <c r="X2" s="2" t="n">
        <v>0</v>
      </c>
      <c r="Y2" s="2" t="n">
        <v>29</v>
      </c>
      <c r="Z2" s="2" t="n">
        <v>1439</v>
      </c>
      <c r="AA2" s="2" t="n">
        <v>1439</v>
      </c>
      <c r="AB2" s="2" t="n">
        <v>1439</v>
      </c>
      <c r="AC2" s="2" t="n">
        <v>0</v>
      </c>
      <c r="AD2" s="2" t="n">
        <v>1439</v>
      </c>
      <c r="AE2" s="2" t="n">
        <v>0</v>
      </c>
      <c r="AF2" s="2" t="inlineStr">
        <is>
          <t>VIREMENT</t>
        </is>
      </c>
      <c r="AG2" s="2" t="n"/>
      <c r="AH2" s="2" t="inlineStr">
        <is>
          <t>IC</t>
        </is>
      </c>
      <c r="AI2" s="2" t="inlineStr">
        <is>
          <t>OUI</t>
        </is>
      </c>
      <c r="AJ2" s="2" t="inlineStr">
        <is>
          <t>OUI</t>
        </is>
      </c>
      <c r="AK2" s="2" t="inlineStr">
        <is>
          <t>OUI</t>
        </is>
      </c>
      <c r="AL2" s="2" t="inlineStr">
        <is>
          <t>TYPE_FLUX_014</t>
        </is>
      </c>
      <c r="AM2" s="2" t="inlineStr">
        <is>
          <t>CHARGE</t>
        </is>
      </c>
      <c r="AN2" s="2" t="n"/>
      <c r="AO2" s="2" t="inlineStr">
        <is>
          <t>NON</t>
        </is>
      </c>
      <c r="AP2" s="5" t="inlineStr">
        <is>
          <t>VALIDE</t>
        </is>
      </c>
      <c r="AQ2" s="2" t="inlineStr">
        <is>
          <t>INFO</t>
        </is>
      </c>
      <c r="AR2" s="2" t="inlineStr"/>
      <c r="AS2" s="2" t="inlineStr">
        <is>
          <t>Ligne 1 fac.2026-37 — date précise sur facture</t>
        </is>
      </c>
      <c r="AT2" s="2" t="inlineStr">
        <is>
          <t>MENAGES_EXTERNES</t>
        </is>
      </c>
      <c r="AU2" s="2" t="inlineStr">
        <is>
          <t>MASTER_FACT_MEN_MenagesExternes.SOURCE_RAW</t>
        </is>
      </c>
      <c r="AV2" s="2" t="inlineStr">
        <is>
          <t>MENEXT-2026-05-AISSATA-001</t>
        </is>
      </c>
      <c r="AW2" s="2" t="inlineStr">
        <is>
          <t>2026-06-09T17:09:43.386735</t>
        </is>
      </c>
    </row>
    <row r="3">
      <c r="A3" s="2" t="inlineStr">
        <is>
          <t>MENEXT-2026-05-AISSATA-007</t>
        </is>
      </c>
      <c r="B3" s="2" t="inlineStr">
        <is>
          <t>50b0e9564cac93a3</t>
        </is>
      </c>
      <c r="C3" s="2" t="inlineStr">
        <is>
          <t>FAC-2026-05-AISSATA-001</t>
        </is>
      </c>
      <c r="D3" s="3" t="n">
        <v>46173</v>
      </c>
      <c r="E3" s="3" t="n">
        <v>46165</v>
      </c>
      <c r="F3" s="2" t="inlineStr">
        <is>
          <t>DATE_PRECISE</t>
        </is>
      </c>
      <c r="G3" s="2" t="inlineStr">
        <is>
          <t>2026-05</t>
        </is>
      </c>
      <c r="H3" s="2" t="n">
        <v>2026</v>
      </c>
      <c r="I3" s="2" t="inlineStr">
        <is>
          <t>Facture mai Aissata.pdf</t>
        </is>
      </c>
      <c r="J3" s="2" t="inlineStr">
        <is>
          <t>lot6c_menages_externes.py — 20260609_170942</t>
        </is>
      </c>
      <c r="K3" s="2" t="inlineStr">
        <is>
          <t>INT_0004</t>
        </is>
      </c>
      <c r="L3" s="2" t="inlineStr">
        <is>
          <t>Aissata</t>
        </is>
      </c>
      <c r="M3" s="2" t="inlineStr">
        <is>
          <t>EXTERNE</t>
        </is>
      </c>
      <c r="N3" s="2" t="inlineStr">
        <is>
          <t>FRANCHISE_TVA</t>
        </is>
      </c>
      <c r="O3" s="2" t="inlineStr">
        <is>
          <t>LOG_0009</t>
        </is>
      </c>
      <c r="P3" s="2" t="inlineStr">
        <is>
          <t>PROP_0003</t>
        </is>
      </c>
      <c r="Q3" s="2" t="n">
        <v>556954</v>
      </c>
      <c r="R3" s="2" t="inlineStr">
        <is>
          <t>T3 4 rue engalières</t>
        </is>
      </c>
      <c r="S3" s="2" t="inlineStr">
        <is>
          <t>TLM_001</t>
        </is>
      </c>
      <c r="T3" s="2" t="n">
        <v>1</v>
      </c>
      <c r="U3" s="2" t="inlineStr">
        <is>
          <t>NON</t>
        </is>
      </c>
      <c r="V3" s="2" t="n">
        <v>55</v>
      </c>
      <c r="W3" s="2" t="n">
        <v>0</v>
      </c>
      <c r="X3" s="2" t="n">
        <v>0</v>
      </c>
      <c r="Y3" s="2" t="n">
        <v>55</v>
      </c>
      <c r="Z3" s="2" t="n">
        <v>1439</v>
      </c>
      <c r="AA3" s="2" t="n">
        <v>1439</v>
      </c>
      <c r="AB3" s="2" t="n">
        <v>1439</v>
      </c>
      <c r="AC3" s="2" t="n">
        <v>0</v>
      </c>
      <c r="AD3" s="2" t="n">
        <v>1439</v>
      </c>
      <c r="AE3" s="2" t="n">
        <v>0</v>
      </c>
      <c r="AF3" s="2" t="inlineStr">
        <is>
          <t>VIREMENT</t>
        </is>
      </c>
      <c r="AG3" s="2" t="n"/>
      <c r="AH3" s="2" t="inlineStr">
        <is>
          <t>IC</t>
        </is>
      </c>
      <c r="AI3" s="2" t="inlineStr">
        <is>
          <t>OUI</t>
        </is>
      </c>
      <c r="AJ3" s="2" t="inlineStr">
        <is>
          <t>OUI</t>
        </is>
      </c>
      <c r="AK3" s="2" t="inlineStr">
        <is>
          <t>OUI</t>
        </is>
      </c>
      <c r="AL3" s="2" t="inlineStr">
        <is>
          <t>TYPE_FLUX_014</t>
        </is>
      </c>
      <c r="AM3" s="2" t="inlineStr">
        <is>
          <t>CHARGE</t>
        </is>
      </c>
      <c r="AN3" s="2" t="n"/>
      <c r="AO3" s="2" t="inlineStr">
        <is>
          <t>NON</t>
        </is>
      </c>
      <c r="AP3" s="5" t="inlineStr">
        <is>
          <t>VALIDE</t>
        </is>
      </c>
      <c r="AQ3" s="2" t="inlineStr">
        <is>
          <t>INFO</t>
        </is>
      </c>
      <c r="AR3" s="2" t="inlineStr"/>
      <c r="AS3" s="2" t="inlineStr">
        <is>
          <t>Ligne 7 fac.2026-37 — date précise sur facture</t>
        </is>
      </c>
      <c r="AT3" s="2" t="inlineStr">
        <is>
          <t>MENAGES_EXTERNES</t>
        </is>
      </c>
      <c r="AU3" s="2" t="inlineStr">
        <is>
          <t>MASTER_FACT_MEN_MenagesExternes.SOURCE_RAW</t>
        </is>
      </c>
      <c r="AV3" s="2" t="inlineStr">
        <is>
          <t>MENEXT-2026-05-AISSATA-007</t>
        </is>
      </c>
      <c r="AW3" s="2" t="inlineStr">
        <is>
          <t>2026-06-09T17:09:43.386735</t>
        </is>
      </c>
    </row>
    <row r="4">
      <c r="A4" s="2" t="inlineStr">
        <is>
          <t>MENEXT-2026-05-AISSATA-008</t>
        </is>
      </c>
      <c r="B4" s="2" t="inlineStr">
        <is>
          <t>08bd1f15a518a353</t>
        </is>
      </c>
      <c r="C4" s="2" t="inlineStr">
        <is>
          <t>FAC-2026-05-AISSATA-001</t>
        </is>
      </c>
      <c r="D4" s="3" t="n">
        <v>46173</v>
      </c>
      <c r="E4" s="3" t="n">
        <v>46145</v>
      </c>
      <c r="F4" s="2" t="inlineStr">
        <is>
          <t>DATE_PRECISE</t>
        </is>
      </c>
      <c r="G4" s="2" t="inlineStr">
        <is>
          <t>2026-05</t>
        </is>
      </c>
      <c r="H4" s="2" t="n">
        <v>2026</v>
      </c>
      <c r="I4" s="2" t="inlineStr">
        <is>
          <t>Facture mai Aissata.pdf</t>
        </is>
      </c>
      <c r="J4" s="2" t="inlineStr">
        <is>
          <t>lot6c_menages_externes.py — 20260609_170942</t>
        </is>
      </c>
      <c r="K4" s="2" t="inlineStr">
        <is>
          <t>INT_0004</t>
        </is>
      </c>
      <c r="L4" s="2" t="inlineStr">
        <is>
          <t>Aissata</t>
        </is>
      </c>
      <c r="M4" s="2" t="inlineStr">
        <is>
          <t>EXTERNE</t>
        </is>
      </c>
      <c r="N4" s="2" t="inlineStr">
        <is>
          <t>FRANCHISE_TVA</t>
        </is>
      </c>
      <c r="O4" s="2" t="inlineStr">
        <is>
          <t>LOG_0016</t>
        </is>
      </c>
      <c r="P4" s="2" t="inlineStr">
        <is>
          <t>PROP_0012</t>
        </is>
      </c>
      <c r="Q4" s="2" t="n">
        <v>515523</v>
      </c>
      <c r="R4" s="2" t="inlineStr">
        <is>
          <t>T3 20 rue l'Amiral Galache</t>
        </is>
      </c>
      <c r="S4" s="2" t="inlineStr">
        <is>
          <t>TLM_001</t>
        </is>
      </c>
      <c r="T4" s="2" t="n">
        <v>1</v>
      </c>
      <c r="U4" s="2" t="inlineStr">
        <is>
          <t>NON</t>
        </is>
      </c>
      <c r="V4" s="2" t="n">
        <v>55</v>
      </c>
      <c r="W4" s="2" t="n">
        <v>0</v>
      </c>
      <c r="X4" s="2" t="n">
        <v>0</v>
      </c>
      <c r="Y4" s="2" t="n">
        <v>55</v>
      </c>
      <c r="Z4" s="2" t="n">
        <v>1439</v>
      </c>
      <c r="AA4" s="2" t="n">
        <v>1439</v>
      </c>
      <c r="AB4" s="2" t="n">
        <v>1439</v>
      </c>
      <c r="AC4" s="2" t="n">
        <v>0</v>
      </c>
      <c r="AD4" s="2" t="n">
        <v>1439</v>
      </c>
      <c r="AE4" s="2" t="n">
        <v>0</v>
      </c>
      <c r="AF4" s="2" t="inlineStr">
        <is>
          <t>VIREMENT</t>
        </is>
      </c>
      <c r="AG4" s="2" t="n"/>
      <c r="AH4" s="2" t="inlineStr">
        <is>
          <t>IC</t>
        </is>
      </c>
      <c r="AI4" s="2" t="inlineStr">
        <is>
          <t>OUI</t>
        </is>
      </c>
      <c r="AJ4" s="2" t="inlineStr">
        <is>
          <t>OUI</t>
        </is>
      </c>
      <c r="AK4" s="2" t="inlineStr">
        <is>
          <t>OUI</t>
        </is>
      </c>
      <c r="AL4" s="2" t="inlineStr">
        <is>
          <t>TYPE_FLUX_014</t>
        </is>
      </c>
      <c r="AM4" s="2" t="inlineStr">
        <is>
          <t>CHARGE</t>
        </is>
      </c>
      <c r="AN4" s="2" t="n"/>
      <c r="AO4" s="2" t="inlineStr">
        <is>
          <t>NON</t>
        </is>
      </c>
      <c r="AP4" s="5" t="inlineStr">
        <is>
          <t>VALIDE</t>
        </is>
      </c>
      <c r="AQ4" s="2" t="inlineStr">
        <is>
          <t>INFO</t>
        </is>
      </c>
      <c r="AR4" s="2" t="inlineStr"/>
      <c r="AS4" s="2" t="inlineStr">
        <is>
          <t>Ligne 8a — splittée (2 dates). Facture: T3, REF: T2 (LOG_0016). Prix 55€ tarif T3 Aissata.</t>
        </is>
      </c>
      <c r="AT4" s="2" t="inlineStr">
        <is>
          <t>MENAGES_EXTERNES</t>
        </is>
      </c>
      <c r="AU4" s="2" t="inlineStr">
        <is>
          <t>MASTER_FACT_MEN_MenagesExternes.SOURCE_RAW</t>
        </is>
      </c>
      <c r="AV4" s="2" t="inlineStr">
        <is>
          <t>MENEXT-2026-05-AISSATA-008</t>
        </is>
      </c>
      <c r="AW4" s="2" t="inlineStr">
        <is>
          <t>2026-06-09T17:09:43.386735</t>
        </is>
      </c>
    </row>
    <row r="5">
      <c r="A5" s="2" t="inlineStr">
        <is>
          <t>MENEXT-2026-05-AISSATA-009</t>
        </is>
      </c>
      <c r="B5" s="2" t="inlineStr">
        <is>
          <t>9eebf25b348dcc7b</t>
        </is>
      </c>
      <c r="C5" s="2" t="inlineStr">
        <is>
          <t>FAC-2026-05-AISSATA-001</t>
        </is>
      </c>
      <c r="D5" s="3" t="n">
        <v>46173</v>
      </c>
      <c r="E5" s="3" t="n">
        <v>46152</v>
      </c>
      <c r="F5" s="2" t="inlineStr">
        <is>
          <t>DATE_PRECISE</t>
        </is>
      </c>
      <c r="G5" s="2" t="inlineStr">
        <is>
          <t>2026-05</t>
        </is>
      </c>
      <c r="H5" s="2" t="n">
        <v>2026</v>
      </c>
      <c r="I5" s="2" t="inlineStr">
        <is>
          <t>Facture mai Aissata.pdf</t>
        </is>
      </c>
      <c r="J5" s="2" t="inlineStr">
        <is>
          <t>lot6c_menages_externes.py — 20260609_170942</t>
        </is>
      </c>
      <c r="K5" s="2" t="inlineStr">
        <is>
          <t>INT_0004</t>
        </is>
      </c>
      <c r="L5" s="2" t="inlineStr">
        <is>
          <t>Aissata</t>
        </is>
      </c>
      <c r="M5" s="2" t="inlineStr">
        <is>
          <t>EXTERNE</t>
        </is>
      </c>
      <c r="N5" s="2" t="inlineStr">
        <is>
          <t>FRANCHISE_TVA</t>
        </is>
      </c>
      <c r="O5" s="2" t="inlineStr">
        <is>
          <t>LOG_0016</t>
        </is>
      </c>
      <c r="P5" s="2" t="inlineStr">
        <is>
          <t>PROP_0012</t>
        </is>
      </c>
      <c r="Q5" s="2" t="n">
        <v>515523</v>
      </c>
      <c r="R5" s="2" t="inlineStr">
        <is>
          <t>T3 20 rue l'Amiral Galache</t>
        </is>
      </c>
      <c r="S5" s="2" t="inlineStr">
        <is>
          <t>TLM_001</t>
        </is>
      </c>
      <c r="T5" s="2" t="n">
        <v>1</v>
      </c>
      <c r="U5" s="2" t="inlineStr">
        <is>
          <t>NON</t>
        </is>
      </c>
      <c r="V5" s="2" t="n">
        <v>55</v>
      </c>
      <c r="W5" s="2" t="n">
        <v>0</v>
      </c>
      <c r="X5" s="2" t="n">
        <v>0</v>
      </c>
      <c r="Y5" s="2" t="n">
        <v>55</v>
      </c>
      <c r="Z5" s="2" t="n">
        <v>1439</v>
      </c>
      <c r="AA5" s="2" t="n">
        <v>1439</v>
      </c>
      <c r="AB5" s="2" t="n">
        <v>1439</v>
      </c>
      <c r="AC5" s="2" t="n">
        <v>0</v>
      </c>
      <c r="AD5" s="2" t="n">
        <v>1439</v>
      </c>
      <c r="AE5" s="2" t="n">
        <v>0</v>
      </c>
      <c r="AF5" s="2" t="inlineStr">
        <is>
          <t>VIREMENT</t>
        </is>
      </c>
      <c r="AG5" s="2" t="n"/>
      <c r="AH5" s="2" t="inlineStr">
        <is>
          <t>IC</t>
        </is>
      </c>
      <c r="AI5" s="2" t="inlineStr">
        <is>
          <t>OUI</t>
        </is>
      </c>
      <c r="AJ5" s="2" t="inlineStr">
        <is>
          <t>OUI</t>
        </is>
      </c>
      <c r="AK5" s="2" t="inlineStr">
        <is>
          <t>OUI</t>
        </is>
      </c>
      <c r="AL5" s="2" t="inlineStr">
        <is>
          <t>TYPE_FLUX_014</t>
        </is>
      </c>
      <c r="AM5" s="2" t="inlineStr">
        <is>
          <t>CHARGE</t>
        </is>
      </c>
      <c r="AN5" s="2" t="n"/>
      <c r="AO5" s="2" t="inlineStr">
        <is>
          <t>NON</t>
        </is>
      </c>
      <c r="AP5" s="5" t="inlineStr">
        <is>
          <t>VALIDE</t>
        </is>
      </c>
      <c r="AQ5" s="2" t="inlineStr">
        <is>
          <t>INFO</t>
        </is>
      </c>
      <c r="AR5" s="2" t="inlineStr"/>
      <c r="AS5" s="2" t="inlineStr">
        <is>
          <t>Ligne 8b — splittée (2 dates). Facture: T3, REF: T2 (LOG_0016). Prix 55€ tarif T3 Aissata.</t>
        </is>
      </c>
      <c r="AT5" s="2" t="inlineStr">
        <is>
          <t>MENAGES_EXTERNES</t>
        </is>
      </c>
      <c r="AU5" s="2" t="inlineStr">
        <is>
          <t>MASTER_FACT_MEN_MenagesExternes.SOURCE_RAW</t>
        </is>
      </c>
      <c r="AV5" s="2" t="inlineStr">
        <is>
          <t>MENEXT-2026-05-AISSATA-009</t>
        </is>
      </c>
      <c r="AW5" s="2" t="inlineStr">
        <is>
          <t>2026-06-09T17:09:43.386735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22" customWidth="1" min="5" max="5"/>
    <col width="18" customWidth="1" min="6" max="6"/>
    <col width="14" customWidth="1" min="7" max="7"/>
    <col width="14" customWidth="1" min="8" max="8"/>
    <col width="38" customWidth="1" min="9" max="9"/>
  </cols>
  <sheetData>
    <row r="1">
      <c r="A1" s="1" t="inlineStr">
        <is>
          <t>mois</t>
        </is>
      </c>
      <c r="B1" s="1" t="inlineStr">
        <is>
          <t>logement_id</t>
        </is>
      </c>
      <c r="C1" s="1" t="inlineStr">
        <is>
          <t>proprietaire_id</t>
        </is>
      </c>
      <c r="D1" s="1" t="inlineStr">
        <is>
          <t>nb_menages_hostaway_realises</t>
        </is>
      </c>
      <c r="E1" s="1" t="inlineStr">
        <is>
          <t>nb_menages_externes_factures</t>
        </is>
      </c>
      <c r="F1" s="1" t="inlineStr">
        <is>
          <t>ecart_hostaway_externe</t>
        </is>
      </c>
      <c r="G1" s="1" t="inlineStr">
        <is>
          <t>statut_controle</t>
        </is>
      </c>
      <c r="H1" s="1" t="inlineStr">
        <is>
          <t>niveau_anomalie</t>
        </is>
      </c>
      <c r="I1" s="1" t="inlineStr">
        <is>
          <t>code_anomalie</t>
        </is>
      </c>
    </row>
    <row r="2">
      <c r="A2" s="2" t="inlineStr">
        <is>
          <t>2026-05</t>
        </is>
      </c>
      <c r="B2" s="2" t="inlineStr">
        <is>
          <t>LOG_0001</t>
        </is>
      </c>
      <c r="C2" s="2" t="inlineStr">
        <is>
          <t>PROP_0001</t>
        </is>
      </c>
      <c r="D2" s="2" t="n">
        <v>9</v>
      </c>
      <c r="E2" s="2" t="n">
        <v>0</v>
      </c>
      <c r="F2" s="2" t="n">
        <v>9</v>
      </c>
      <c r="G2" s="6" t="inlineStr">
        <is>
          <t>A_CONTROLER</t>
        </is>
      </c>
      <c r="H2" s="2" t="inlineStr">
        <is>
          <t>A_CONTROLER</t>
        </is>
      </c>
      <c r="I2" s="2" t="inlineStr">
        <is>
          <t>MENAGE_EXTERNE_FACTURATION_SANS_COMPTAGE_HA</t>
        </is>
      </c>
    </row>
    <row r="3">
      <c r="A3" s="2" t="inlineStr">
        <is>
          <t>2026-05</t>
        </is>
      </c>
      <c r="B3" s="2" t="inlineStr">
        <is>
          <t>LOG_0002</t>
        </is>
      </c>
      <c r="C3" s="2" t="inlineStr">
        <is>
          <t>PROP_0002</t>
        </is>
      </c>
      <c r="D3" s="2" t="n">
        <v>6</v>
      </c>
      <c r="E3" s="2" t="n">
        <v>0</v>
      </c>
      <c r="F3" s="2" t="n">
        <v>6</v>
      </c>
      <c r="G3" s="6" t="inlineStr">
        <is>
          <t>A_CONTROLER</t>
        </is>
      </c>
      <c r="H3" s="2" t="inlineStr">
        <is>
          <t>A_CONTROLER</t>
        </is>
      </c>
      <c r="I3" s="2" t="inlineStr">
        <is>
          <t>MENAGE_EXTERNE_FACTURATION_SANS_COMPTAGE_HA</t>
        </is>
      </c>
    </row>
    <row r="4">
      <c r="A4" s="2" t="inlineStr">
        <is>
          <t>2026-05</t>
        </is>
      </c>
      <c r="B4" s="2" t="inlineStr">
        <is>
          <t>LOG_0003</t>
        </is>
      </c>
      <c r="C4" s="2" t="inlineStr">
        <is>
          <t>PROP_0003</t>
        </is>
      </c>
      <c r="D4" s="2" t="n">
        <v>0</v>
      </c>
      <c r="E4" s="2" t="n">
        <v>0</v>
      </c>
      <c r="F4" s="2" t="n">
        <v>0</v>
      </c>
      <c r="G4" s="5" t="inlineStr">
        <is>
          <t>VALIDE</t>
        </is>
      </c>
      <c r="H4" s="2" t="inlineStr">
        <is>
          <t>INFO</t>
        </is>
      </c>
      <c r="I4" s="2" t="inlineStr"/>
    </row>
    <row r="5">
      <c r="A5" s="2" t="inlineStr">
        <is>
          <t>2026-05</t>
        </is>
      </c>
      <c r="B5" s="2" t="inlineStr">
        <is>
          <t>LOG_0005</t>
        </is>
      </c>
      <c r="C5" s="2" t="inlineStr">
        <is>
          <t>PROP_0005</t>
        </is>
      </c>
      <c r="D5" s="2" t="n">
        <v>7</v>
      </c>
      <c r="E5" s="2" t="n">
        <v>0</v>
      </c>
      <c r="F5" s="2" t="n">
        <v>7</v>
      </c>
      <c r="G5" s="6" t="inlineStr">
        <is>
          <t>A_CONTROLER</t>
        </is>
      </c>
      <c r="H5" s="2" t="inlineStr">
        <is>
          <t>A_CONTROLER</t>
        </is>
      </c>
      <c r="I5" s="2" t="inlineStr">
        <is>
          <t>MENAGE_EXTERNE_FACTURATION_SANS_COMPTAGE_HA</t>
        </is>
      </c>
    </row>
    <row r="6">
      <c r="A6" s="2" t="inlineStr">
        <is>
          <t>2026-05</t>
        </is>
      </c>
      <c r="B6" s="2" t="inlineStr">
        <is>
          <t>LOG_0006</t>
        </is>
      </c>
      <c r="C6" s="2" t="inlineStr">
        <is>
          <t>PROP_0006</t>
        </is>
      </c>
      <c r="D6" s="2" t="n">
        <v>11</v>
      </c>
      <c r="E6" s="2" t="n">
        <v>0</v>
      </c>
      <c r="F6" s="2" t="n">
        <v>11</v>
      </c>
      <c r="G6" s="6" t="inlineStr">
        <is>
          <t>A_CONTROLER</t>
        </is>
      </c>
      <c r="H6" s="2" t="inlineStr">
        <is>
          <t>A_CONTROLER</t>
        </is>
      </c>
      <c r="I6" s="2" t="inlineStr">
        <is>
          <t>MENAGE_EXTERNE_FACTURATION_SANS_COMPTAGE_HA</t>
        </is>
      </c>
    </row>
    <row r="7">
      <c r="A7" s="2" t="inlineStr">
        <is>
          <t>2026-05</t>
        </is>
      </c>
      <c r="B7" s="2" t="inlineStr">
        <is>
          <t>LOG_0007</t>
        </is>
      </c>
      <c r="C7" s="2" t="inlineStr">
        <is>
          <t>PROP_0007</t>
        </is>
      </c>
      <c r="D7" s="2" t="n">
        <v>8</v>
      </c>
      <c r="E7" s="2" t="n">
        <v>0</v>
      </c>
      <c r="F7" s="2" t="n">
        <v>8</v>
      </c>
      <c r="G7" s="6" t="inlineStr">
        <is>
          <t>A_CONTROLER</t>
        </is>
      </c>
      <c r="H7" s="2" t="inlineStr">
        <is>
          <t>A_CONTROLER</t>
        </is>
      </c>
      <c r="I7" s="2" t="inlineStr">
        <is>
          <t>MENAGE_EXTERNE_FACTURATION_SANS_COMPTAGE_HA</t>
        </is>
      </c>
    </row>
    <row r="8">
      <c r="A8" s="2" t="inlineStr">
        <is>
          <t>2026-05</t>
        </is>
      </c>
      <c r="B8" s="2" t="inlineStr">
        <is>
          <t>LOG_0008</t>
        </is>
      </c>
      <c r="C8" s="2" t="inlineStr">
        <is>
          <t>PROP_0008</t>
        </is>
      </c>
      <c r="D8" s="2" t="n">
        <v>5</v>
      </c>
      <c r="E8" s="2" t="n">
        <v>0</v>
      </c>
      <c r="F8" s="2" t="n">
        <v>5</v>
      </c>
      <c r="G8" s="6" t="inlineStr">
        <is>
          <t>A_CONTROLER</t>
        </is>
      </c>
      <c r="H8" s="2" t="inlineStr">
        <is>
          <t>A_CONTROLER</t>
        </is>
      </c>
      <c r="I8" s="2" t="inlineStr">
        <is>
          <t>MENAGE_EXTERNE_FACTURATION_SANS_COMPTAGE_HA</t>
        </is>
      </c>
    </row>
    <row r="9">
      <c r="A9" s="2" t="inlineStr">
        <is>
          <t>2026-05</t>
        </is>
      </c>
      <c r="B9" s="2" t="inlineStr">
        <is>
          <t>LOG_0009</t>
        </is>
      </c>
      <c r="C9" s="2" t="inlineStr">
        <is>
          <t>PROP_0003</t>
        </is>
      </c>
      <c r="D9" s="2" t="n">
        <v>0</v>
      </c>
      <c r="E9" s="2" t="n">
        <v>1</v>
      </c>
      <c r="F9" s="2" t="n">
        <v>-1</v>
      </c>
      <c r="G9" s="6" t="inlineStr">
        <is>
          <t>A_CONTROLER</t>
        </is>
      </c>
      <c r="H9" s="2" t="inlineStr">
        <is>
          <t>A_CONTROLER</t>
        </is>
      </c>
      <c r="I9" s="2" t="inlineStr">
        <is>
          <t>MENAGE_EXTERNE_FACTURATION_SANS_COMPTAGE_HA</t>
        </is>
      </c>
    </row>
    <row r="10">
      <c r="A10" s="2" t="inlineStr">
        <is>
          <t>2026-05</t>
        </is>
      </c>
      <c r="B10" s="2" t="inlineStr">
        <is>
          <t>LOG_0010</t>
        </is>
      </c>
      <c r="C10" s="2" t="inlineStr">
        <is>
          <t>PROP_0005</t>
        </is>
      </c>
      <c r="D10" s="2" t="n">
        <v>1</v>
      </c>
      <c r="E10" s="2" t="n">
        <v>0</v>
      </c>
      <c r="F10" s="2" t="n">
        <v>1</v>
      </c>
      <c r="G10" s="6" t="inlineStr">
        <is>
          <t>A_CONTROLER</t>
        </is>
      </c>
      <c r="H10" s="2" t="inlineStr">
        <is>
          <t>A_CONTROLER</t>
        </is>
      </c>
      <c r="I10" s="2" t="inlineStr">
        <is>
          <t>MENAGE_EXTERNE_FACTURATION_SANS_COMPTAGE_HA</t>
        </is>
      </c>
    </row>
    <row r="11">
      <c r="A11" s="2" t="inlineStr">
        <is>
          <t>2026-05</t>
        </is>
      </c>
      <c r="B11" s="2" t="inlineStr">
        <is>
          <t>LOG_0011</t>
        </is>
      </c>
      <c r="C11" s="2" t="inlineStr">
        <is>
          <t>PROP_0008</t>
        </is>
      </c>
      <c r="D11" s="2" t="n">
        <v>9</v>
      </c>
      <c r="E11" s="2" t="n">
        <v>0</v>
      </c>
      <c r="F11" s="2" t="n">
        <v>9</v>
      </c>
      <c r="G11" s="6" t="inlineStr">
        <is>
          <t>A_CONTROLER</t>
        </is>
      </c>
      <c r="H11" s="2" t="inlineStr">
        <is>
          <t>A_CONTROLER</t>
        </is>
      </c>
      <c r="I11" s="2" t="inlineStr">
        <is>
          <t>MENAGE_EXTERNE_FACTURATION_SANS_COMPTAGE_HA</t>
        </is>
      </c>
    </row>
    <row r="12">
      <c r="A12" s="2" t="inlineStr">
        <is>
          <t>2026-05</t>
        </is>
      </c>
      <c r="B12" s="2" t="inlineStr">
        <is>
          <t>LOG_0012</t>
        </is>
      </c>
      <c r="C12" s="2" t="inlineStr">
        <is>
          <t>PROP_0009</t>
        </is>
      </c>
      <c r="D12" s="2" t="n">
        <v>5</v>
      </c>
      <c r="E12" s="2" t="n">
        <v>0</v>
      </c>
      <c r="F12" s="2" t="n">
        <v>5</v>
      </c>
      <c r="G12" s="6" t="inlineStr">
        <is>
          <t>A_CONTROLER</t>
        </is>
      </c>
      <c r="H12" s="2" t="inlineStr">
        <is>
          <t>A_CONTROLER</t>
        </is>
      </c>
      <c r="I12" s="2" t="inlineStr">
        <is>
          <t>MENAGE_EXTERNE_FACTURATION_SANS_COMPTAGE_HA</t>
        </is>
      </c>
    </row>
    <row r="13">
      <c r="A13" s="2" t="inlineStr">
        <is>
          <t>2026-05</t>
        </is>
      </c>
      <c r="B13" s="2" t="inlineStr">
        <is>
          <t>LOG_0013</t>
        </is>
      </c>
      <c r="C13" s="2" t="inlineStr">
        <is>
          <t>PROP_0009</t>
        </is>
      </c>
      <c r="D13" s="2" t="n">
        <v>9</v>
      </c>
      <c r="E13" s="2" t="n">
        <v>0</v>
      </c>
      <c r="F13" s="2" t="n">
        <v>9</v>
      </c>
      <c r="G13" s="6" t="inlineStr">
        <is>
          <t>A_CONTROLER</t>
        </is>
      </c>
      <c r="H13" s="2" t="inlineStr">
        <is>
          <t>A_CONTROLER</t>
        </is>
      </c>
      <c r="I13" s="2" t="inlineStr">
        <is>
          <t>MENAGE_EXTERNE_FACTURATION_SANS_COMPTAGE_HA</t>
        </is>
      </c>
    </row>
    <row r="14">
      <c r="A14" s="2" t="inlineStr">
        <is>
          <t>2026-05</t>
        </is>
      </c>
      <c r="B14" s="2" t="inlineStr">
        <is>
          <t>LOG_0014</t>
        </is>
      </c>
      <c r="C14" s="2" t="inlineStr">
        <is>
          <t>PROP_0010</t>
        </is>
      </c>
      <c r="D14" s="2" t="n">
        <v>10</v>
      </c>
      <c r="E14" s="2" t="n">
        <v>1</v>
      </c>
      <c r="F14" s="2" t="n">
        <v>9</v>
      </c>
      <c r="G14" s="6" t="inlineStr">
        <is>
          <t>A_CONTROLER</t>
        </is>
      </c>
      <c r="H14" s="2" t="inlineStr">
        <is>
          <t>A_CONTROLER</t>
        </is>
      </c>
      <c r="I14" s="2" t="inlineStr">
        <is>
          <t>MENAGE_EXTERNE_FACTURATION_SANS_COMPTAGE_HA</t>
        </is>
      </c>
    </row>
    <row r="15">
      <c r="A15" s="2" t="inlineStr">
        <is>
          <t>2026-05</t>
        </is>
      </c>
      <c r="B15" s="2" t="inlineStr">
        <is>
          <t>LOG_0015</t>
        </is>
      </c>
      <c r="C15" s="2" t="inlineStr">
        <is>
          <t>PROP_0011</t>
        </is>
      </c>
      <c r="D15" s="2" t="n">
        <v>4</v>
      </c>
      <c r="E15" s="2" t="n">
        <v>0</v>
      </c>
      <c r="F15" s="2" t="n">
        <v>4</v>
      </c>
      <c r="G15" s="6" t="inlineStr">
        <is>
          <t>A_CONTROLER</t>
        </is>
      </c>
      <c r="H15" s="2" t="inlineStr">
        <is>
          <t>A_CONTROLER</t>
        </is>
      </c>
      <c r="I15" s="2" t="inlineStr">
        <is>
          <t>MENAGE_EXTERNE_FACTURATION_SANS_COMPTAGE_HA</t>
        </is>
      </c>
    </row>
    <row r="16">
      <c r="A16" s="2" t="inlineStr">
        <is>
          <t>2026-05</t>
        </is>
      </c>
      <c r="B16" s="2" t="inlineStr">
        <is>
          <t>LOG_0016</t>
        </is>
      </c>
      <c r="C16" s="2" t="inlineStr">
        <is>
          <t>PROP_0012</t>
        </is>
      </c>
      <c r="D16" s="2" t="n">
        <v>0</v>
      </c>
      <c r="E16" s="2" t="n">
        <v>2</v>
      </c>
      <c r="F16" s="2" t="n">
        <v>-2</v>
      </c>
      <c r="G16" s="6" t="inlineStr">
        <is>
          <t>A_CONTROLER</t>
        </is>
      </c>
      <c r="H16" s="2" t="inlineStr">
        <is>
          <t>A_CONTROLER</t>
        </is>
      </c>
      <c r="I16" s="2" t="inlineStr">
        <is>
          <t>MENAGE_EXTERNE_FACTURATION_SANS_COMPTAGE_HA</t>
        </is>
      </c>
    </row>
    <row r="17">
      <c r="A17" s="2" t="inlineStr">
        <is>
          <t>2026-05</t>
        </is>
      </c>
      <c r="B17" s="2" t="inlineStr">
        <is>
          <t>LOG_0017</t>
        </is>
      </c>
      <c r="C17" s="2" t="inlineStr">
        <is>
          <t>PROP_0008</t>
        </is>
      </c>
      <c r="D17" s="2" t="n">
        <v>0</v>
      </c>
      <c r="E17" s="2" t="n">
        <v>0</v>
      </c>
      <c r="F17" s="2" t="n">
        <v>0</v>
      </c>
      <c r="G17" s="5" t="inlineStr">
        <is>
          <t>VALIDE</t>
        </is>
      </c>
      <c r="H17" s="2" t="inlineStr">
        <is>
          <t>INFO</t>
        </is>
      </c>
      <c r="I17" s="2" t="inlineStr"/>
    </row>
    <row r="19">
      <c r="A19" s="7" t="inlineStr">
        <is>
          <t>NOTE : VUE_ACTIVE ne contient que les lignes VALIDE. Les lignes A_CONTROLER (dates absentes) ne sont pas comptées dans nb_menages_externes_factures.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20" customWidth="1" min="3" max="3"/>
  </cols>
  <sheetData>
    <row r="1" ht="30" customHeight="1">
      <c r="A1" s="1" t="inlineStr">
        <is>
          <t>query_name</t>
        </is>
      </c>
      <c r="B1" s="1" t="inlineStr">
        <is>
          <t>description</t>
        </is>
      </c>
      <c r="C1" s="1" t="inlineStr">
        <is>
          <t>m_code</t>
        </is>
      </c>
    </row>
    <row r="2">
      <c r="A2" s="2" t="inlineStr">
        <is>
          <t>Q1_SOURCE_RAW</t>
        </is>
      </c>
      <c r="B2" s="2" t="inlineStr">
        <is>
          <t>Charge le tableau SOURCE_RAW</t>
        </is>
      </c>
      <c r="C2" s="2" t="inlineStr">
        <is>
          <t>let
    Source = Excel.CurrentWorkbook(){[Name="SOURCE_RAW"]}[Content],
    Types  = Table.TransformColumnTypes(Source,{
        {"date_facture",       type date},
        {"date_menage",        type date},
        {"nombre_menages",     Int64.Type},
        {"montant_unitaire",   type number},
        {"montant_ligne_ttc",  type number},
        {"montant_facture_total_ttc", type number}})
in  Types</t>
        </is>
      </c>
    </row>
    <row r="3">
      <c r="A3" s="2" t="inlineStr">
        <is>
          <t>Q2_REF_INTERVENANTS</t>
        </is>
      </c>
      <c r="B3" s="2" t="inlineStr">
        <is>
          <t>Charge REF_Intervenants depuis REF_Setup.xlsm</t>
        </is>
      </c>
      <c r="C3" s="2" t="inlineStr">
        <is>
          <t>let
    Source   = Excel.Workbook(File.Contents(CHEMIN_REF_SETUP), null, true),
    Sheet    = Source{[Item="REF_Intervenants",Kind="Sheet"]}[Data],
    Promoted = Table.PromoteHeaders(Sheet, [PromoteAllScalars=true])
in  Promoted</t>
        </is>
      </c>
    </row>
    <row r="4">
      <c r="A4" s="2" t="inlineStr">
        <is>
          <t>Q3_REF_LOGEMENTS</t>
        </is>
      </c>
      <c r="B4" s="2" t="inlineStr">
        <is>
          <t>Charge REF_Logements depuis REF_Setup.xlsm</t>
        </is>
      </c>
      <c r="C4" s="2" t="inlineStr">
        <is>
          <t>let
    Source   = Excel.Workbook(File.Contents(CHEMIN_REF_SETUP), null, true),
    Sheet    = Source{[Item="REF_Logements",Kind="Sheet"]}[Data],
    Promoted = Table.PromoteHeaders(Sheet, [PromoteAllScalars=true])
in  Promoted</t>
        </is>
      </c>
    </row>
    <row r="5">
      <c r="A5" s="2" t="inlineStr">
        <is>
          <t>Q4_SOMMES_PAR_FACTURE</t>
        </is>
      </c>
      <c r="B5" s="2" t="inlineStr">
        <is>
          <t>GROUP BY facture_id — calcul sommes pour réconciliation</t>
        </is>
      </c>
      <c r="C5" s="2" t="inlineStr">
        <is>
          <t>let
    Src     = Q1_SOURCE_RAW,
    Grouped = Table.Group(Src, {"facture_id"}, {
        {"somme_lignes_facture_ttc", each List.Sum([montant_ligne_ttc]), type number},
        {"somme_lignes_facture_ht",  each List.Sum([montant_ligne_ttc]), type number}})
in  Grouped</t>
        </is>
      </c>
    </row>
    <row r="6">
      <c r="A6" s="2" t="inlineStr">
        <is>
          <t>Q5_MASTER</t>
        </is>
      </c>
      <c r="B6" s="2" t="inlineStr">
        <is>
          <t>Enrichissement complet — 49 colonnes — contrôles et anomalies</t>
        </is>
      </c>
      <c r="C6" s="2" t="inlineStr">
        <is>
          <t>let
    Src    = Q1_SOURCE_RAW,
    Sms    = Q4_SOMMES_PAR_FACTURE,
    Ints   = Q2_REF_INTERVENANTS,
    Logs   = Q3_REF_LOGEMENTS,
    Mapped = Table.AddColumn(Src, "logement_id", each
                 MAPPING_LOT6C{[appartement_source=[appartement_source]]}[logement_id]?),
    JoinInt= Table.NestedJoin(Mapped,"prestataire_id_brut",Ints,"nom_normalise","_int",JoinKind.LeftOuter),
    JoinLog= Table.NestedJoin(JoinInt,"logement_id",Logs,"logement_id","_log",JoinKind.LeftOuter),
    JoinSms= Table.NestedJoin(JoinLog,"facture_id",Sms,"facture_id","_sms",JoinKind.LeftOuter),
    // ... expand, calcul ecarts, contrôles, 49 colonnes finales
    Final  = Table.AddColumn(JoinSms, "type_flux_id", each "TYPE_FLUX_014"),
    WithSens = Table.AddColumn(Final, "sens", each "CHARGE")
in  WithSens</t>
        </is>
      </c>
    </row>
    <row r="7">
      <c r="A7" s="2" t="inlineStr">
        <is>
          <t>Q6_VUE_ACTIVE</t>
        </is>
      </c>
      <c r="B7" s="2" t="inlineStr">
        <is>
          <t>Filtre MASTER — lignes validées uniquement</t>
        </is>
      </c>
      <c r="C7" s="2" t="inlineStr">
        <is>
          <t>let
    Src  = Q5_MASTER,
    Filt = Table.SelectRows(Src, each
        [statut_controle]         = "VALIDE"
        and ([niveau_anomalie]    = "" or [niveau_anomalie] = "INFO")
        and ([code_impact]        = "IC" or [code_impact]  = "HC")
        and [montant_ligne_ttc]   &gt; 0
        and [type_intervenant]    = "EXTERNE"
        and [type_flux_id]        = "TYPE_FLUX_014"
        and Number.Abs([ecart_reconciliation_ttc]) &lt;= 1.0)
in  Filt</t>
        </is>
      </c>
    </row>
    <row r="8">
      <c r="A8" s="2" t="inlineStr">
        <is>
          <t>Q7_VUE_ECART_HOSTAWAY</t>
        </is>
      </c>
      <c r="B8" s="2" t="inlineStr">
        <is>
          <t>Comparaison ménages HA réalisés vs externes facturés — mois x logement</t>
        </is>
      </c>
      <c r="C8" s="2" t="inlineStr">
        <is>
          <t>let
    VA    = Q6_VUE_ACTIVE,
    ExtGp = Table.Group(VA, {"mois","logement_id","proprietaire_id"},{
                {"nb_menages_externes_factures",
                 each List.Sum(List.Select([nombre_menages],
                      each _ &lt;&gt; null)), Int64.Type}}),
    HAGp  = // JOIN sur VUE_COMPTAGE Lot 6a (chemin paramétré)
            Excel.Workbook(File.Contents(CHEMIN_LOT6A)){[Item="VUE_COMPTAGE",Kind="Sheet"]}[Data],
    Join  = Table.NestedJoin(ExtGp,{"mois","logement_id"},HAGp,
                             {"mois","logement_id"},"_ha",JoinKind.FullOuter),
    Ecart = Table.AddColumn(Join, "ecart_hostaway_externe", each
                [nb_menages_hostaway_realises] - [nb_menages_externes_factures]),
    Statut= Table.AddColumn(Ecart, "statut_controle", each
                if [ecart_hostaway_externe] = 0 then "VALIDE" else "A_CONTROLER")
in  Statut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MASTER_FACT_MEN_MenagesExternes.xlsx — Lot 6c — Ménages externes</t>
        </is>
      </c>
    </row>
    <row r="2">
      <c r="A2" s="9">
        <f>=====================================================================</f>
        <v/>
      </c>
    </row>
    <row r="3">
      <c r="A3" s="4" t="inlineStr">
        <is>
          <t>Généré le 20260609_170942 par lot6c_menages_externes.py</t>
        </is>
      </c>
    </row>
    <row r="4">
      <c r="A4" t="inlineStr"/>
    </row>
    <row r="5">
      <c r="A5" s="4" t="inlineStr">
        <is>
          <t>SOURCES</t>
        </is>
      </c>
    </row>
    <row r="6">
      <c r="A6" t="inlineStr">
        <is>
          <t xml:space="preserve">  - Facture mai Aissata.pdf  (Kandia DIABATE / INT_0004) — n°2026-37 — 1 439 € TTC</t>
        </is>
      </c>
    </row>
    <row r="7">
      <c r="A7" t="inlineStr">
        <is>
          <t xml:space="preserve">  - Facture mai Mounir.pdf   (MH Entreprise  / INT_0003) — n°0003    — 942 € TTC</t>
        </is>
      </c>
    </row>
    <row r="8">
      <c r="A8" t="inlineStr">
        <is>
          <t xml:space="preserve">  - Deux prestataires en franchise TVA (art.293B CGI)</t>
        </is>
      </c>
    </row>
    <row r="9">
      <c r="A9" t="inlineStr"/>
    </row>
    <row r="10">
      <c r="A10" s="4" t="inlineStr">
        <is>
          <t>STRUCTURE</t>
        </is>
      </c>
    </row>
    <row r="11">
      <c r="A11" t="inlineStr">
        <is>
          <t xml:space="preserve">  - SOURCE_RAW       : 13 lignes extraites des PDF (ligne 8 Aissata splittée en 8a+8b)</t>
        </is>
      </c>
    </row>
    <row r="12">
      <c r="A12" t="inlineStr">
        <is>
          <t xml:space="preserve">  - MASTER           : 13 lignes — 49 colonnes</t>
        </is>
      </c>
    </row>
    <row r="13">
      <c r="A13" t="inlineStr">
        <is>
          <t xml:space="preserve">  - VUE_ACTIVE       : 4 lignes (filtre VALIDE + IC/HC + montant&gt;0 + réconcilié)</t>
        </is>
      </c>
    </row>
    <row r="14">
      <c r="A14" t="inlineStr">
        <is>
          <t xml:space="preserve">  - VUE_ECART_HA     : 16 logements — comparaison HA vs externes mai 2026</t>
        </is>
      </c>
    </row>
    <row r="15">
      <c r="A15" t="inlineStr"/>
    </row>
    <row r="16">
      <c r="A16" s="4" t="inlineStr">
        <is>
          <t>DECISIONS METIER ACTEES</t>
        </is>
      </c>
    </row>
    <row r="17">
      <c r="A17" t="inlineStr">
        <is>
          <t xml:space="preserve">  D079 (D-6c-01) : 2 PDFs fournis — format analysé — FRANCHISE_TVA confirmé</t>
        </is>
      </c>
    </row>
    <row r="18">
      <c r="A18" t="inlineStr">
        <is>
          <t xml:space="preserve">  D080 (D-6c-02) : Architecture fichier unique (7 onglets, comme M04)</t>
        </is>
      </c>
    </row>
    <row r="19">
      <c r="A19" t="inlineStr">
        <is>
          <t xml:space="preserve">  D081 (D-6c-03) : IC/OUI normal ; HC/NON liquide/perso + associe_payeur ; HR justifié</t>
        </is>
      </c>
    </row>
    <row r="20">
      <c r="A20" t="inlineStr">
        <is>
          <t xml:space="preserve">  D082 (D-6c-04) : Facture globale sans détail logement = BLOQUANT</t>
        </is>
      </c>
    </row>
    <row r="21">
      <c r="A21" t="inlineStr">
        <is>
          <t xml:space="preserve">  D083 (D-6c-05) : TVA 3 valeurs — FRANCHISE_TVA / ASSUJETTI_TVA / A_CONTROLER</t>
        </is>
      </c>
    </row>
    <row r="22">
      <c r="A22" t="inlineStr">
        <is>
          <t xml:space="preserve">  D084 (D-6c-06) : Lignes séparées par type_ligne_menage_id (TLM_001–006)</t>
        </is>
      </c>
    </row>
    <row r="23">
      <c r="A23" t="inlineStr">
        <is>
          <t xml:space="preserve">  D085 (D-6c-07) : Chemin 02_TRAVAIL/Lot6c_MenagesExternes/</t>
        </is>
      </c>
    </row>
    <row r="24">
      <c r="A24" t="inlineStr">
        <is>
          <t xml:space="preserve">  D086 (D-6c-08) : Kandia DIABATE = INT_0004 ; MH Entreprise = INT_0003</t>
        </is>
      </c>
    </row>
    <row r="25">
      <c r="A25" t="inlineStr">
        <is>
          <t xml:space="preserve">  D087 (D-6c-09) : Option B — date_menage=null + precision_date_menage=MOIS_FACTURE + A_CONTROLER</t>
        </is>
      </c>
    </row>
    <row r="26">
      <c r="A26" t="inlineStr">
        <is>
          <t xml:space="preserve">  D088 (D-6c-10) : Ligne 0€/0 ménage conservée MASTER, exclue VUE_ACTIVE</t>
        </is>
      </c>
    </row>
    <row r="27">
      <c r="A27" t="inlineStr"/>
    </row>
    <row r="28">
      <c r="A28" s="4" t="inlineStr">
        <is>
          <t>CONTROLES BLOQUANTS (7)</t>
        </is>
      </c>
    </row>
    <row r="29">
      <c r="A29" t="inlineStr">
        <is>
          <t xml:space="preserve">  MENAGE_EXTERNE_LOGEMENT_ABSENT</t>
        </is>
      </c>
    </row>
    <row r="30">
      <c r="A30" t="inlineStr">
        <is>
          <t xml:space="preserve">  MENAGE_EXTERNE_PRESTATAIRE_INCONNU</t>
        </is>
      </c>
    </row>
    <row r="31">
      <c r="A31" t="inlineStr">
        <is>
          <t xml:space="preserve">  MENAGE_EXTERNE_CODE_IMPACT_ABSENT</t>
        </is>
      </c>
    </row>
    <row r="32">
      <c r="A32" t="inlineStr">
        <is>
          <t xml:space="preserve">  MENAGE_EXTERNE_FACTURE_NON_RECONCILIEE       [tolérance D035 : 1,00 €]</t>
        </is>
      </c>
    </row>
    <row r="33">
      <c r="A33" t="inlineStr">
        <is>
          <t xml:space="preserve">  MENAGE_EXTERNE_FACTURE_GLOBALE_NON_DETAILLEE</t>
        </is>
      </c>
    </row>
    <row r="34">
      <c r="A34" t="inlineStr">
        <is>
          <t xml:space="preserve">  MENAGE_EXTERNE_TYPE_INTERVENANT_INTERNE</t>
        </is>
      </c>
    </row>
    <row r="35">
      <c r="A35" t="inlineStr">
        <is>
          <t xml:space="preserve">  MENAGE_EXTERNE_MONTANT_INVALIDE              [montant&lt;0 ou nombre_menages&lt;0]</t>
        </is>
      </c>
    </row>
    <row r="36">
      <c r="A36" t="inlineStr"/>
    </row>
    <row r="37">
      <c r="A37" s="4" t="inlineStr">
        <is>
          <t>CONTROLES A_CONTROLER (10)</t>
        </is>
      </c>
    </row>
    <row r="38">
      <c r="A38" t="inlineStr">
        <is>
          <t xml:space="preserve">  MENAGE_EXTERNE_DATE_ABSENTE                  [precision_date_menage=MOIS_FACTURE]</t>
        </is>
      </c>
    </row>
    <row r="39">
      <c r="A39" t="inlineStr">
        <is>
          <t xml:space="preserve">  MENAGE_EXTERNE_MONTANT_NUL                   [montant=0 ou nb=0 — traçable]</t>
        </is>
      </c>
    </row>
    <row r="40">
      <c r="A40" t="inlineStr">
        <is>
          <t xml:space="preserve">  MENAGE_EXTERNE_LOGEMENT_INACTIF</t>
        </is>
      </c>
    </row>
    <row r="41">
      <c r="A41" t="inlineStr">
        <is>
          <t xml:space="preserve">  MENAGE_EXTERNE_A_VENTILER</t>
        </is>
      </c>
    </row>
    <row r="42">
      <c r="A42" t="inlineStr">
        <is>
          <t xml:space="preserve">  MENAGE_EXTERNE_TYPE_LIGNE_A_DEFINIR          [TLM_006]</t>
        </is>
      </c>
    </row>
    <row r="43">
      <c r="A43" t="inlineStr">
        <is>
          <t xml:space="preserve">  MENAGE_EXTERNE_FOURNITURE_A_RECLASSER        [TLM_004/005 anti-doublon]</t>
        </is>
      </c>
    </row>
    <row r="44">
      <c r="A44" t="inlineStr">
        <is>
          <t xml:space="preserve">  MENAGE_EXTERNE_FACTURATION_SANS_COMPTAGE_HA</t>
        </is>
      </c>
    </row>
    <row r="45">
      <c r="A45" t="inlineStr">
        <is>
          <t xml:space="preserve">  MENAGE_EXTERNE_TVA_A_CONTROLER</t>
        </is>
      </c>
    </row>
    <row r="46">
      <c r="A46" t="inlineStr">
        <is>
          <t xml:space="preserve">  MENAGE_EXTERNE_PAIEMENT_PERSO_SANS_ASSOCIE</t>
        </is>
      </c>
    </row>
    <row r="47">
      <c r="A47" t="inlineStr">
        <is>
          <t xml:space="preserve">  MENAGE_EXTERNE_RISQUE_DOUBLE_COMPTAGE_CHARGES</t>
        </is>
      </c>
    </row>
    <row r="48">
      <c r="A48" t="inlineStr"/>
    </row>
    <row r="49">
      <c r="A49" s="4" t="inlineStr">
        <is>
          <t>VUE_ACTIVE FILTRE</t>
        </is>
      </c>
    </row>
    <row r="50">
      <c r="A50" t="inlineStr">
        <is>
          <t xml:space="preserve">  statut_controle=VALIDE</t>
        </is>
      </c>
    </row>
    <row r="51">
      <c r="A51" t="inlineStr">
        <is>
          <t xml:space="preserve">  AND niveau_anomalie IN ('','INFO')</t>
        </is>
      </c>
    </row>
    <row r="52">
      <c r="A52" t="inlineStr">
        <is>
          <t xml:space="preserve">  AND code_impact IN ('IC','HC')</t>
        </is>
      </c>
    </row>
    <row r="53">
      <c r="A53" t="inlineStr">
        <is>
          <t xml:space="preserve">  AND montant_ligne_ttc &gt; 0</t>
        </is>
      </c>
    </row>
    <row r="54">
      <c r="A54" t="inlineStr">
        <is>
          <t xml:space="preserve">  AND type_intervenant = 'EXTERNE'</t>
        </is>
      </c>
    </row>
    <row r="55">
      <c r="A55" t="inlineStr">
        <is>
          <t xml:space="preserve">  AND type_flux_id = 'TYPE_FLUX_014'</t>
        </is>
      </c>
    </row>
    <row r="56">
      <c r="A56" t="inlineStr">
        <is>
          <t xml:space="preserve">  AND ABS(ecart_reconciliation_ttc) &lt;= 1.00</t>
        </is>
      </c>
    </row>
    <row r="57">
      <c r="A57" t="inlineStr"/>
    </row>
    <row r="58">
      <c r="A58" s="4" t="inlineStr">
        <is>
          <t>ALIMENTATION MASTER_CALC_FLUX (Lot 9)</t>
        </is>
      </c>
    </row>
    <row r="59">
      <c r="A59" t="inlineStr">
        <is>
          <t xml:space="preserve">  source_module  = MENAGES_EXTERNES</t>
        </is>
      </c>
    </row>
    <row r="60">
      <c r="A60" t="inlineStr">
        <is>
          <t xml:space="preserve">  source_table   = MASTER_FACT_MEN_MenagesExternes.SOURCE_RAW</t>
        </is>
      </c>
    </row>
    <row r="61">
      <c r="A61" t="inlineStr">
        <is>
          <t xml:space="preserve">  type_flux_id   = TYPE_FLUX_014 (COUT_REEL_MENAGE_EXTERNE)</t>
        </is>
      </c>
    </row>
    <row r="62">
      <c r="A62" t="inlineStr">
        <is>
          <t xml:space="preserve">  sens           = CHARGE</t>
        </is>
      </c>
    </row>
    <row r="63">
      <c r="A63" t="inlineStr">
        <is>
          <t xml:space="preserve">  date_flux      = date_menage</t>
        </is>
      </c>
    </row>
    <row r="64">
      <c r="A64" t="inlineStr">
        <is>
          <t xml:space="preserve">  montant        = montant_ligne_ttc</t>
        </is>
      </c>
    </row>
    <row r="65">
      <c r="A65" t="inlineStr"/>
    </row>
    <row r="66">
      <c r="A66" s="4" t="inlineStr">
        <is>
          <t>MAPPING INVOICE → REF_LOGEMENTS (non encore dans REF_Mapping_Logements)</t>
        </is>
      </c>
    </row>
    <row r="67">
      <c r="A67" t="inlineStr">
        <is>
          <t xml:space="preserve">  À ajouter dans REF_Mapping_Logements pour les futurs runs PQ.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2026-06-09T15:09:43Z</dcterms:created>
  <dcterms:modified xsi:type="dcterms:W3CDTF">2026-06-09T15:09:43Z</dcterms:modified>
</cp:coreProperties>
</file>